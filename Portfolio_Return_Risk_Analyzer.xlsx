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0" documentId="8_{08E0FD9A-2AE4-47C0-B78B-FE809A2C93B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ver" sheetId="1" r:id="rId1"/>
    <sheet name="Portfolio" sheetId="2" r:id="rId2"/>
    <sheet name="Price Data" sheetId="3" r:id="rId3"/>
    <sheet name="Returns" sheetId="4" r:id="rId4"/>
    <sheet name="Risk Analysis" sheetId="5" r:id="rId5"/>
    <sheet name="Dashboard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C10" i="5"/>
  <c r="C9" i="5"/>
  <c r="C8" i="5"/>
  <c r="C7" i="5"/>
  <c r="C6" i="5"/>
  <c r="C5" i="5"/>
  <c r="X3" i="6"/>
  <c r="W3" i="6"/>
  <c r="V3" i="6"/>
  <c r="U3" i="6"/>
  <c r="B11" i="5"/>
  <c r="D11" i="5" s="1"/>
  <c r="R7" i="6"/>
  <c r="B9" i="5"/>
  <c r="R6" i="6"/>
  <c r="B8" i="5"/>
  <c r="R5" i="6"/>
  <c r="B7" i="5"/>
  <c r="R4" i="6"/>
  <c r="B6" i="5"/>
  <c r="R3" i="6"/>
  <c r="B5" i="5"/>
  <c r="H744" i="4"/>
  <c r="F744" i="4"/>
  <c r="E744" i="4"/>
  <c r="D744" i="4"/>
  <c r="C744" i="4"/>
  <c r="B744" i="4"/>
  <c r="G744" i="4" s="1"/>
  <c r="A744" i="4"/>
  <c r="A754" i="5" s="1"/>
  <c r="H743" i="4"/>
  <c r="F743" i="4"/>
  <c r="E743" i="4"/>
  <c r="D743" i="4"/>
  <c r="C743" i="4"/>
  <c r="B743" i="4"/>
  <c r="G743" i="4" s="1"/>
  <c r="A743" i="4"/>
  <c r="A753" i="5" s="1"/>
  <c r="H742" i="4"/>
  <c r="F742" i="4"/>
  <c r="E742" i="4"/>
  <c r="D742" i="4"/>
  <c r="C742" i="4"/>
  <c r="B742" i="4"/>
  <c r="G742" i="4" s="1"/>
  <c r="A742" i="4"/>
  <c r="A752" i="5" s="1"/>
  <c r="H741" i="4"/>
  <c r="F741" i="4"/>
  <c r="E741" i="4"/>
  <c r="D741" i="4"/>
  <c r="C741" i="4"/>
  <c r="B741" i="4"/>
  <c r="G741" i="4" s="1"/>
  <c r="A741" i="4"/>
  <c r="A751" i="5" s="1"/>
  <c r="H740" i="4"/>
  <c r="F740" i="4"/>
  <c r="E740" i="4"/>
  <c r="D740" i="4"/>
  <c r="C740" i="4"/>
  <c r="B740" i="4"/>
  <c r="G740" i="4" s="1"/>
  <c r="A740" i="4"/>
  <c r="A750" i="5" s="1"/>
  <c r="H739" i="4"/>
  <c r="F739" i="4"/>
  <c r="E739" i="4"/>
  <c r="D739" i="4"/>
  <c r="C739" i="4"/>
  <c r="B739" i="4"/>
  <c r="G739" i="4" s="1"/>
  <c r="A739" i="4"/>
  <c r="A749" i="5" s="1"/>
  <c r="H738" i="4"/>
  <c r="F738" i="4"/>
  <c r="E738" i="4"/>
  <c r="D738" i="4"/>
  <c r="C738" i="4"/>
  <c r="B738" i="4"/>
  <c r="G738" i="4" s="1"/>
  <c r="A738" i="4"/>
  <c r="A748" i="5" s="1"/>
  <c r="H737" i="4"/>
  <c r="F737" i="4"/>
  <c r="E737" i="4"/>
  <c r="D737" i="4"/>
  <c r="C737" i="4"/>
  <c r="B737" i="4"/>
  <c r="G737" i="4" s="1"/>
  <c r="A737" i="4"/>
  <c r="A747" i="5" s="1"/>
  <c r="H736" i="4"/>
  <c r="F736" i="4"/>
  <c r="E736" i="4"/>
  <c r="D736" i="4"/>
  <c r="C736" i="4"/>
  <c r="B736" i="4"/>
  <c r="G736" i="4" s="1"/>
  <c r="A736" i="4"/>
  <c r="A746" i="5" s="1"/>
  <c r="H735" i="4"/>
  <c r="F735" i="4"/>
  <c r="E735" i="4"/>
  <c r="D735" i="4"/>
  <c r="C735" i="4"/>
  <c r="B735" i="4"/>
  <c r="G735" i="4" s="1"/>
  <c r="A735" i="4"/>
  <c r="A745" i="5" s="1"/>
  <c r="H734" i="4"/>
  <c r="F734" i="4"/>
  <c r="E734" i="4"/>
  <c r="D734" i="4"/>
  <c r="C734" i="4"/>
  <c r="B734" i="4"/>
  <c r="G734" i="4" s="1"/>
  <c r="A734" i="4"/>
  <c r="A744" i="5" s="1"/>
  <c r="H733" i="4"/>
  <c r="F733" i="4"/>
  <c r="E733" i="4"/>
  <c r="D733" i="4"/>
  <c r="C733" i="4"/>
  <c r="B733" i="4"/>
  <c r="G733" i="4" s="1"/>
  <c r="A733" i="4"/>
  <c r="A743" i="5" s="1"/>
  <c r="H732" i="4"/>
  <c r="F732" i="4"/>
  <c r="E732" i="4"/>
  <c r="D732" i="4"/>
  <c r="C732" i="4"/>
  <c r="B732" i="4"/>
  <c r="G732" i="4" s="1"/>
  <c r="A732" i="4"/>
  <c r="A742" i="5" s="1"/>
  <c r="H731" i="4"/>
  <c r="F731" i="4"/>
  <c r="E731" i="4"/>
  <c r="D731" i="4"/>
  <c r="C731" i="4"/>
  <c r="B731" i="4"/>
  <c r="G731" i="4" s="1"/>
  <c r="A731" i="4"/>
  <c r="A741" i="5" s="1"/>
  <c r="H730" i="4"/>
  <c r="F730" i="4"/>
  <c r="E730" i="4"/>
  <c r="D730" i="4"/>
  <c r="C730" i="4"/>
  <c r="B730" i="4"/>
  <c r="G730" i="4" s="1"/>
  <c r="A730" i="4"/>
  <c r="A740" i="5" s="1"/>
  <c r="H729" i="4"/>
  <c r="F729" i="4"/>
  <c r="E729" i="4"/>
  <c r="D729" i="4"/>
  <c r="C729" i="4"/>
  <c r="B729" i="4"/>
  <c r="G729" i="4" s="1"/>
  <c r="A729" i="4"/>
  <c r="A739" i="5" s="1"/>
  <c r="H728" i="4"/>
  <c r="F728" i="4"/>
  <c r="E728" i="4"/>
  <c r="D728" i="4"/>
  <c r="C728" i="4"/>
  <c r="B728" i="4"/>
  <c r="G728" i="4" s="1"/>
  <c r="A728" i="4"/>
  <c r="A738" i="5" s="1"/>
  <c r="H727" i="4"/>
  <c r="F727" i="4"/>
  <c r="E727" i="4"/>
  <c r="D727" i="4"/>
  <c r="C727" i="4"/>
  <c r="B727" i="4"/>
  <c r="G727" i="4" s="1"/>
  <c r="A727" i="4"/>
  <c r="A737" i="5" s="1"/>
  <c r="H726" i="4"/>
  <c r="F726" i="4"/>
  <c r="E726" i="4"/>
  <c r="D726" i="4"/>
  <c r="C726" i="4"/>
  <c r="B726" i="4"/>
  <c r="G726" i="4" s="1"/>
  <c r="A726" i="4"/>
  <c r="A736" i="5" s="1"/>
  <c r="H725" i="4"/>
  <c r="F725" i="4"/>
  <c r="E725" i="4"/>
  <c r="D725" i="4"/>
  <c r="C725" i="4"/>
  <c r="B725" i="4"/>
  <c r="G725" i="4" s="1"/>
  <c r="A725" i="4"/>
  <c r="A735" i="5" s="1"/>
  <c r="H724" i="4"/>
  <c r="F724" i="4"/>
  <c r="E724" i="4"/>
  <c r="D724" i="4"/>
  <c r="C724" i="4"/>
  <c r="B724" i="4"/>
  <c r="G724" i="4" s="1"/>
  <c r="A724" i="4"/>
  <c r="A734" i="5" s="1"/>
  <c r="H723" i="4"/>
  <c r="F723" i="4"/>
  <c r="E723" i="4"/>
  <c r="D723" i="4"/>
  <c r="C723" i="4"/>
  <c r="B723" i="4"/>
  <c r="G723" i="4" s="1"/>
  <c r="A723" i="4"/>
  <c r="A733" i="5" s="1"/>
  <c r="H722" i="4"/>
  <c r="F722" i="4"/>
  <c r="E722" i="4"/>
  <c r="D722" i="4"/>
  <c r="C722" i="4"/>
  <c r="B722" i="4"/>
  <c r="G722" i="4" s="1"/>
  <c r="A722" i="4"/>
  <c r="A732" i="5" s="1"/>
  <c r="H721" i="4"/>
  <c r="F721" i="4"/>
  <c r="E721" i="4"/>
  <c r="D721" i="4"/>
  <c r="C721" i="4"/>
  <c r="B721" i="4"/>
  <c r="G721" i="4" s="1"/>
  <c r="A721" i="4"/>
  <c r="A731" i="5" s="1"/>
  <c r="H720" i="4"/>
  <c r="F720" i="4"/>
  <c r="E720" i="4"/>
  <c r="D720" i="4"/>
  <c r="C720" i="4"/>
  <c r="B720" i="4"/>
  <c r="G720" i="4" s="1"/>
  <c r="A720" i="4"/>
  <c r="A730" i="5" s="1"/>
  <c r="H719" i="4"/>
  <c r="F719" i="4"/>
  <c r="E719" i="4"/>
  <c r="D719" i="4"/>
  <c r="C719" i="4"/>
  <c r="B719" i="4"/>
  <c r="G719" i="4" s="1"/>
  <c r="A719" i="4"/>
  <c r="A729" i="5" s="1"/>
  <c r="H718" i="4"/>
  <c r="F718" i="4"/>
  <c r="E718" i="4"/>
  <c r="D718" i="4"/>
  <c r="C718" i="4"/>
  <c r="B718" i="4"/>
  <c r="G718" i="4" s="1"/>
  <c r="A718" i="4"/>
  <c r="A728" i="5" s="1"/>
  <c r="H717" i="4"/>
  <c r="F717" i="4"/>
  <c r="E717" i="4"/>
  <c r="D717" i="4"/>
  <c r="C717" i="4"/>
  <c r="B717" i="4"/>
  <c r="G717" i="4" s="1"/>
  <c r="A717" i="4"/>
  <c r="A727" i="5" s="1"/>
  <c r="H716" i="4"/>
  <c r="F716" i="4"/>
  <c r="E716" i="4"/>
  <c r="D716" i="4"/>
  <c r="C716" i="4"/>
  <c r="B716" i="4"/>
  <c r="G716" i="4" s="1"/>
  <c r="A716" i="4"/>
  <c r="A726" i="5" s="1"/>
  <c r="H715" i="4"/>
  <c r="F715" i="4"/>
  <c r="E715" i="4"/>
  <c r="D715" i="4"/>
  <c r="C715" i="4"/>
  <c r="B715" i="4"/>
  <c r="G715" i="4" s="1"/>
  <c r="A715" i="4"/>
  <c r="A725" i="5" s="1"/>
  <c r="H714" i="4"/>
  <c r="F714" i="4"/>
  <c r="E714" i="4"/>
  <c r="D714" i="4"/>
  <c r="C714" i="4"/>
  <c r="B714" i="4"/>
  <c r="G714" i="4" s="1"/>
  <c r="A714" i="4"/>
  <c r="A724" i="5" s="1"/>
  <c r="H713" i="4"/>
  <c r="F713" i="4"/>
  <c r="E713" i="4"/>
  <c r="D713" i="4"/>
  <c r="C713" i="4"/>
  <c r="B713" i="4"/>
  <c r="G713" i="4" s="1"/>
  <c r="A713" i="4"/>
  <c r="A723" i="5" s="1"/>
  <c r="H712" i="4"/>
  <c r="F712" i="4"/>
  <c r="E712" i="4"/>
  <c r="D712" i="4"/>
  <c r="C712" i="4"/>
  <c r="B712" i="4"/>
  <c r="G712" i="4" s="1"/>
  <c r="A712" i="4"/>
  <c r="A722" i="5" s="1"/>
  <c r="H711" i="4"/>
  <c r="F711" i="4"/>
  <c r="E711" i="4"/>
  <c r="D711" i="4"/>
  <c r="C711" i="4"/>
  <c r="B711" i="4"/>
  <c r="G711" i="4" s="1"/>
  <c r="A711" i="4"/>
  <c r="A721" i="5" s="1"/>
  <c r="H710" i="4"/>
  <c r="F710" i="4"/>
  <c r="E710" i="4"/>
  <c r="D710" i="4"/>
  <c r="C710" i="4"/>
  <c r="B710" i="4"/>
  <c r="G710" i="4" s="1"/>
  <c r="A710" i="4"/>
  <c r="A720" i="5" s="1"/>
  <c r="H709" i="4"/>
  <c r="F709" i="4"/>
  <c r="E709" i="4"/>
  <c r="D709" i="4"/>
  <c r="C709" i="4"/>
  <c r="B709" i="4"/>
  <c r="G709" i="4" s="1"/>
  <c r="A709" i="4"/>
  <c r="A719" i="5" s="1"/>
  <c r="H708" i="4"/>
  <c r="F708" i="4"/>
  <c r="E708" i="4"/>
  <c r="D708" i="4"/>
  <c r="C708" i="4"/>
  <c r="B708" i="4"/>
  <c r="G708" i="4" s="1"/>
  <c r="A708" i="4"/>
  <c r="A718" i="5" s="1"/>
  <c r="H707" i="4"/>
  <c r="F707" i="4"/>
  <c r="E707" i="4"/>
  <c r="D707" i="4"/>
  <c r="C707" i="4"/>
  <c r="B707" i="4"/>
  <c r="G707" i="4" s="1"/>
  <c r="A707" i="4"/>
  <c r="A717" i="5" s="1"/>
  <c r="H706" i="4"/>
  <c r="F706" i="4"/>
  <c r="E706" i="4"/>
  <c r="D706" i="4"/>
  <c r="C706" i="4"/>
  <c r="B706" i="4"/>
  <c r="G706" i="4" s="1"/>
  <c r="A706" i="4"/>
  <c r="A716" i="5" s="1"/>
  <c r="H705" i="4"/>
  <c r="F705" i="4"/>
  <c r="E705" i="4"/>
  <c r="D705" i="4"/>
  <c r="C705" i="4"/>
  <c r="B705" i="4"/>
  <c r="G705" i="4" s="1"/>
  <c r="A705" i="4"/>
  <c r="A715" i="5" s="1"/>
  <c r="H704" i="4"/>
  <c r="F704" i="4"/>
  <c r="E704" i="4"/>
  <c r="D704" i="4"/>
  <c r="C704" i="4"/>
  <c r="B704" i="4"/>
  <c r="G704" i="4" s="1"/>
  <c r="A704" i="4"/>
  <c r="A714" i="5" s="1"/>
  <c r="H703" i="4"/>
  <c r="F703" i="4"/>
  <c r="E703" i="4"/>
  <c r="D703" i="4"/>
  <c r="C703" i="4"/>
  <c r="B703" i="4"/>
  <c r="G703" i="4" s="1"/>
  <c r="A703" i="4"/>
  <c r="A713" i="5" s="1"/>
  <c r="H702" i="4"/>
  <c r="F702" i="4"/>
  <c r="E702" i="4"/>
  <c r="D702" i="4"/>
  <c r="C702" i="4"/>
  <c r="B702" i="4"/>
  <c r="G702" i="4" s="1"/>
  <c r="A702" i="4"/>
  <c r="A712" i="5" s="1"/>
  <c r="H701" i="4"/>
  <c r="F701" i="4"/>
  <c r="E701" i="4"/>
  <c r="D701" i="4"/>
  <c r="C701" i="4"/>
  <c r="B701" i="4"/>
  <c r="G701" i="4" s="1"/>
  <c r="A701" i="4"/>
  <c r="A711" i="5" s="1"/>
  <c r="H700" i="4"/>
  <c r="F700" i="4"/>
  <c r="E700" i="4"/>
  <c r="D700" i="4"/>
  <c r="C700" i="4"/>
  <c r="B700" i="4"/>
  <c r="G700" i="4" s="1"/>
  <c r="A700" i="4"/>
  <c r="A710" i="5" s="1"/>
  <c r="H699" i="4"/>
  <c r="F699" i="4"/>
  <c r="E699" i="4"/>
  <c r="D699" i="4"/>
  <c r="C699" i="4"/>
  <c r="B699" i="4"/>
  <c r="G699" i="4" s="1"/>
  <c r="A699" i="4"/>
  <c r="A709" i="5" s="1"/>
  <c r="H698" i="4"/>
  <c r="F698" i="4"/>
  <c r="E698" i="4"/>
  <c r="D698" i="4"/>
  <c r="C698" i="4"/>
  <c r="B698" i="4"/>
  <c r="G698" i="4" s="1"/>
  <c r="A698" i="4"/>
  <c r="A708" i="5" s="1"/>
  <c r="H697" i="4"/>
  <c r="F697" i="4"/>
  <c r="E697" i="4"/>
  <c r="D697" i="4"/>
  <c r="C697" i="4"/>
  <c r="B697" i="4"/>
  <c r="G697" i="4" s="1"/>
  <c r="A697" i="4"/>
  <c r="A707" i="5" s="1"/>
  <c r="H696" i="4"/>
  <c r="F696" i="4"/>
  <c r="E696" i="4"/>
  <c r="D696" i="4"/>
  <c r="C696" i="4"/>
  <c r="B696" i="4"/>
  <c r="G696" i="4" s="1"/>
  <c r="A696" i="4"/>
  <c r="A706" i="5" s="1"/>
  <c r="H695" i="4"/>
  <c r="F695" i="4"/>
  <c r="E695" i="4"/>
  <c r="D695" i="4"/>
  <c r="C695" i="4"/>
  <c r="B695" i="4"/>
  <c r="G695" i="4" s="1"/>
  <c r="A695" i="4"/>
  <c r="A705" i="5" s="1"/>
  <c r="H694" i="4"/>
  <c r="F694" i="4"/>
  <c r="E694" i="4"/>
  <c r="D694" i="4"/>
  <c r="C694" i="4"/>
  <c r="B694" i="4"/>
  <c r="G694" i="4" s="1"/>
  <c r="A694" i="4"/>
  <c r="A704" i="5" s="1"/>
  <c r="H693" i="4"/>
  <c r="F693" i="4"/>
  <c r="E693" i="4"/>
  <c r="D693" i="4"/>
  <c r="C693" i="4"/>
  <c r="B693" i="4"/>
  <c r="G693" i="4" s="1"/>
  <c r="A693" i="4"/>
  <c r="A703" i="5" s="1"/>
  <c r="H692" i="4"/>
  <c r="F692" i="4"/>
  <c r="E692" i="4"/>
  <c r="D692" i="4"/>
  <c r="C692" i="4"/>
  <c r="B692" i="4"/>
  <c r="G692" i="4" s="1"/>
  <c r="A692" i="4"/>
  <c r="A702" i="5" s="1"/>
  <c r="H691" i="4"/>
  <c r="F691" i="4"/>
  <c r="E691" i="4"/>
  <c r="D691" i="4"/>
  <c r="C691" i="4"/>
  <c r="B691" i="4"/>
  <c r="G691" i="4" s="1"/>
  <c r="A691" i="4"/>
  <c r="A701" i="5" s="1"/>
  <c r="H690" i="4"/>
  <c r="F690" i="4"/>
  <c r="E690" i="4"/>
  <c r="D690" i="4"/>
  <c r="C690" i="4"/>
  <c r="B690" i="4"/>
  <c r="G690" i="4" s="1"/>
  <c r="A690" i="4"/>
  <c r="A700" i="5" s="1"/>
  <c r="H689" i="4"/>
  <c r="F689" i="4"/>
  <c r="E689" i="4"/>
  <c r="D689" i="4"/>
  <c r="C689" i="4"/>
  <c r="B689" i="4"/>
  <c r="G689" i="4" s="1"/>
  <c r="A689" i="4"/>
  <c r="A699" i="5" s="1"/>
  <c r="H688" i="4"/>
  <c r="F688" i="4"/>
  <c r="E688" i="4"/>
  <c r="D688" i="4"/>
  <c r="C688" i="4"/>
  <c r="B688" i="4"/>
  <c r="G688" i="4" s="1"/>
  <c r="A688" i="4"/>
  <c r="A698" i="5" s="1"/>
  <c r="H687" i="4"/>
  <c r="F687" i="4"/>
  <c r="E687" i="4"/>
  <c r="D687" i="4"/>
  <c r="C687" i="4"/>
  <c r="B687" i="4"/>
  <c r="G687" i="4" s="1"/>
  <c r="A687" i="4"/>
  <c r="A697" i="5" s="1"/>
  <c r="H686" i="4"/>
  <c r="F686" i="4"/>
  <c r="E686" i="4"/>
  <c r="D686" i="4"/>
  <c r="C686" i="4"/>
  <c r="B686" i="4"/>
  <c r="G686" i="4" s="1"/>
  <c r="A686" i="4"/>
  <c r="A696" i="5" s="1"/>
  <c r="H685" i="4"/>
  <c r="F685" i="4"/>
  <c r="E685" i="4"/>
  <c r="D685" i="4"/>
  <c r="C685" i="4"/>
  <c r="B685" i="4"/>
  <c r="G685" i="4" s="1"/>
  <c r="A685" i="4"/>
  <c r="A695" i="5" s="1"/>
  <c r="H684" i="4"/>
  <c r="F684" i="4"/>
  <c r="E684" i="4"/>
  <c r="D684" i="4"/>
  <c r="C684" i="4"/>
  <c r="B684" i="4"/>
  <c r="G684" i="4" s="1"/>
  <c r="A684" i="4"/>
  <c r="A694" i="5" s="1"/>
  <c r="H683" i="4"/>
  <c r="F683" i="4"/>
  <c r="E683" i="4"/>
  <c r="D683" i="4"/>
  <c r="C683" i="4"/>
  <c r="B683" i="4"/>
  <c r="G683" i="4" s="1"/>
  <c r="A683" i="4"/>
  <c r="A693" i="5" s="1"/>
  <c r="H682" i="4"/>
  <c r="F682" i="4"/>
  <c r="E682" i="4"/>
  <c r="D682" i="4"/>
  <c r="C682" i="4"/>
  <c r="B682" i="4"/>
  <c r="G682" i="4" s="1"/>
  <c r="A682" i="4"/>
  <c r="A692" i="5" s="1"/>
  <c r="H681" i="4"/>
  <c r="F681" i="4"/>
  <c r="E681" i="4"/>
  <c r="D681" i="4"/>
  <c r="C681" i="4"/>
  <c r="B681" i="4"/>
  <c r="G681" i="4" s="1"/>
  <c r="A681" i="4"/>
  <c r="A691" i="5" s="1"/>
  <c r="H680" i="4"/>
  <c r="F680" i="4"/>
  <c r="E680" i="4"/>
  <c r="D680" i="4"/>
  <c r="C680" i="4"/>
  <c r="B680" i="4"/>
  <c r="G680" i="4" s="1"/>
  <c r="A680" i="4"/>
  <c r="A690" i="5" s="1"/>
  <c r="H679" i="4"/>
  <c r="F679" i="4"/>
  <c r="E679" i="4"/>
  <c r="D679" i="4"/>
  <c r="C679" i="4"/>
  <c r="B679" i="4"/>
  <c r="G679" i="4" s="1"/>
  <c r="A679" i="4"/>
  <c r="A689" i="5" s="1"/>
  <c r="H678" i="4"/>
  <c r="F678" i="4"/>
  <c r="E678" i="4"/>
  <c r="D678" i="4"/>
  <c r="C678" i="4"/>
  <c r="B678" i="4"/>
  <c r="G678" i="4" s="1"/>
  <c r="A678" i="4"/>
  <c r="A688" i="5" s="1"/>
  <c r="H677" i="4"/>
  <c r="F677" i="4"/>
  <c r="E677" i="4"/>
  <c r="D677" i="4"/>
  <c r="C677" i="4"/>
  <c r="B677" i="4"/>
  <c r="G677" i="4" s="1"/>
  <c r="A677" i="4"/>
  <c r="A687" i="5" s="1"/>
  <c r="H676" i="4"/>
  <c r="F676" i="4"/>
  <c r="E676" i="4"/>
  <c r="D676" i="4"/>
  <c r="C676" i="4"/>
  <c r="B676" i="4"/>
  <c r="G676" i="4" s="1"/>
  <c r="A676" i="4"/>
  <c r="A686" i="5" s="1"/>
  <c r="H675" i="4"/>
  <c r="F675" i="4"/>
  <c r="E675" i="4"/>
  <c r="D675" i="4"/>
  <c r="C675" i="4"/>
  <c r="B675" i="4"/>
  <c r="G675" i="4" s="1"/>
  <c r="A675" i="4"/>
  <c r="A685" i="5" s="1"/>
  <c r="H674" i="4"/>
  <c r="F674" i="4"/>
  <c r="E674" i="4"/>
  <c r="D674" i="4"/>
  <c r="C674" i="4"/>
  <c r="B674" i="4"/>
  <c r="G674" i="4" s="1"/>
  <c r="A674" i="4"/>
  <c r="A684" i="5" s="1"/>
  <c r="H673" i="4"/>
  <c r="F673" i="4"/>
  <c r="E673" i="4"/>
  <c r="D673" i="4"/>
  <c r="C673" i="4"/>
  <c r="B673" i="4"/>
  <c r="G673" i="4" s="1"/>
  <c r="A673" i="4"/>
  <c r="A683" i="5" s="1"/>
  <c r="H672" i="4"/>
  <c r="F672" i="4"/>
  <c r="E672" i="4"/>
  <c r="D672" i="4"/>
  <c r="C672" i="4"/>
  <c r="B672" i="4"/>
  <c r="G672" i="4" s="1"/>
  <c r="A672" i="4"/>
  <c r="A682" i="5" s="1"/>
  <c r="H671" i="4"/>
  <c r="F671" i="4"/>
  <c r="E671" i="4"/>
  <c r="D671" i="4"/>
  <c r="C671" i="4"/>
  <c r="B671" i="4"/>
  <c r="G671" i="4" s="1"/>
  <c r="A671" i="4"/>
  <c r="A681" i="5" s="1"/>
  <c r="H670" i="4"/>
  <c r="F670" i="4"/>
  <c r="E670" i="4"/>
  <c r="D670" i="4"/>
  <c r="C670" i="4"/>
  <c r="B670" i="4"/>
  <c r="G670" i="4" s="1"/>
  <c r="A670" i="4"/>
  <c r="A680" i="5" s="1"/>
  <c r="H669" i="4"/>
  <c r="F669" i="4"/>
  <c r="E669" i="4"/>
  <c r="D669" i="4"/>
  <c r="C669" i="4"/>
  <c r="B669" i="4"/>
  <c r="G669" i="4" s="1"/>
  <c r="A669" i="4"/>
  <c r="A679" i="5" s="1"/>
  <c r="H668" i="4"/>
  <c r="F668" i="4"/>
  <c r="E668" i="4"/>
  <c r="D668" i="4"/>
  <c r="C668" i="4"/>
  <c r="B668" i="4"/>
  <c r="G668" i="4" s="1"/>
  <c r="A668" i="4"/>
  <c r="A678" i="5" s="1"/>
  <c r="H667" i="4"/>
  <c r="F667" i="4"/>
  <c r="E667" i="4"/>
  <c r="D667" i="4"/>
  <c r="C667" i="4"/>
  <c r="B667" i="4"/>
  <c r="G667" i="4" s="1"/>
  <c r="A667" i="4"/>
  <c r="A677" i="5" s="1"/>
  <c r="H666" i="4"/>
  <c r="F666" i="4"/>
  <c r="E666" i="4"/>
  <c r="D666" i="4"/>
  <c r="C666" i="4"/>
  <c r="B666" i="4"/>
  <c r="G666" i="4" s="1"/>
  <c r="A666" i="4"/>
  <c r="A676" i="5" s="1"/>
  <c r="H665" i="4"/>
  <c r="F665" i="4"/>
  <c r="E665" i="4"/>
  <c r="D665" i="4"/>
  <c r="C665" i="4"/>
  <c r="B665" i="4"/>
  <c r="G665" i="4" s="1"/>
  <c r="A665" i="4"/>
  <c r="A675" i="5" s="1"/>
  <c r="H664" i="4"/>
  <c r="F664" i="4"/>
  <c r="E664" i="4"/>
  <c r="D664" i="4"/>
  <c r="C664" i="4"/>
  <c r="B664" i="4"/>
  <c r="G664" i="4" s="1"/>
  <c r="A664" i="4"/>
  <c r="A674" i="5" s="1"/>
  <c r="H663" i="4"/>
  <c r="F663" i="4"/>
  <c r="E663" i="4"/>
  <c r="D663" i="4"/>
  <c r="C663" i="4"/>
  <c r="B663" i="4"/>
  <c r="G663" i="4" s="1"/>
  <c r="A663" i="4"/>
  <c r="A673" i="5" s="1"/>
  <c r="H662" i="4"/>
  <c r="F662" i="4"/>
  <c r="E662" i="4"/>
  <c r="D662" i="4"/>
  <c r="C662" i="4"/>
  <c r="B662" i="4"/>
  <c r="G662" i="4" s="1"/>
  <c r="A662" i="4"/>
  <c r="A672" i="5" s="1"/>
  <c r="H661" i="4"/>
  <c r="F661" i="4"/>
  <c r="E661" i="4"/>
  <c r="D661" i="4"/>
  <c r="C661" i="4"/>
  <c r="B661" i="4"/>
  <c r="G661" i="4" s="1"/>
  <c r="A661" i="4"/>
  <c r="A671" i="5" s="1"/>
  <c r="H660" i="4"/>
  <c r="F660" i="4"/>
  <c r="E660" i="4"/>
  <c r="D660" i="4"/>
  <c r="C660" i="4"/>
  <c r="B660" i="4"/>
  <c r="G660" i="4" s="1"/>
  <c r="A660" i="4"/>
  <c r="A670" i="5" s="1"/>
  <c r="H659" i="4"/>
  <c r="F659" i="4"/>
  <c r="E659" i="4"/>
  <c r="D659" i="4"/>
  <c r="C659" i="4"/>
  <c r="B659" i="4"/>
  <c r="G659" i="4" s="1"/>
  <c r="A659" i="4"/>
  <c r="A669" i="5" s="1"/>
  <c r="H658" i="4"/>
  <c r="F658" i="4"/>
  <c r="E658" i="4"/>
  <c r="D658" i="4"/>
  <c r="C658" i="4"/>
  <c r="B658" i="4"/>
  <c r="G658" i="4" s="1"/>
  <c r="A658" i="4"/>
  <c r="A668" i="5" s="1"/>
  <c r="H657" i="4"/>
  <c r="F657" i="4"/>
  <c r="E657" i="4"/>
  <c r="D657" i="4"/>
  <c r="C657" i="4"/>
  <c r="B657" i="4"/>
  <c r="G657" i="4" s="1"/>
  <c r="A657" i="4"/>
  <c r="A667" i="5" s="1"/>
  <c r="H656" i="4"/>
  <c r="F656" i="4"/>
  <c r="E656" i="4"/>
  <c r="D656" i="4"/>
  <c r="C656" i="4"/>
  <c r="B656" i="4"/>
  <c r="G656" i="4" s="1"/>
  <c r="A656" i="4"/>
  <c r="A666" i="5" s="1"/>
  <c r="H655" i="4"/>
  <c r="F655" i="4"/>
  <c r="E655" i="4"/>
  <c r="D655" i="4"/>
  <c r="C655" i="4"/>
  <c r="B655" i="4"/>
  <c r="G655" i="4" s="1"/>
  <c r="A655" i="4"/>
  <c r="A665" i="5" s="1"/>
  <c r="H654" i="4"/>
  <c r="F654" i="4"/>
  <c r="E654" i="4"/>
  <c r="D654" i="4"/>
  <c r="C654" i="4"/>
  <c r="B654" i="4"/>
  <c r="G654" i="4" s="1"/>
  <c r="A654" i="4"/>
  <c r="A664" i="5" s="1"/>
  <c r="H653" i="4"/>
  <c r="F653" i="4"/>
  <c r="E653" i="4"/>
  <c r="D653" i="4"/>
  <c r="C653" i="4"/>
  <c r="B653" i="4"/>
  <c r="G653" i="4" s="1"/>
  <c r="A653" i="4"/>
  <c r="A663" i="5" s="1"/>
  <c r="H652" i="4"/>
  <c r="F652" i="4"/>
  <c r="E652" i="4"/>
  <c r="D652" i="4"/>
  <c r="C652" i="4"/>
  <c r="B652" i="4"/>
  <c r="G652" i="4" s="1"/>
  <c r="A652" i="4"/>
  <c r="A662" i="5" s="1"/>
  <c r="H651" i="4"/>
  <c r="F651" i="4"/>
  <c r="E651" i="4"/>
  <c r="D651" i="4"/>
  <c r="C651" i="4"/>
  <c r="B651" i="4"/>
  <c r="G651" i="4" s="1"/>
  <c r="A651" i="4"/>
  <c r="A661" i="5" s="1"/>
  <c r="H650" i="4"/>
  <c r="F650" i="4"/>
  <c r="E650" i="4"/>
  <c r="D650" i="4"/>
  <c r="C650" i="4"/>
  <c r="B650" i="4"/>
  <c r="G650" i="4" s="1"/>
  <c r="A650" i="4"/>
  <c r="A660" i="5" s="1"/>
  <c r="H649" i="4"/>
  <c r="F649" i="4"/>
  <c r="E649" i="4"/>
  <c r="D649" i="4"/>
  <c r="C649" i="4"/>
  <c r="B649" i="4"/>
  <c r="G649" i="4" s="1"/>
  <c r="A649" i="4"/>
  <c r="A659" i="5" s="1"/>
  <c r="H648" i="4"/>
  <c r="F648" i="4"/>
  <c r="E648" i="4"/>
  <c r="D648" i="4"/>
  <c r="C648" i="4"/>
  <c r="B648" i="4"/>
  <c r="G648" i="4" s="1"/>
  <c r="A648" i="4"/>
  <c r="A658" i="5" s="1"/>
  <c r="H647" i="4"/>
  <c r="F647" i="4"/>
  <c r="E647" i="4"/>
  <c r="D647" i="4"/>
  <c r="C647" i="4"/>
  <c r="B647" i="4"/>
  <c r="G647" i="4" s="1"/>
  <c r="A647" i="4"/>
  <c r="A657" i="5" s="1"/>
  <c r="H646" i="4"/>
  <c r="F646" i="4"/>
  <c r="E646" i="4"/>
  <c r="D646" i="4"/>
  <c r="C646" i="4"/>
  <c r="B646" i="4"/>
  <c r="G646" i="4" s="1"/>
  <c r="A646" i="4"/>
  <c r="A656" i="5" s="1"/>
  <c r="H645" i="4"/>
  <c r="F645" i="4"/>
  <c r="E645" i="4"/>
  <c r="D645" i="4"/>
  <c r="C645" i="4"/>
  <c r="B645" i="4"/>
  <c r="G645" i="4" s="1"/>
  <c r="A645" i="4"/>
  <c r="A655" i="5" s="1"/>
  <c r="H644" i="4"/>
  <c r="F644" i="4"/>
  <c r="E644" i="4"/>
  <c r="D644" i="4"/>
  <c r="C644" i="4"/>
  <c r="B644" i="4"/>
  <c r="G644" i="4" s="1"/>
  <c r="A644" i="4"/>
  <c r="A654" i="5" s="1"/>
  <c r="H643" i="4"/>
  <c r="F643" i="4"/>
  <c r="E643" i="4"/>
  <c r="D643" i="4"/>
  <c r="C643" i="4"/>
  <c r="B643" i="4"/>
  <c r="G643" i="4" s="1"/>
  <c r="A643" i="4"/>
  <c r="A653" i="5" s="1"/>
  <c r="H642" i="4"/>
  <c r="F642" i="4"/>
  <c r="E642" i="4"/>
  <c r="D642" i="4"/>
  <c r="C642" i="4"/>
  <c r="B642" i="4"/>
  <c r="G642" i="4" s="1"/>
  <c r="A642" i="4"/>
  <c r="A652" i="5" s="1"/>
  <c r="H641" i="4"/>
  <c r="F641" i="4"/>
  <c r="E641" i="4"/>
  <c r="D641" i="4"/>
  <c r="C641" i="4"/>
  <c r="B641" i="4"/>
  <c r="G641" i="4" s="1"/>
  <c r="A641" i="4"/>
  <c r="A651" i="5" s="1"/>
  <c r="H640" i="4"/>
  <c r="F640" i="4"/>
  <c r="E640" i="4"/>
  <c r="D640" i="4"/>
  <c r="C640" i="4"/>
  <c r="B640" i="4"/>
  <c r="G640" i="4" s="1"/>
  <c r="A640" i="4"/>
  <c r="A650" i="5" s="1"/>
  <c r="H639" i="4"/>
  <c r="F639" i="4"/>
  <c r="E639" i="4"/>
  <c r="D639" i="4"/>
  <c r="C639" i="4"/>
  <c r="B639" i="4"/>
  <c r="G639" i="4" s="1"/>
  <c r="A639" i="4"/>
  <c r="A649" i="5" s="1"/>
  <c r="H638" i="4"/>
  <c r="F638" i="4"/>
  <c r="E638" i="4"/>
  <c r="D638" i="4"/>
  <c r="C638" i="4"/>
  <c r="B638" i="4"/>
  <c r="G638" i="4" s="1"/>
  <c r="A638" i="4"/>
  <c r="A648" i="5" s="1"/>
  <c r="H637" i="4"/>
  <c r="F637" i="4"/>
  <c r="E637" i="4"/>
  <c r="D637" i="4"/>
  <c r="C637" i="4"/>
  <c r="B637" i="4"/>
  <c r="G637" i="4" s="1"/>
  <c r="A637" i="4"/>
  <c r="A647" i="5" s="1"/>
  <c r="H636" i="4"/>
  <c r="F636" i="4"/>
  <c r="E636" i="4"/>
  <c r="D636" i="4"/>
  <c r="C636" i="4"/>
  <c r="B636" i="4"/>
  <c r="G636" i="4" s="1"/>
  <c r="A636" i="4"/>
  <c r="A646" i="5" s="1"/>
  <c r="H635" i="4"/>
  <c r="F635" i="4"/>
  <c r="E635" i="4"/>
  <c r="D635" i="4"/>
  <c r="C635" i="4"/>
  <c r="B635" i="4"/>
  <c r="G635" i="4" s="1"/>
  <c r="A635" i="4"/>
  <c r="A645" i="5" s="1"/>
  <c r="H634" i="4"/>
  <c r="F634" i="4"/>
  <c r="E634" i="4"/>
  <c r="D634" i="4"/>
  <c r="C634" i="4"/>
  <c r="B634" i="4"/>
  <c r="G634" i="4" s="1"/>
  <c r="A634" i="4"/>
  <c r="A644" i="5" s="1"/>
  <c r="H633" i="4"/>
  <c r="F633" i="4"/>
  <c r="E633" i="4"/>
  <c r="D633" i="4"/>
  <c r="C633" i="4"/>
  <c r="B633" i="4"/>
  <c r="G633" i="4" s="1"/>
  <c r="A633" i="4"/>
  <c r="A643" i="5" s="1"/>
  <c r="H632" i="4"/>
  <c r="F632" i="4"/>
  <c r="E632" i="4"/>
  <c r="D632" i="4"/>
  <c r="C632" i="4"/>
  <c r="B632" i="4"/>
  <c r="G632" i="4" s="1"/>
  <c r="A632" i="4"/>
  <c r="A642" i="5" s="1"/>
  <c r="H631" i="4"/>
  <c r="F631" i="4"/>
  <c r="E631" i="4"/>
  <c r="D631" i="4"/>
  <c r="C631" i="4"/>
  <c r="B631" i="4"/>
  <c r="G631" i="4" s="1"/>
  <c r="A631" i="4"/>
  <c r="A641" i="5" s="1"/>
  <c r="H630" i="4"/>
  <c r="F630" i="4"/>
  <c r="E630" i="4"/>
  <c r="D630" i="4"/>
  <c r="C630" i="4"/>
  <c r="B630" i="4"/>
  <c r="G630" i="4" s="1"/>
  <c r="A630" i="4"/>
  <c r="A640" i="5" s="1"/>
  <c r="H629" i="4"/>
  <c r="F629" i="4"/>
  <c r="E629" i="4"/>
  <c r="D629" i="4"/>
  <c r="C629" i="4"/>
  <c r="B629" i="4"/>
  <c r="G629" i="4" s="1"/>
  <c r="A629" i="4"/>
  <c r="A639" i="5" s="1"/>
  <c r="H628" i="4"/>
  <c r="F628" i="4"/>
  <c r="E628" i="4"/>
  <c r="D628" i="4"/>
  <c r="C628" i="4"/>
  <c r="B628" i="4"/>
  <c r="G628" i="4" s="1"/>
  <c r="A628" i="4"/>
  <c r="A638" i="5" s="1"/>
  <c r="H627" i="4"/>
  <c r="F627" i="4"/>
  <c r="E627" i="4"/>
  <c r="D627" i="4"/>
  <c r="C627" i="4"/>
  <c r="B627" i="4"/>
  <c r="G627" i="4" s="1"/>
  <c r="A627" i="4"/>
  <c r="A637" i="5" s="1"/>
  <c r="H626" i="4"/>
  <c r="F626" i="4"/>
  <c r="E626" i="4"/>
  <c r="D626" i="4"/>
  <c r="C626" i="4"/>
  <c r="B626" i="4"/>
  <c r="G626" i="4" s="1"/>
  <c r="A626" i="4"/>
  <c r="A636" i="5" s="1"/>
  <c r="H625" i="4"/>
  <c r="F625" i="4"/>
  <c r="E625" i="4"/>
  <c r="D625" i="4"/>
  <c r="C625" i="4"/>
  <c r="B625" i="4"/>
  <c r="G625" i="4" s="1"/>
  <c r="A625" i="4"/>
  <c r="A635" i="5" s="1"/>
  <c r="H624" i="4"/>
  <c r="F624" i="4"/>
  <c r="E624" i="4"/>
  <c r="D624" i="4"/>
  <c r="C624" i="4"/>
  <c r="B624" i="4"/>
  <c r="G624" i="4" s="1"/>
  <c r="A624" i="4"/>
  <c r="A634" i="5" s="1"/>
  <c r="H623" i="4"/>
  <c r="F623" i="4"/>
  <c r="E623" i="4"/>
  <c r="D623" i="4"/>
  <c r="C623" i="4"/>
  <c r="B623" i="4"/>
  <c r="G623" i="4" s="1"/>
  <c r="A623" i="4"/>
  <c r="A633" i="5" s="1"/>
  <c r="H622" i="4"/>
  <c r="F622" i="4"/>
  <c r="E622" i="4"/>
  <c r="D622" i="4"/>
  <c r="C622" i="4"/>
  <c r="B622" i="4"/>
  <c r="G622" i="4" s="1"/>
  <c r="A622" i="4"/>
  <c r="A632" i="5" s="1"/>
  <c r="H621" i="4"/>
  <c r="F621" i="4"/>
  <c r="E621" i="4"/>
  <c r="D621" i="4"/>
  <c r="C621" i="4"/>
  <c r="B621" i="4"/>
  <c r="G621" i="4" s="1"/>
  <c r="A621" i="4"/>
  <c r="A631" i="5" s="1"/>
  <c r="H620" i="4"/>
  <c r="F620" i="4"/>
  <c r="E620" i="4"/>
  <c r="D620" i="4"/>
  <c r="C620" i="4"/>
  <c r="B620" i="4"/>
  <c r="G620" i="4" s="1"/>
  <c r="A620" i="4"/>
  <c r="A630" i="5" s="1"/>
  <c r="H619" i="4"/>
  <c r="F619" i="4"/>
  <c r="E619" i="4"/>
  <c r="D619" i="4"/>
  <c r="C619" i="4"/>
  <c r="B619" i="4"/>
  <c r="G619" i="4" s="1"/>
  <c r="A619" i="4"/>
  <c r="A629" i="5" s="1"/>
  <c r="H618" i="4"/>
  <c r="F618" i="4"/>
  <c r="E618" i="4"/>
  <c r="D618" i="4"/>
  <c r="C618" i="4"/>
  <c r="B618" i="4"/>
  <c r="G618" i="4" s="1"/>
  <c r="A618" i="4"/>
  <c r="A628" i="5" s="1"/>
  <c r="H617" i="4"/>
  <c r="F617" i="4"/>
  <c r="E617" i="4"/>
  <c r="D617" i="4"/>
  <c r="C617" i="4"/>
  <c r="B617" i="4"/>
  <c r="G617" i="4" s="1"/>
  <c r="A617" i="4"/>
  <c r="A627" i="5" s="1"/>
  <c r="H616" i="4"/>
  <c r="F616" i="4"/>
  <c r="E616" i="4"/>
  <c r="D616" i="4"/>
  <c r="C616" i="4"/>
  <c r="B616" i="4"/>
  <c r="G616" i="4" s="1"/>
  <c r="A616" i="4"/>
  <c r="A626" i="5" s="1"/>
  <c r="H615" i="4"/>
  <c r="F615" i="4"/>
  <c r="E615" i="4"/>
  <c r="D615" i="4"/>
  <c r="C615" i="4"/>
  <c r="B615" i="4"/>
  <c r="G615" i="4" s="1"/>
  <c r="A615" i="4"/>
  <c r="A625" i="5" s="1"/>
  <c r="H614" i="4"/>
  <c r="F614" i="4"/>
  <c r="E614" i="4"/>
  <c r="D614" i="4"/>
  <c r="C614" i="4"/>
  <c r="B614" i="4"/>
  <c r="G614" i="4" s="1"/>
  <c r="A614" i="4"/>
  <c r="A624" i="5" s="1"/>
  <c r="H613" i="4"/>
  <c r="F613" i="4"/>
  <c r="E613" i="4"/>
  <c r="D613" i="4"/>
  <c r="C613" i="4"/>
  <c r="B613" i="4"/>
  <c r="G613" i="4" s="1"/>
  <c r="A613" i="4"/>
  <c r="A623" i="5" s="1"/>
  <c r="H612" i="4"/>
  <c r="F612" i="4"/>
  <c r="E612" i="4"/>
  <c r="D612" i="4"/>
  <c r="C612" i="4"/>
  <c r="B612" i="4"/>
  <c r="G612" i="4" s="1"/>
  <c r="A612" i="4"/>
  <c r="A622" i="5" s="1"/>
  <c r="H611" i="4"/>
  <c r="F611" i="4"/>
  <c r="E611" i="4"/>
  <c r="D611" i="4"/>
  <c r="C611" i="4"/>
  <c r="B611" i="4"/>
  <c r="G611" i="4" s="1"/>
  <c r="A611" i="4"/>
  <c r="A621" i="5" s="1"/>
  <c r="H610" i="4"/>
  <c r="F610" i="4"/>
  <c r="E610" i="4"/>
  <c r="D610" i="4"/>
  <c r="C610" i="4"/>
  <c r="B610" i="4"/>
  <c r="G610" i="4" s="1"/>
  <c r="A610" i="4"/>
  <c r="A620" i="5" s="1"/>
  <c r="H609" i="4"/>
  <c r="F609" i="4"/>
  <c r="E609" i="4"/>
  <c r="D609" i="4"/>
  <c r="C609" i="4"/>
  <c r="B609" i="4"/>
  <c r="G609" i="4" s="1"/>
  <c r="A609" i="4"/>
  <c r="A619" i="5" s="1"/>
  <c r="H608" i="4"/>
  <c r="F608" i="4"/>
  <c r="E608" i="4"/>
  <c r="D608" i="4"/>
  <c r="C608" i="4"/>
  <c r="B608" i="4"/>
  <c r="G608" i="4" s="1"/>
  <c r="A608" i="4"/>
  <c r="A618" i="5" s="1"/>
  <c r="H607" i="4"/>
  <c r="F607" i="4"/>
  <c r="E607" i="4"/>
  <c r="D607" i="4"/>
  <c r="C607" i="4"/>
  <c r="B607" i="4"/>
  <c r="G607" i="4" s="1"/>
  <c r="A607" i="4"/>
  <c r="A617" i="5" s="1"/>
  <c r="H606" i="4"/>
  <c r="F606" i="4"/>
  <c r="E606" i="4"/>
  <c r="D606" i="4"/>
  <c r="C606" i="4"/>
  <c r="B606" i="4"/>
  <c r="G606" i="4" s="1"/>
  <c r="A606" i="4"/>
  <c r="A616" i="5" s="1"/>
  <c r="H605" i="4"/>
  <c r="F605" i="4"/>
  <c r="E605" i="4"/>
  <c r="D605" i="4"/>
  <c r="C605" i="4"/>
  <c r="B605" i="4"/>
  <c r="G605" i="4" s="1"/>
  <c r="A605" i="4"/>
  <c r="A615" i="5" s="1"/>
  <c r="H604" i="4"/>
  <c r="F604" i="4"/>
  <c r="E604" i="4"/>
  <c r="D604" i="4"/>
  <c r="C604" i="4"/>
  <c r="B604" i="4"/>
  <c r="G604" i="4" s="1"/>
  <c r="A604" i="4"/>
  <c r="A614" i="5" s="1"/>
  <c r="H603" i="4"/>
  <c r="F603" i="4"/>
  <c r="E603" i="4"/>
  <c r="D603" i="4"/>
  <c r="C603" i="4"/>
  <c r="B603" i="4"/>
  <c r="G603" i="4" s="1"/>
  <c r="A603" i="4"/>
  <c r="A613" i="5" s="1"/>
  <c r="H602" i="4"/>
  <c r="F602" i="4"/>
  <c r="E602" i="4"/>
  <c r="D602" i="4"/>
  <c r="C602" i="4"/>
  <c r="B602" i="4"/>
  <c r="G602" i="4" s="1"/>
  <c r="A602" i="4"/>
  <c r="A612" i="5" s="1"/>
  <c r="H601" i="4"/>
  <c r="F601" i="4"/>
  <c r="E601" i="4"/>
  <c r="D601" i="4"/>
  <c r="C601" i="4"/>
  <c r="B601" i="4"/>
  <c r="G601" i="4" s="1"/>
  <c r="A601" i="4"/>
  <c r="A611" i="5" s="1"/>
  <c r="H600" i="4"/>
  <c r="F600" i="4"/>
  <c r="E600" i="4"/>
  <c r="D600" i="4"/>
  <c r="C600" i="4"/>
  <c r="B600" i="4"/>
  <c r="G600" i="4" s="1"/>
  <c r="A600" i="4"/>
  <c r="A610" i="5" s="1"/>
  <c r="H599" i="4"/>
  <c r="F599" i="4"/>
  <c r="E599" i="4"/>
  <c r="D599" i="4"/>
  <c r="C599" i="4"/>
  <c r="B599" i="4"/>
  <c r="G599" i="4" s="1"/>
  <c r="A599" i="4"/>
  <c r="A609" i="5" s="1"/>
  <c r="H598" i="4"/>
  <c r="F598" i="4"/>
  <c r="E598" i="4"/>
  <c r="D598" i="4"/>
  <c r="C598" i="4"/>
  <c r="B598" i="4"/>
  <c r="G598" i="4" s="1"/>
  <c r="A598" i="4"/>
  <c r="A608" i="5" s="1"/>
  <c r="H597" i="4"/>
  <c r="F597" i="4"/>
  <c r="E597" i="4"/>
  <c r="D597" i="4"/>
  <c r="C597" i="4"/>
  <c r="B597" i="4"/>
  <c r="G597" i="4" s="1"/>
  <c r="A597" i="4"/>
  <c r="A607" i="5" s="1"/>
  <c r="H596" i="4"/>
  <c r="F596" i="4"/>
  <c r="E596" i="4"/>
  <c r="D596" i="4"/>
  <c r="C596" i="4"/>
  <c r="B596" i="4"/>
  <c r="G596" i="4" s="1"/>
  <c r="A596" i="4"/>
  <c r="A606" i="5" s="1"/>
  <c r="H595" i="4"/>
  <c r="F595" i="4"/>
  <c r="E595" i="4"/>
  <c r="D595" i="4"/>
  <c r="C595" i="4"/>
  <c r="B595" i="4"/>
  <c r="G595" i="4" s="1"/>
  <c r="A595" i="4"/>
  <c r="A605" i="5" s="1"/>
  <c r="H594" i="4"/>
  <c r="F594" i="4"/>
  <c r="E594" i="4"/>
  <c r="D594" i="4"/>
  <c r="C594" i="4"/>
  <c r="B594" i="4"/>
  <c r="G594" i="4" s="1"/>
  <c r="A594" i="4"/>
  <c r="A604" i="5" s="1"/>
  <c r="H593" i="4"/>
  <c r="F593" i="4"/>
  <c r="E593" i="4"/>
  <c r="D593" i="4"/>
  <c r="C593" i="4"/>
  <c r="B593" i="4"/>
  <c r="G593" i="4" s="1"/>
  <c r="A593" i="4"/>
  <c r="A603" i="5" s="1"/>
  <c r="H592" i="4"/>
  <c r="F592" i="4"/>
  <c r="E592" i="4"/>
  <c r="D592" i="4"/>
  <c r="C592" i="4"/>
  <c r="B592" i="4"/>
  <c r="G592" i="4" s="1"/>
  <c r="A592" i="4"/>
  <c r="A602" i="5" s="1"/>
  <c r="H591" i="4"/>
  <c r="F591" i="4"/>
  <c r="E591" i="4"/>
  <c r="D591" i="4"/>
  <c r="C591" i="4"/>
  <c r="B591" i="4"/>
  <c r="G591" i="4" s="1"/>
  <c r="A591" i="4"/>
  <c r="A601" i="5" s="1"/>
  <c r="H590" i="4"/>
  <c r="F590" i="4"/>
  <c r="E590" i="4"/>
  <c r="D590" i="4"/>
  <c r="C590" i="4"/>
  <c r="B590" i="4"/>
  <c r="G590" i="4" s="1"/>
  <c r="A590" i="4"/>
  <c r="A600" i="5" s="1"/>
  <c r="H589" i="4"/>
  <c r="F589" i="4"/>
  <c r="E589" i="4"/>
  <c r="D589" i="4"/>
  <c r="C589" i="4"/>
  <c r="B589" i="4"/>
  <c r="G589" i="4" s="1"/>
  <c r="A589" i="4"/>
  <c r="A599" i="5" s="1"/>
  <c r="H588" i="4"/>
  <c r="F588" i="4"/>
  <c r="E588" i="4"/>
  <c r="D588" i="4"/>
  <c r="C588" i="4"/>
  <c r="B588" i="4"/>
  <c r="G588" i="4" s="1"/>
  <c r="A588" i="4"/>
  <c r="A598" i="5" s="1"/>
  <c r="H587" i="4"/>
  <c r="F587" i="4"/>
  <c r="E587" i="4"/>
  <c r="D587" i="4"/>
  <c r="C587" i="4"/>
  <c r="B587" i="4"/>
  <c r="G587" i="4" s="1"/>
  <c r="A587" i="4"/>
  <c r="A597" i="5" s="1"/>
  <c r="H586" i="4"/>
  <c r="F586" i="4"/>
  <c r="E586" i="4"/>
  <c r="D586" i="4"/>
  <c r="C586" i="4"/>
  <c r="B586" i="4"/>
  <c r="G586" i="4" s="1"/>
  <c r="A586" i="4"/>
  <c r="A596" i="5" s="1"/>
  <c r="H585" i="4"/>
  <c r="F585" i="4"/>
  <c r="E585" i="4"/>
  <c r="D585" i="4"/>
  <c r="C585" i="4"/>
  <c r="B585" i="4"/>
  <c r="G585" i="4" s="1"/>
  <c r="A585" i="4"/>
  <c r="A595" i="5" s="1"/>
  <c r="H584" i="4"/>
  <c r="F584" i="4"/>
  <c r="E584" i="4"/>
  <c r="D584" i="4"/>
  <c r="C584" i="4"/>
  <c r="B584" i="4"/>
  <c r="G584" i="4" s="1"/>
  <c r="A584" i="4"/>
  <c r="A594" i="5" s="1"/>
  <c r="H583" i="4"/>
  <c r="F583" i="4"/>
  <c r="E583" i="4"/>
  <c r="D583" i="4"/>
  <c r="C583" i="4"/>
  <c r="B583" i="4"/>
  <c r="G583" i="4" s="1"/>
  <c r="A583" i="4"/>
  <c r="A593" i="5" s="1"/>
  <c r="H582" i="4"/>
  <c r="F582" i="4"/>
  <c r="E582" i="4"/>
  <c r="D582" i="4"/>
  <c r="C582" i="4"/>
  <c r="B582" i="4"/>
  <c r="G582" i="4" s="1"/>
  <c r="A582" i="4"/>
  <c r="A592" i="5" s="1"/>
  <c r="H581" i="4"/>
  <c r="F581" i="4"/>
  <c r="E581" i="4"/>
  <c r="D581" i="4"/>
  <c r="C581" i="4"/>
  <c r="B581" i="4"/>
  <c r="G581" i="4" s="1"/>
  <c r="A581" i="4"/>
  <c r="A591" i="5" s="1"/>
  <c r="H580" i="4"/>
  <c r="F580" i="4"/>
  <c r="E580" i="4"/>
  <c r="D580" i="4"/>
  <c r="C580" i="4"/>
  <c r="B580" i="4"/>
  <c r="G580" i="4" s="1"/>
  <c r="A580" i="4"/>
  <c r="A590" i="5" s="1"/>
  <c r="H579" i="4"/>
  <c r="F579" i="4"/>
  <c r="E579" i="4"/>
  <c r="D579" i="4"/>
  <c r="C579" i="4"/>
  <c r="B579" i="4"/>
  <c r="G579" i="4" s="1"/>
  <c r="A579" i="4"/>
  <c r="A589" i="5" s="1"/>
  <c r="H578" i="4"/>
  <c r="F578" i="4"/>
  <c r="E578" i="4"/>
  <c r="D578" i="4"/>
  <c r="C578" i="4"/>
  <c r="B578" i="4"/>
  <c r="G578" i="4" s="1"/>
  <c r="A578" i="4"/>
  <c r="A588" i="5" s="1"/>
  <c r="H577" i="4"/>
  <c r="F577" i="4"/>
  <c r="E577" i="4"/>
  <c r="D577" i="4"/>
  <c r="C577" i="4"/>
  <c r="B577" i="4"/>
  <c r="G577" i="4" s="1"/>
  <c r="A577" i="4"/>
  <c r="A587" i="5" s="1"/>
  <c r="H576" i="4"/>
  <c r="F576" i="4"/>
  <c r="E576" i="4"/>
  <c r="D576" i="4"/>
  <c r="C576" i="4"/>
  <c r="B576" i="4"/>
  <c r="G576" i="4" s="1"/>
  <c r="A576" i="4"/>
  <c r="A586" i="5" s="1"/>
  <c r="H575" i="4"/>
  <c r="F575" i="4"/>
  <c r="E575" i="4"/>
  <c r="D575" i="4"/>
  <c r="C575" i="4"/>
  <c r="B575" i="4"/>
  <c r="G575" i="4" s="1"/>
  <c r="A575" i="4"/>
  <c r="A585" i="5" s="1"/>
  <c r="H574" i="4"/>
  <c r="F574" i="4"/>
  <c r="E574" i="4"/>
  <c r="D574" i="4"/>
  <c r="C574" i="4"/>
  <c r="B574" i="4"/>
  <c r="G574" i="4" s="1"/>
  <c r="A574" i="4"/>
  <c r="A584" i="5" s="1"/>
  <c r="H573" i="4"/>
  <c r="F573" i="4"/>
  <c r="E573" i="4"/>
  <c r="D573" i="4"/>
  <c r="C573" i="4"/>
  <c r="B573" i="4"/>
  <c r="G573" i="4" s="1"/>
  <c r="A573" i="4"/>
  <c r="A583" i="5" s="1"/>
  <c r="H572" i="4"/>
  <c r="F572" i="4"/>
  <c r="E572" i="4"/>
  <c r="D572" i="4"/>
  <c r="C572" i="4"/>
  <c r="B572" i="4"/>
  <c r="G572" i="4" s="1"/>
  <c r="A572" i="4"/>
  <c r="A582" i="5" s="1"/>
  <c r="H571" i="4"/>
  <c r="F571" i="4"/>
  <c r="E571" i="4"/>
  <c r="D571" i="4"/>
  <c r="C571" i="4"/>
  <c r="B571" i="4"/>
  <c r="G571" i="4" s="1"/>
  <c r="A571" i="4"/>
  <c r="A581" i="5" s="1"/>
  <c r="H570" i="4"/>
  <c r="F570" i="4"/>
  <c r="E570" i="4"/>
  <c r="D570" i="4"/>
  <c r="C570" i="4"/>
  <c r="B570" i="4"/>
  <c r="G570" i="4" s="1"/>
  <c r="A570" i="4"/>
  <c r="A580" i="5" s="1"/>
  <c r="H569" i="4"/>
  <c r="F569" i="4"/>
  <c r="E569" i="4"/>
  <c r="D569" i="4"/>
  <c r="C569" i="4"/>
  <c r="B569" i="4"/>
  <c r="G569" i="4" s="1"/>
  <c r="A569" i="4"/>
  <c r="A579" i="5" s="1"/>
  <c r="H568" i="4"/>
  <c r="F568" i="4"/>
  <c r="E568" i="4"/>
  <c r="D568" i="4"/>
  <c r="C568" i="4"/>
  <c r="B568" i="4"/>
  <c r="G568" i="4" s="1"/>
  <c r="A568" i="4"/>
  <c r="A578" i="5" s="1"/>
  <c r="H567" i="4"/>
  <c r="F567" i="4"/>
  <c r="E567" i="4"/>
  <c r="D567" i="4"/>
  <c r="C567" i="4"/>
  <c r="B567" i="4"/>
  <c r="G567" i="4" s="1"/>
  <c r="A567" i="4"/>
  <c r="A577" i="5" s="1"/>
  <c r="H566" i="4"/>
  <c r="F566" i="4"/>
  <c r="E566" i="4"/>
  <c r="D566" i="4"/>
  <c r="C566" i="4"/>
  <c r="B566" i="4"/>
  <c r="G566" i="4" s="1"/>
  <c r="A566" i="4"/>
  <c r="A576" i="5" s="1"/>
  <c r="H565" i="4"/>
  <c r="F565" i="4"/>
  <c r="E565" i="4"/>
  <c r="D565" i="4"/>
  <c r="C565" i="4"/>
  <c r="B565" i="4"/>
  <c r="G565" i="4" s="1"/>
  <c r="A565" i="4"/>
  <c r="A575" i="5" s="1"/>
  <c r="H564" i="4"/>
  <c r="F564" i="4"/>
  <c r="E564" i="4"/>
  <c r="D564" i="4"/>
  <c r="C564" i="4"/>
  <c r="B564" i="4"/>
  <c r="G564" i="4" s="1"/>
  <c r="A564" i="4"/>
  <c r="A574" i="5" s="1"/>
  <c r="H563" i="4"/>
  <c r="F563" i="4"/>
  <c r="E563" i="4"/>
  <c r="D563" i="4"/>
  <c r="C563" i="4"/>
  <c r="B563" i="4"/>
  <c r="G563" i="4" s="1"/>
  <c r="A563" i="4"/>
  <c r="A573" i="5" s="1"/>
  <c r="H562" i="4"/>
  <c r="F562" i="4"/>
  <c r="E562" i="4"/>
  <c r="D562" i="4"/>
  <c r="C562" i="4"/>
  <c r="B562" i="4"/>
  <c r="G562" i="4" s="1"/>
  <c r="A562" i="4"/>
  <c r="A572" i="5" s="1"/>
  <c r="H561" i="4"/>
  <c r="F561" i="4"/>
  <c r="E561" i="4"/>
  <c r="D561" i="4"/>
  <c r="C561" i="4"/>
  <c r="B561" i="4"/>
  <c r="G561" i="4" s="1"/>
  <c r="A561" i="4"/>
  <c r="A571" i="5" s="1"/>
  <c r="H560" i="4"/>
  <c r="F560" i="4"/>
  <c r="E560" i="4"/>
  <c r="D560" i="4"/>
  <c r="C560" i="4"/>
  <c r="B560" i="4"/>
  <c r="G560" i="4" s="1"/>
  <c r="A560" i="4"/>
  <c r="A570" i="5" s="1"/>
  <c r="H559" i="4"/>
  <c r="F559" i="4"/>
  <c r="E559" i="4"/>
  <c r="D559" i="4"/>
  <c r="C559" i="4"/>
  <c r="B559" i="4"/>
  <c r="G559" i="4" s="1"/>
  <c r="A559" i="4"/>
  <c r="A569" i="5" s="1"/>
  <c r="H558" i="4"/>
  <c r="F558" i="4"/>
  <c r="E558" i="4"/>
  <c r="D558" i="4"/>
  <c r="C558" i="4"/>
  <c r="B558" i="4"/>
  <c r="G558" i="4" s="1"/>
  <c r="A558" i="4"/>
  <c r="A568" i="5" s="1"/>
  <c r="H557" i="4"/>
  <c r="F557" i="4"/>
  <c r="E557" i="4"/>
  <c r="D557" i="4"/>
  <c r="C557" i="4"/>
  <c r="B557" i="4"/>
  <c r="G557" i="4" s="1"/>
  <c r="A557" i="4"/>
  <c r="A567" i="5" s="1"/>
  <c r="H556" i="4"/>
  <c r="F556" i="4"/>
  <c r="E556" i="4"/>
  <c r="D556" i="4"/>
  <c r="C556" i="4"/>
  <c r="B556" i="4"/>
  <c r="G556" i="4" s="1"/>
  <c r="A556" i="4"/>
  <c r="A566" i="5" s="1"/>
  <c r="H555" i="4"/>
  <c r="F555" i="4"/>
  <c r="E555" i="4"/>
  <c r="D555" i="4"/>
  <c r="C555" i="4"/>
  <c r="B555" i="4"/>
  <c r="G555" i="4" s="1"/>
  <c r="A555" i="4"/>
  <c r="A565" i="5" s="1"/>
  <c r="H554" i="4"/>
  <c r="F554" i="4"/>
  <c r="E554" i="4"/>
  <c r="D554" i="4"/>
  <c r="C554" i="4"/>
  <c r="B554" i="4"/>
  <c r="G554" i="4" s="1"/>
  <c r="A554" i="4"/>
  <c r="A564" i="5" s="1"/>
  <c r="H553" i="4"/>
  <c r="F553" i="4"/>
  <c r="E553" i="4"/>
  <c r="D553" i="4"/>
  <c r="C553" i="4"/>
  <c r="B553" i="4"/>
  <c r="G553" i="4" s="1"/>
  <c r="A553" i="4"/>
  <c r="A563" i="5" s="1"/>
  <c r="H552" i="4"/>
  <c r="F552" i="4"/>
  <c r="E552" i="4"/>
  <c r="D552" i="4"/>
  <c r="C552" i="4"/>
  <c r="B552" i="4"/>
  <c r="G552" i="4" s="1"/>
  <c r="A552" i="4"/>
  <c r="A562" i="5" s="1"/>
  <c r="H551" i="4"/>
  <c r="F551" i="4"/>
  <c r="E551" i="4"/>
  <c r="D551" i="4"/>
  <c r="C551" i="4"/>
  <c r="B551" i="4"/>
  <c r="G551" i="4" s="1"/>
  <c r="A551" i="4"/>
  <c r="A561" i="5" s="1"/>
  <c r="H550" i="4"/>
  <c r="F550" i="4"/>
  <c r="E550" i="4"/>
  <c r="D550" i="4"/>
  <c r="C550" i="4"/>
  <c r="B550" i="4"/>
  <c r="G550" i="4" s="1"/>
  <c r="A550" i="4"/>
  <c r="A560" i="5" s="1"/>
  <c r="H549" i="4"/>
  <c r="F549" i="4"/>
  <c r="E549" i="4"/>
  <c r="D549" i="4"/>
  <c r="C549" i="4"/>
  <c r="B549" i="4"/>
  <c r="G549" i="4" s="1"/>
  <c r="A549" i="4"/>
  <c r="A559" i="5" s="1"/>
  <c r="H548" i="4"/>
  <c r="F548" i="4"/>
  <c r="E548" i="4"/>
  <c r="D548" i="4"/>
  <c r="C548" i="4"/>
  <c r="B548" i="4"/>
  <c r="G548" i="4" s="1"/>
  <c r="A548" i="4"/>
  <c r="A558" i="5" s="1"/>
  <c r="H547" i="4"/>
  <c r="F547" i="4"/>
  <c r="E547" i="4"/>
  <c r="D547" i="4"/>
  <c r="C547" i="4"/>
  <c r="B547" i="4"/>
  <c r="G547" i="4" s="1"/>
  <c r="A547" i="4"/>
  <c r="A557" i="5" s="1"/>
  <c r="H546" i="4"/>
  <c r="F546" i="4"/>
  <c r="E546" i="4"/>
  <c r="D546" i="4"/>
  <c r="C546" i="4"/>
  <c r="B546" i="4"/>
  <c r="G546" i="4" s="1"/>
  <c r="A546" i="4"/>
  <c r="A556" i="5" s="1"/>
  <c r="H545" i="4"/>
  <c r="F545" i="4"/>
  <c r="E545" i="4"/>
  <c r="D545" i="4"/>
  <c r="C545" i="4"/>
  <c r="B545" i="4"/>
  <c r="G545" i="4" s="1"/>
  <c r="A545" i="4"/>
  <c r="A555" i="5" s="1"/>
  <c r="H544" i="4"/>
  <c r="F544" i="4"/>
  <c r="E544" i="4"/>
  <c r="D544" i="4"/>
  <c r="C544" i="4"/>
  <c r="B544" i="4"/>
  <c r="G544" i="4" s="1"/>
  <c r="A544" i="4"/>
  <c r="A554" i="5" s="1"/>
  <c r="H543" i="4"/>
  <c r="F543" i="4"/>
  <c r="E543" i="4"/>
  <c r="D543" i="4"/>
  <c r="C543" i="4"/>
  <c r="B543" i="4"/>
  <c r="G543" i="4" s="1"/>
  <c r="A543" i="4"/>
  <c r="A553" i="5" s="1"/>
  <c r="H542" i="4"/>
  <c r="F542" i="4"/>
  <c r="E542" i="4"/>
  <c r="D542" i="4"/>
  <c r="C542" i="4"/>
  <c r="B542" i="4"/>
  <c r="G542" i="4" s="1"/>
  <c r="A542" i="4"/>
  <c r="A552" i="5" s="1"/>
  <c r="H541" i="4"/>
  <c r="F541" i="4"/>
  <c r="E541" i="4"/>
  <c r="D541" i="4"/>
  <c r="C541" i="4"/>
  <c r="B541" i="4"/>
  <c r="G541" i="4" s="1"/>
  <c r="A541" i="4"/>
  <c r="A551" i="5" s="1"/>
  <c r="H540" i="4"/>
  <c r="F540" i="4"/>
  <c r="E540" i="4"/>
  <c r="D540" i="4"/>
  <c r="C540" i="4"/>
  <c r="B540" i="4"/>
  <c r="G540" i="4" s="1"/>
  <c r="A540" i="4"/>
  <c r="A550" i="5" s="1"/>
  <c r="H539" i="4"/>
  <c r="F539" i="4"/>
  <c r="E539" i="4"/>
  <c r="D539" i="4"/>
  <c r="C539" i="4"/>
  <c r="B539" i="4"/>
  <c r="G539" i="4" s="1"/>
  <c r="A539" i="4"/>
  <c r="A549" i="5" s="1"/>
  <c r="H538" i="4"/>
  <c r="F538" i="4"/>
  <c r="E538" i="4"/>
  <c r="D538" i="4"/>
  <c r="C538" i="4"/>
  <c r="B538" i="4"/>
  <c r="G538" i="4" s="1"/>
  <c r="A538" i="4"/>
  <c r="A548" i="5" s="1"/>
  <c r="H537" i="4"/>
  <c r="F537" i="4"/>
  <c r="E537" i="4"/>
  <c r="D537" i="4"/>
  <c r="C537" i="4"/>
  <c r="B537" i="4"/>
  <c r="G537" i="4" s="1"/>
  <c r="A537" i="4"/>
  <c r="A547" i="5" s="1"/>
  <c r="H536" i="4"/>
  <c r="F536" i="4"/>
  <c r="E536" i="4"/>
  <c r="D536" i="4"/>
  <c r="C536" i="4"/>
  <c r="B536" i="4"/>
  <c r="G536" i="4" s="1"/>
  <c r="A536" i="4"/>
  <c r="A546" i="5" s="1"/>
  <c r="H535" i="4"/>
  <c r="F535" i="4"/>
  <c r="E535" i="4"/>
  <c r="D535" i="4"/>
  <c r="C535" i="4"/>
  <c r="B535" i="4"/>
  <c r="G535" i="4" s="1"/>
  <c r="A535" i="4"/>
  <c r="A545" i="5" s="1"/>
  <c r="H534" i="4"/>
  <c r="F534" i="4"/>
  <c r="E534" i="4"/>
  <c r="D534" i="4"/>
  <c r="C534" i="4"/>
  <c r="B534" i="4"/>
  <c r="G534" i="4" s="1"/>
  <c r="A534" i="4"/>
  <c r="A544" i="5" s="1"/>
  <c r="H533" i="4"/>
  <c r="F533" i="4"/>
  <c r="E533" i="4"/>
  <c r="D533" i="4"/>
  <c r="C533" i="4"/>
  <c r="B533" i="4"/>
  <c r="G533" i="4" s="1"/>
  <c r="A533" i="4"/>
  <c r="A543" i="5" s="1"/>
  <c r="H532" i="4"/>
  <c r="F532" i="4"/>
  <c r="E532" i="4"/>
  <c r="D532" i="4"/>
  <c r="C532" i="4"/>
  <c r="B532" i="4"/>
  <c r="G532" i="4" s="1"/>
  <c r="A532" i="4"/>
  <c r="A542" i="5" s="1"/>
  <c r="H531" i="4"/>
  <c r="F531" i="4"/>
  <c r="E531" i="4"/>
  <c r="D531" i="4"/>
  <c r="C531" i="4"/>
  <c r="B531" i="4"/>
  <c r="G531" i="4" s="1"/>
  <c r="A531" i="4"/>
  <c r="A541" i="5" s="1"/>
  <c r="H530" i="4"/>
  <c r="F530" i="4"/>
  <c r="E530" i="4"/>
  <c r="D530" i="4"/>
  <c r="C530" i="4"/>
  <c r="B530" i="4"/>
  <c r="G530" i="4" s="1"/>
  <c r="A530" i="4"/>
  <c r="A540" i="5" s="1"/>
  <c r="H529" i="4"/>
  <c r="F529" i="4"/>
  <c r="E529" i="4"/>
  <c r="D529" i="4"/>
  <c r="C529" i="4"/>
  <c r="B529" i="4"/>
  <c r="G529" i="4" s="1"/>
  <c r="A529" i="4"/>
  <c r="A539" i="5" s="1"/>
  <c r="H528" i="4"/>
  <c r="F528" i="4"/>
  <c r="E528" i="4"/>
  <c r="D528" i="4"/>
  <c r="C528" i="4"/>
  <c r="B528" i="4"/>
  <c r="G528" i="4" s="1"/>
  <c r="A528" i="4"/>
  <c r="A538" i="5" s="1"/>
  <c r="H527" i="4"/>
  <c r="F527" i="4"/>
  <c r="E527" i="4"/>
  <c r="D527" i="4"/>
  <c r="C527" i="4"/>
  <c r="B527" i="4"/>
  <c r="G527" i="4" s="1"/>
  <c r="A527" i="4"/>
  <c r="A537" i="5" s="1"/>
  <c r="H526" i="4"/>
  <c r="F526" i="4"/>
  <c r="E526" i="4"/>
  <c r="D526" i="4"/>
  <c r="C526" i="4"/>
  <c r="B526" i="4"/>
  <c r="G526" i="4" s="1"/>
  <c r="A526" i="4"/>
  <c r="A536" i="5" s="1"/>
  <c r="H525" i="4"/>
  <c r="F525" i="4"/>
  <c r="E525" i="4"/>
  <c r="D525" i="4"/>
  <c r="C525" i="4"/>
  <c r="B525" i="4"/>
  <c r="G525" i="4" s="1"/>
  <c r="A525" i="4"/>
  <c r="A535" i="5" s="1"/>
  <c r="H524" i="4"/>
  <c r="F524" i="4"/>
  <c r="E524" i="4"/>
  <c r="D524" i="4"/>
  <c r="C524" i="4"/>
  <c r="B524" i="4"/>
  <c r="G524" i="4" s="1"/>
  <c r="A524" i="4"/>
  <c r="A534" i="5" s="1"/>
  <c r="H523" i="4"/>
  <c r="F523" i="4"/>
  <c r="E523" i="4"/>
  <c r="D523" i="4"/>
  <c r="C523" i="4"/>
  <c r="B523" i="4"/>
  <c r="G523" i="4" s="1"/>
  <c r="A523" i="4"/>
  <c r="A533" i="5" s="1"/>
  <c r="H522" i="4"/>
  <c r="F522" i="4"/>
  <c r="E522" i="4"/>
  <c r="D522" i="4"/>
  <c r="C522" i="4"/>
  <c r="B522" i="4"/>
  <c r="G522" i="4" s="1"/>
  <c r="A522" i="4"/>
  <c r="A532" i="5" s="1"/>
  <c r="H521" i="4"/>
  <c r="F521" i="4"/>
  <c r="E521" i="4"/>
  <c r="D521" i="4"/>
  <c r="C521" i="4"/>
  <c r="B521" i="4"/>
  <c r="G521" i="4" s="1"/>
  <c r="A521" i="4"/>
  <c r="A531" i="5" s="1"/>
  <c r="H520" i="4"/>
  <c r="F520" i="4"/>
  <c r="E520" i="4"/>
  <c r="D520" i="4"/>
  <c r="C520" i="4"/>
  <c r="B520" i="4"/>
  <c r="G520" i="4" s="1"/>
  <c r="A520" i="4"/>
  <c r="A530" i="5" s="1"/>
  <c r="H519" i="4"/>
  <c r="F519" i="4"/>
  <c r="E519" i="4"/>
  <c r="D519" i="4"/>
  <c r="C519" i="4"/>
  <c r="B519" i="4"/>
  <c r="G519" i="4" s="1"/>
  <c r="A519" i="4"/>
  <c r="A529" i="5" s="1"/>
  <c r="H518" i="4"/>
  <c r="F518" i="4"/>
  <c r="E518" i="4"/>
  <c r="D518" i="4"/>
  <c r="C518" i="4"/>
  <c r="B518" i="4"/>
  <c r="G518" i="4" s="1"/>
  <c r="A518" i="4"/>
  <c r="A528" i="5" s="1"/>
  <c r="H517" i="4"/>
  <c r="F517" i="4"/>
  <c r="E517" i="4"/>
  <c r="D517" i="4"/>
  <c r="C517" i="4"/>
  <c r="B517" i="4"/>
  <c r="G517" i="4" s="1"/>
  <c r="A517" i="4"/>
  <c r="A527" i="5" s="1"/>
  <c r="H516" i="4"/>
  <c r="F516" i="4"/>
  <c r="E516" i="4"/>
  <c r="D516" i="4"/>
  <c r="C516" i="4"/>
  <c r="B516" i="4"/>
  <c r="G516" i="4" s="1"/>
  <c r="A516" i="4"/>
  <c r="A526" i="5" s="1"/>
  <c r="H515" i="4"/>
  <c r="F515" i="4"/>
  <c r="E515" i="4"/>
  <c r="D515" i="4"/>
  <c r="C515" i="4"/>
  <c r="B515" i="4"/>
  <c r="G515" i="4" s="1"/>
  <c r="A515" i="4"/>
  <c r="A525" i="5" s="1"/>
  <c r="H514" i="4"/>
  <c r="F514" i="4"/>
  <c r="E514" i="4"/>
  <c r="D514" i="4"/>
  <c r="C514" i="4"/>
  <c r="B514" i="4"/>
  <c r="G514" i="4" s="1"/>
  <c r="A514" i="4"/>
  <c r="A524" i="5" s="1"/>
  <c r="H513" i="4"/>
  <c r="F513" i="4"/>
  <c r="E513" i="4"/>
  <c r="D513" i="4"/>
  <c r="C513" i="4"/>
  <c r="B513" i="4"/>
  <c r="G513" i="4" s="1"/>
  <c r="A513" i="4"/>
  <c r="A523" i="5" s="1"/>
  <c r="H512" i="4"/>
  <c r="F512" i="4"/>
  <c r="E512" i="4"/>
  <c r="D512" i="4"/>
  <c r="C512" i="4"/>
  <c r="B512" i="4"/>
  <c r="G512" i="4" s="1"/>
  <c r="A512" i="4"/>
  <c r="A522" i="5" s="1"/>
  <c r="H511" i="4"/>
  <c r="F511" i="4"/>
  <c r="E511" i="4"/>
  <c r="D511" i="4"/>
  <c r="C511" i="4"/>
  <c r="B511" i="4"/>
  <c r="G511" i="4" s="1"/>
  <c r="A511" i="4"/>
  <c r="A521" i="5" s="1"/>
  <c r="H510" i="4"/>
  <c r="F510" i="4"/>
  <c r="E510" i="4"/>
  <c r="D510" i="4"/>
  <c r="C510" i="4"/>
  <c r="B510" i="4"/>
  <c r="G510" i="4" s="1"/>
  <c r="A510" i="4"/>
  <c r="A520" i="5" s="1"/>
  <c r="H509" i="4"/>
  <c r="F509" i="4"/>
  <c r="E509" i="4"/>
  <c r="D509" i="4"/>
  <c r="C509" i="4"/>
  <c r="B509" i="4"/>
  <c r="G509" i="4" s="1"/>
  <c r="A509" i="4"/>
  <c r="A519" i="5" s="1"/>
  <c r="H508" i="4"/>
  <c r="F508" i="4"/>
  <c r="E508" i="4"/>
  <c r="D508" i="4"/>
  <c r="C508" i="4"/>
  <c r="B508" i="4"/>
  <c r="G508" i="4" s="1"/>
  <c r="A508" i="4"/>
  <c r="A518" i="5" s="1"/>
  <c r="H507" i="4"/>
  <c r="F507" i="4"/>
  <c r="E507" i="4"/>
  <c r="D507" i="4"/>
  <c r="C507" i="4"/>
  <c r="B507" i="4"/>
  <c r="G507" i="4" s="1"/>
  <c r="A507" i="4"/>
  <c r="A517" i="5" s="1"/>
  <c r="H506" i="4"/>
  <c r="F506" i="4"/>
  <c r="E506" i="4"/>
  <c r="D506" i="4"/>
  <c r="C506" i="4"/>
  <c r="B506" i="4"/>
  <c r="G506" i="4" s="1"/>
  <c r="A506" i="4"/>
  <c r="A516" i="5" s="1"/>
  <c r="H505" i="4"/>
  <c r="F505" i="4"/>
  <c r="E505" i="4"/>
  <c r="D505" i="4"/>
  <c r="C505" i="4"/>
  <c r="B505" i="4"/>
  <c r="G505" i="4" s="1"/>
  <c r="A505" i="4"/>
  <c r="A515" i="5" s="1"/>
  <c r="H504" i="4"/>
  <c r="F504" i="4"/>
  <c r="E504" i="4"/>
  <c r="D504" i="4"/>
  <c r="C504" i="4"/>
  <c r="B504" i="4"/>
  <c r="G504" i="4" s="1"/>
  <c r="A504" i="4"/>
  <c r="A514" i="5" s="1"/>
  <c r="H503" i="4"/>
  <c r="F503" i="4"/>
  <c r="E503" i="4"/>
  <c r="D503" i="4"/>
  <c r="C503" i="4"/>
  <c r="B503" i="4"/>
  <c r="G503" i="4" s="1"/>
  <c r="A503" i="4"/>
  <c r="A513" i="5" s="1"/>
  <c r="H502" i="4"/>
  <c r="F502" i="4"/>
  <c r="E502" i="4"/>
  <c r="D502" i="4"/>
  <c r="C502" i="4"/>
  <c r="B502" i="4"/>
  <c r="G502" i="4" s="1"/>
  <c r="A502" i="4"/>
  <c r="A512" i="5" s="1"/>
  <c r="H501" i="4"/>
  <c r="F501" i="4"/>
  <c r="E501" i="4"/>
  <c r="D501" i="4"/>
  <c r="C501" i="4"/>
  <c r="B501" i="4"/>
  <c r="G501" i="4" s="1"/>
  <c r="A501" i="4"/>
  <c r="A511" i="5" s="1"/>
  <c r="H500" i="4"/>
  <c r="F500" i="4"/>
  <c r="E500" i="4"/>
  <c r="D500" i="4"/>
  <c r="C500" i="4"/>
  <c r="B500" i="4"/>
  <c r="G500" i="4" s="1"/>
  <c r="A500" i="4"/>
  <c r="A510" i="5" s="1"/>
  <c r="H499" i="4"/>
  <c r="F499" i="4"/>
  <c r="E499" i="4"/>
  <c r="D499" i="4"/>
  <c r="C499" i="4"/>
  <c r="B499" i="4"/>
  <c r="G499" i="4" s="1"/>
  <c r="A499" i="4"/>
  <c r="A509" i="5" s="1"/>
  <c r="H498" i="4"/>
  <c r="F498" i="4"/>
  <c r="E498" i="4"/>
  <c r="D498" i="4"/>
  <c r="C498" i="4"/>
  <c r="B498" i="4"/>
  <c r="G498" i="4" s="1"/>
  <c r="A498" i="4"/>
  <c r="A508" i="5" s="1"/>
  <c r="H497" i="4"/>
  <c r="F497" i="4"/>
  <c r="E497" i="4"/>
  <c r="D497" i="4"/>
  <c r="C497" i="4"/>
  <c r="B497" i="4"/>
  <c r="G497" i="4" s="1"/>
  <c r="A497" i="4"/>
  <c r="A507" i="5" s="1"/>
  <c r="H496" i="4"/>
  <c r="F496" i="4"/>
  <c r="E496" i="4"/>
  <c r="D496" i="4"/>
  <c r="C496" i="4"/>
  <c r="B496" i="4"/>
  <c r="G496" i="4" s="1"/>
  <c r="A496" i="4"/>
  <c r="A506" i="5" s="1"/>
  <c r="H495" i="4"/>
  <c r="F495" i="4"/>
  <c r="E495" i="4"/>
  <c r="D495" i="4"/>
  <c r="C495" i="4"/>
  <c r="B495" i="4"/>
  <c r="G495" i="4" s="1"/>
  <c r="A495" i="4"/>
  <c r="A505" i="5" s="1"/>
  <c r="H494" i="4"/>
  <c r="F494" i="4"/>
  <c r="E494" i="4"/>
  <c r="D494" i="4"/>
  <c r="C494" i="4"/>
  <c r="B494" i="4"/>
  <c r="G494" i="4" s="1"/>
  <c r="A494" i="4"/>
  <c r="A504" i="5" s="1"/>
  <c r="H493" i="4"/>
  <c r="F493" i="4"/>
  <c r="E493" i="4"/>
  <c r="D493" i="4"/>
  <c r="C493" i="4"/>
  <c r="B493" i="4"/>
  <c r="G493" i="4" s="1"/>
  <c r="A493" i="4"/>
  <c r="A503" i="5" s="1"/>
  <c r="H492" i="4"/>
  <c r="F492" i="4"/>
  <c r="E492" i="4"/>
  <c r="D492" i="4"/>
  <c r="C492" i="4"/>
  <c r="B492" i="4"/>
  <c r="G492" i="4" s="1"/>
  <c r="A492" i="4"/>
  <c r="A502" i="5" s="1"/>
  <c r="H491" i="4"/>
  <c r="F491" i="4"/>
  <c r="E491" i="4"/>
  <c r="D491" i="4"/>
  <c r="C491" i="4"/>
  <c r="B491" i="4"/>
  <c r="G491" i="4" s="1"/>
  <c r="A491" i="4"/>
  <c r="A501" i="5" s="1"/>
  <c r="H490" i="4"/>
  <c r="F490" i="4"/>
  <c r="E490" i="4"/>
  <c r="D490" i="4"/>
  <c r="C490" i="4"/>
  <c r="B490" i="4"/>
  <c r="G490" i="4" s="1"/>
  <c r="A490" i="4"/>
  <c r="A500" i="5" s="1"/>
  <c r="H489" i="4"/>
  <c r="F489" i="4"/>
  <c r="E489" i="4"/>
  <c r="D489" i="4"/>
  <c r="C489" i="4"/>
  <c r="B489" i="4"/>
  <c r="G489" i="4" s="1"/>
  <c r="A489" i="4"/>
  <c r="A499" i="5" s="1"/>
  <c r="H488" i="4"/>
  <c r="F488" i="4"/>
  <c r="E488" i="4"/>
  <c r="D488" i="4"/>
  <c r="C488" i="4"/>
  <c r="B488" i="4"/>
  <c r="G488" i="4" s="1"/>
  <c r="A488" i="4"/>
  <c r="A498" i="5" s="1"/>
  <c r="H487" i="4"/>
  <c r="F487" i="4"/>
  <c r="E487" i="4"/>
  <c r="D487" i="4"/>
  <c r="C487" i="4"/>
  <c r="B487" i="4"/>
  <c r="G487" i="4" s="1"/>
  <c r="A487" i="4"/>
  <c r="A497" i="5" s="1"/>
  <c r="H486" i="4"/>
  <c r="F486" i="4"/>
  <c r="E486" i="4"/>
  <c r="D486" i="4"/>
  <c r="C486" i="4"/>
  <c r="B486" i="4"/>
  <c r="G486" i="4" s="1"/>
  <c r="A486" i="4"/>
  <c r="A496" i="5" s="1"/>
  <c r="H485" i="4"/>
  <c r="F485" i="4"/>
  <c r="E485" i="4"/>
  <c r="D485" i="4"/>
  <c r="C485" i="4"/>
  <c r="B485" i="4"/>
  <c r="G485" i="4" s="1"/>
  <c r="A485" i="4"/>
  <c r="A495" i="5" s="1"/>
  <c r="H484" i="4"/>
  <c r="F484" i="4"/>
  <c r="E484" i="4"/>
  <c r="D484" i="4"/>
  <c r="C484" i="4"/>
  <c r="B484" i="4"/>
  <c r="G484" i="4" s="1"/>
  <c r="A484" i="4"/>
  <c r="A494" i="5" s="1"/>
  <c r="H483" i="4"/>
  <c r="F483" i="4"/>
  <c r="E483" i="4"/>
  <c r="D483" i="4"/>
  <c r="C483" i="4"/>
  <c r="B483" i="4"/>
  <c r="G483" i="4" s="1"/>
  <c r="A483" i="4"/>
  <c r="A493" i="5" s="1"/>
  <c r="H482" i="4"/>
  <c r="F482" i="4"/>
  <c r="E482" i="4"/>
  <c r="D482" i="4"/>
  <c r="C482" i="4"/>
  <c r="B482" i="4"/>
  <c r="G482" i="4" s="1"/>
  <c r="A482" i="4"/>
  <c r="A492" i="5" s="1"/>
  <c r="H481" i="4"/>
  <c r="F481" i="4"/>
  <c r="E481" i="4"/>
  <c r="D481" i="4"/>
  <c r="C481" i="4"/>
  <c r="B481" i="4"/>
  <c r="G481" i="4" s="1"/>
  <c r="A481" i="4"/>
  <c r="A491" i="5" s="1"/>
  <c r="H480" i="4"/>
  <c r="F480" i="4"/>
  <c r="E480" i="4"/>
  <c r="D480" i="4"/>
  <c r="C480" i="4"/>
  <c r="B480" i="4"/>
  <c r="G480" i="4" s="1"/>
  <c r="A480" i="4"/>
  <c r="A490" i="5" s="1"/>
  <c r="H479" i="4"/>
  <c r="F479" i="4"/>
  <c r="E479" i="4"/>
  <c r="D479" i="4"/>
  <c r="C479" i="4"/>
  <c r="B479" i="4"/>
  <c r="G479" i="4" s="1"/>
  <c r="A479" i="4"/>
  <c r="A489" i="5" s="1"/>
  <c r="H478" i="4"/>
  <c r="F478" i="4"/>
  <c r="E478" i="4"/>
  <c r="D478" i="4"/>
  <c r="C478" i="4"/>
  <c r="B478" i="4"/>
  <c r="G478" i="4" s="1"/>
  <c r="A478" i="4"/>
  <c r="A488" i="5" s="1"/>
  <c r="H477" i="4"/>
  <c r="F477" i="4"/>
  <c r="E477" i="4"/>
  <c r="D477" i="4"/>
  <c r="C477" i="4"/>
  <c r="B477" i="4"/>
  <c r="G477" i="4" s="1"/>
  <c r="A477" i="4"/>
  <c r="A487" i="5" s="1"/>
  <c r="H476" i="4"/>
  <c r="F476" i="4"/>
  <c r="E476" i="4"/>
  <c r="D476" i="4"/>
  <c r="C476" i="4"/>
  <c r="B476" i="4"/>
  <c r="G476" i="4" s="1"/>
  <c r="A476" i="4"/>
  <c r="A486" i="5" s="1"/>
  <c r="H475" i="4"/>
  <c r="F475" i="4"/>
  <c r="E475" i="4"/>
  <c r="D475" i="4"/>
  <c r="C475" i="4"/>
  <c r="B475" i="4"/>
  <c r="G475" i="4" s="1"/>
  <c r="A475" i="4"/>
  <c r="A485" i="5" s="1"/>
  <c r="H474" i="4"/>
  <c r="F474" i="4"/>
  <c r="E474" i="4"/>
  <c r="D474" i="4"/>
  <c r="C474" i="4"/>
  <c r="B474" i="4"/>
  <c r="G474" i="4" s="1"/>
  <c r="A474" i="4"/>
  <c r="A484" i="5" s="1"/>
  <c r="H473" i="4"/>
  <c r="F473" i="4"/>
  <c r="E473" i="4"/>
  <c r="D473" i="4"/>
  <c r="C473" i="4"/>
  <c r="B473" i="4"/>
  <c r="G473" i="4" s="1"/>
  <c r="A473" i="4"/>
  <c r="A483" i="5" s="1"/>
  <c r="H472" i="4"/>
  <c r="F472" i="4"/>
  <c r="E472" i="4"/>
  <c r="D472" i="4"/>
  <c r="C472" i="4"/>
  <c r="B472" i="4"/>
  <c r="G472" i="4" s="1"/>
  <c r="A472" i="4"/>
  <c r="A482" i="5" s="1"/>
  <c r="H471" i="4"/>
  <c r="F471" i="4"/>
  <c r="E471" i="4"/>
  <c r="D471" i="4"/>
  <c r="C471" i="4"/>
  <c r="B471" i="4"/>
  <c r="G471" i="4" s="1"/>
  <c r="A471" i="4"/>
  <c r="A481" i="5" s="1"/>
  <c r="H470" i="4"/>
  <c r="F470" i="4"/>
  <c r="E470" i="4"/>
  <c r="D470" i="4"/>
  <c r="C470" i="4"/>
  <c r="B470" i="4"/>
  <c r="G470" i="4" s="1"/>
  <c r="A470" i="4"/>
  <c r="A480" i="5" s="1"/>
  <c r="H469" i="4"/>
  <c r="F469" i="4"/>
  <c r="E469" i="4"/>
  <c r="D469" i="4"/>
  <c r="C469" i="4"/>
  <c r="B469" i="4"/>
  <c r="G469" i="4" s="1"/>
  <c r="A469" i="4"/>
  <c r="A479" i="5" s="1"/>
  <c r="H468" i="4"/>
  <c r="F468" i="4"/>
  <c r="E468" i="4"/>
  <c r="D468" i="4"/>
  <c r="C468" i="4"/>
  <c r="B468" i="4"/>
  <c r="G468" i="4" s="1"/>
  <c r="A468" i="4"/>
  <c r="A478" i="5" s="1"/>
  <c r="H467" i="4"/>
  <c r="F467" i="4"/>
  <c r="E467" i="4"/>
  <c r="D467" i="4"/>
  <c r="C467" i="4"/>
  <c r="B467" i="4"/>
  <c r="G467" i="4" s="1"/>
  <c r="A467" i="4"/>
  <c r="A477" i="5" s="1"/>
  <c r="H466" i="4"/>
  <c r="F466" i="4"/>
  <c r="E466" i="4"/>
  <c r="D466" i="4"/>
  <c r="C466" i="4"/>
  <c r="B466" i="4"/>
  <c r="G466" i="4" s="1"/>
  <c r="A466" i="4"/>
  <c r="A476" i="5" s="1"/>
  <c r="H465" i="4"/>
  <c r="F465" i="4"/>
  <c r="E465" i="4"/>
  <c r="D465" i="4"/>
  <c r="C465" i="4"/>
  <c r="B465" i="4"/>
  <c r="G465" i="4" s="1"/>
  <c r="A465" i="4"/>
  <c r="A475" i="5" s="1"/>
  <c r="H464" i="4"/>
  <c r="F464" i="4"/>
  <c r="E464" i="4"/>
  <c r="D464" i="4"/>
  <c r="C464" i="4"/>
  <c r="B464" i="4"/>
  <c r="G464" i="4" s="1"/>
  <c r="A464" i="4"/>
  <c r="A474" i="5" s="1"/>
  <c r="H463" i="4"/>
  <c r="F463" i="4"/>
  <c r="E463" i="4"/>
  <c r="D463" i="4"/>
  <c r="C463" i="4"/>
  <c r="B463" i="4"/>
  <c r="G463" i="4" s="1"/>
  <c r="A463" i="4"/>
  <c r="A473" i="5" s="1"/>
  <c r="H462" i="4"/>
  <c r="F462" i="4"/>
  <c r="E462" i="4"/>
  <c r="D462" i="4"/>
  <c r="C462" i="4"/>
  <c r="B462" i="4"/>
  <c r="G462" i="4" s="1"/>
  <c r="A462" i="4"/>
  <c r="A472" i="5" s="1"/>
  <c r="H461" i="4"/>
  <c r="F461" i="4"/>
  <c r="E461" i="4"/>
  <c r="D461" i="4"/>
  <c r="C461" i="4"/>
  <c r="B461" i="4"/>
  <c r="G461" i="4" s="1"/>
  <c r="A461" i="4"/>
  <c r="A471" i="5" s="1"/>
  <c r="H460" i="4"/>
  <c r="F460" i="4"/>
  <c r="E460" i="4"/>
  <c r="D460" i="4"/>
  <c r="C460" i="4"/>
  <c r="B460" i="4"/>
  <c r="G460" i="4" s="1"/>
  <c r="A460" i="4"/>
  <c r="A470" i="5" s="1"/>
  <c r="H459" i="4"/>
  <c r="F459" i="4"/>
  <c r="E459" i="4"/>
  <c r="D459" i="4"/>
  <c r="C459" i="4"/>
  <c r="B459" i="4"/>
  <c r="G459" i="4" s="1"/>
  <c r="A459" i="4"/>
  <c r="A469" i="5" s="1"/>
  <c r="H458" i="4"/>
  <c r="F458" i="4"/>
  <c r="E458" i="4"/>
  <c r="D458" i="4"/>
  <c r="C458" i="4"/>
  <c r="B458" i="4"/>
  <c r="G458" i="4" s="1"/>
  <c r="A458" i="4"/>
  <c r="A468" i="5" s="1"/>
  <c r="H457" i="4"/>
  <c r="F457" i="4"/>
  <c r="E457" i="4"/>
  <c r="D457" i="4"/>
  <c r="C457" i="4"/>
  <c r="B457" i="4"/>
  <c r="G457" i="4" s="1"/>
  <c r="A457" i="4"/>
  <c r="A467" i="5" s="1"/>
  <c r="H456" i="4"/>
  <c r="F456" i="4"/>
  <c r="E456" i="4"/>
  <c r="D456" i="4"/>
  <c r="C456" i="4"/>
  <c r="B456" i="4"/>
  <c r="G456" i="4" s="1"/>
  <c r="A456" i="4"/>
  <c r="A466" i="5" s="1"/>
  <c r="H455" i="4"/>
  <c r="F455" i="4"/>
  <c r="E455" i="4"/>
  <c r="D455" i="4"/>
  <c r="C455" i="4"/>
  <c r="B455" i="4"/>
  <c r="G455" i="4" s="1"/>
  <c r="A455" i="4"/>
  <c r="A465" i="5" s="1"/>
  <c r="H454" i="4"/>
  <c r="F454" i="4"/>
  <c r="E454" i="4"/>
  <c r="D454" i="4"/>
  <c r="C454" i="4"/>
  <c r="B454" i="4"/>
  <c r="G454" i="4" s="1"/>
  <c r="A454" i="4"/>
  <c r="A464" i="5" s="1"/>
  <c r="H453" i="4"/>
  <c r="F453" i="4"/>
  <c r="E453" i="4"/>
  <c r="D453" i="4"/>
  <c r="C453" i="4"/>
  <c r="B453" i="4"/>
  <c r="G453" i="4" s="1"/>
  <c r="A453" i="4"/>
  <c r="A463" i="5" s="1"/>
  <c r="H452" i="4"/>
  <c r="F452" i="4"/>
  <c r="E452" i="4"/>
  <c r="D452" i="4"/>
  <c r="C452" i="4"/>
  <c r="B452" i="4"/>
  <c r="G452" i="4" s="1"/>
  <c r="A452" i="4"/>
  <c r="A462" i="5" s="1"/>
  <c r="H451" i="4"/>
  <c r="F451" i="4"/>
  <c r="E451" i="4"/>
  <c r="D451" i="4"/>
  <c r="C451" i="4"/>
  <c r="B451" i="4"/>
  <c r="G451" i="4" s="1"/>
  <c r="A451" i="4"/>
  <c r="A461" i="5" s="1"/>
  <c r="H450" i="4"/>
  <c r="F450" i="4"/>
  <c r="E450" i="4"/>
  <c r="D450" i="4"/>
  <c r="C450" i="4"/>
  <c r="B450" i="4"/>
  <c r="G450" i="4" s="1"/>
  <c r="A450" i="4"/>
  <c r="A460" i="5" s="1"/>
  <c r="H449" i="4"/>
  <c r="F449" i="4"/>
  <c r="E449" i="4"/>
  <c r="D449" i="4"/>
  <c r="C449" i="4"/>
  <c r="B449" i="4"/>
  <c r="G449" i="4" s="1"/>
  <c r="A449" i="4"/>
  <c r="A459" i="5" s="1"/>
  <c r="H448" i="4"/>
  <c r="F448" i="4"/>
  <c r="E448" i="4"/>
  <c r="D448" i="4"/>
  <c r="C448" i="4"/>
  <c r="B448" i="4"/>
  <c r="G448" i="4" s="1"/>
  <c r="A448" i="4"/>
  <c r="A458" i="5" s="1"/>
  <c r="H447" i="4"/>
  <c r="F447" i="4"/>
  <c r="E447" i="4"/>
  <c r="D447" i="4"/>
  <c r="C447" i="4"/>
  <c r="B447" i="4"/>
  <c r="G447" i="4" s="1"/>
  <c r="A447" i="4"/>
  <c r="A457" i="5" s="1"/>
  <c r="H446" i="4"/>
  <c r="F446" i="4"/>
  <c r="E446" i="4"/>
  <c r="D446" i="4"/>
  <c r="C446" i="4"/>
  <c r="B446" i="4"/>
  <c r="G446" i="4" s="1"/>
  <c r="A446" i="4"/>
  <c r="A456" i="5" s="1"/>
  <c r="H445" i="4"/>
  <c r="F445" i="4"/>
  <c r="E445" i="4"/>
  <c r="D445" i="4"/>
  <c r="C445" i="4"/>
  <c r="B445" i="4"/>
  <c r="G445" i="4" s="1"/>
  <c r="A445" i="4"/>
  <c r="A455" i="5" s="1"/>
  <c r="H444" i="4"/>
  <c r="F444" i="4"/>
  <c r="E444" i="4"/>
  <c r="D444" i="4"/>
  <c r="C444" i="4"/>
  <c r="B444" i="4"/>
  <c r="G444" i="4" s="1"/>
  <c r="A444" i="4"/>
  <c r="A454" i="5" s="1"/>
  <c r="H443" i="4"/>
  <c r="F443" i="4"/>
  <c r="E443" i="4"/>
  <c r="D443" i="4"/>
  <c r="C443" i="4"/>
  <c r="B443" i="4"/>
  <c r="G443" i="4" s="1"/>
  <c r="A443" i="4"/>
  <c r="A453" i="5" s="1"/>
  <c r="H442" i="4"/>
  <c r="F442" i="4"/>
  <c r="E442" i="4"/>
  <c r="D442" i="4"/>
  <c r="C442" i="4"/>
  <c r="B442" i="4"/>
  <c r="G442" i="4" s="1"/>
  <c r="A442" i="4"/>
  <c r="A452" i="5" s="1"/>
  <c r="H441" i="4"/>
  <c r="F441" i="4"/>
  <c r="E441" i="4"/>
  <c r="D441" i="4"/>
  <c r="C441" i="4"/>
  <c r="B441" i="4"/>
  <c r="G441" i="4" s="1"/>
  <c r="A441" i="4"/>
  <c r="A451" i="5" s="1"/>
  <c r="H440" i="4"/>
  <c r="F440" i="4"/>
  <c r="E440" i="4"/>
  <c r="D440" i="4"/>
  <c r="C440" i="4"/>
  <c r="B440" i="4"/>
  <c r="G440" i="4" s="1"/>
  <c r="A440" i="4"/>
  <c r="A450" i="5" s="1"/>
  <c r="H439" i="4"/>
  <c r="F439" i="4"/>
  <c r="E439" i="4"/>
  <c r="D439" i="4"/>
  <c r="C439" i="4"/>
  <c r="B439" i="4"/>
  <c r="G439" i="4" s="1"/>
  <c r="A439" i="4"/>
  <c r="A449" i="5" s="1"/>
  <c r="H438" i="4"/>
  <c r="F438" i="4"/>
  <c r="E438" i="4"/>
  <c r="D438" i="4"/>
  <c r="C438" i="4"/>
  <c r="B438" i="4"/>
  <c r="G438" i="4" s="1"/>
  <c r="A438" i="4"/>
  <c r="A448" i="5" s="1"/>
  <c r="H437" i="4"/>
  <c r="F437" i="4"/>
  <c r="E437" i="4"/>
  <c r="D437" i="4"/>
  <c r="C437" i="4"/>
  <c r="B437" i="4"/>
  <c r="G437" i="4" s="1"/>
  <c r="A437" i="4"/>
  <c r="A447" i="5" s="1"/>
  <c r="H436" i="4"/>
  <c r="F436" i="4"/>
  <c r="E436" i="4"/>
  <c r="D436" i="4"/>
  <c r="C436" i="4"/>
  <c r="B436" i="4"/>
  <c r="G436" i="4" s="1"/>
  <c r="A436" i="4"/>
  <c r="A446" i="5" s="1"/>
  <c r="H435" i="4"/>
  <c r="F435" i="4"/>
  <c r="E435" i="4"/>
  <c r="D435" i="4"/>
  <c r="C435" i="4"/>
  <c r="B435" i="4"/>
  <c r="G435" i="4" s="1"/>
  <c r="A435" i="4"/>
  <c r="A445" i="5" s="1"/>
  <c r="H434" i="4"/>
  <c r="F434" i="4"/>
  <c r="E434" i="4"/>
  <c r="D434" i="4"/>
  <c r="C434" i="4"/>
  <c r="B434" i="4"/>
  <c r="G434" i="4" s="1"/>
  <c r="A434" i="4"/>
  <c r="A444" i="5" s="1"/>
  <c r="H433" i="4"/>
  <c r="F433" i="4"/>
  <c r="E433" i="4"/>
  <c r="D433" i="4"/>
  <c r="C433" i="4"/>
  <c r="B433" i="4"/>
  <c r="G433" i="4" s="1"/>
  <c r="A433" i="4"/>
  <c r="A443" i="5" s="1"/>
  <c r="H432" i="4"/>
  <c r="F432" i="4"/>
  <c r="E432" i="4"/>
  <c r="D432" i="4"/>
  <c r="C432" i="4"/>
  <c r="B432" i="4"/>
  <c r="G432" i="4" s="1"/>
  <c r="A432" i="4"/>
  <c r="A442" i="5" s="1"/>
  <c r="H431" i="4"/>
  <c r="F431" i="4"/>
  <c r="E431" i="4"/>
  <c r="D431" i="4"/>
  <c r="C431" i="4"/>
  <c r="B431" i="4"/>
  <c r="G431" i="4" s="1"/>
  <c r="A431" i="4"/>
  <c r="A441" i="5" s="1"/>
  <c r="H430" i="4"/>
  <c r="F430" i="4"/>
  <c r="E430" i="4"/>
  <c r="D430" i="4"/>
  <c r="C430" i="4"/>
  <c r="B430" i="4"/>
  <c r="G430" i="4" s="1"/>
  <c r="A430" i="4"/>
  <c r="A440" i="5" s="1"/>
  <c r="H429" i="4"/>
  <c r="F429" i="4"/>
  <c r="E429" i="4"/>
  <c r="D429" i="4"/>
  <c r="C429" i="4"/>
  <c r="B429" i="4"/>
  <c r="G429" i="4" s="1"/>
  <c r="A429" i="4"/>
  <c r="A439" i="5" s="1"/>
  <c r="H428" i="4"/>
  <c r="F428" i="4"/>
  <c r="E428" i="4"/>
  <c r="D428" i="4"/>
  <c r="C428" i="4"/>
  <c r="B428" i="4"/>
  <c r="G428" i="4" s="1"/>
  <c r="A428" i="4"/>
  <c r="A438" i="5" s="1"/>
  <c r="H427" i="4"/>
  <c r="F427" i="4"/>
  <c r="E427" i="4"/>
  <c r="D427" i="4"/>
  <c r="C427" i="4"/>
  <c r="B427" i="4"/>
  <c r="G427" i="4" s="1"/>
  <c r="A427" i="4"/>
  <c r="A437" i="5" s="1"/>
  <c r="H426" i="4"/>
  <c r="F426" i="4"/>
  <c r="E426" i="4"/>
  <c r="D426" i="4"/>
  <c r="C426" i="4"/>
  <c r="B426" i="4"/>
  <c r="G426" i="4" s="1"/>
  <c r="A426" i="4"/>
  <c r="A436" i="5" s="1"/>
  <c r="H425" i="4"/>
  <c r="F425" i="4"/>
  <c r="E425" i="4"/>
  <c r="D425" i="4"/>
  <c r="C425" i="4"/>
  <c r="B425" i="4"/>
  <c r="G425" i="4" s="1"/>
  <c r="A425" i="4"/>
  <c r="A435" i="5" s="1"/>
  <c r="H424" i="4"/>
  <c r="F424" i="4"/>
  <c r="E424" i="4"/>
  <c r="D424" i="4"/>
  <c r="C424" i="4"/>
  <c r="B424" i="4"/>
  <c r="G424" i="4" s="1"/>
  <c r="A424" i="4"/>
  <c r="A434" i="5" s="1"/>
  <c r="H423" i="4"/>
  <c r="F423" i="4"/>
  <c r="E423" i="4"/>
  <c r="D423" i="4"/>
  <c r="C423" i="4"/>
  <c r="B423" i="4"/>
  <c r="G423" i="4" s="1"/>
  <c r="A423" i="4"/>
  <c r="A433" i="5" s="1"/>
  <c r="H422" i="4"/>
  <c r="F422" i="4"/>
  <c r="E422" i="4"/>
  <c r="D422" i="4"/>
  <c r="C422" i="4"/>
  <c r="B422" i="4"/>
  <c r="G422" i="4" s="1"/>
  <c r="A422" i="4"/>
  <c r="A432" i="5" s="1"/>
  <c r="H421" i="4"/>
  <c r="F421" i="4"/>
  <c r="E421" i="4"/>
  <c r="D421" i="4"/>
  <c r="C421" i="4"/>
  <c r="B421" i="4"/>
  <c r="G421" i="4" s="1"/>
  <c r="A421" i="4"/>
  <c r="A431" i="5" s="1"/>
  <c r="H420" i="4"/>
  <c r="F420" i="4"/>
  <c r="E420" i="4"/>
  <c r="D420" i="4"/>
  <c r="C420" i="4"/>
  <c r="B420" i="4"/>
  <c r="G420" i="4" s="1"/>
  <c r="A420" i="4"/>
  <c r="A430" i="5" s="1"/>
  <c r="H419" i="4"/>
  <c r="F419" i="4"/>
  <c r="E419" i="4"/>
  <c r="D419" i="4"/>
  <c r="C419" i="4"/>
  <c r="B419" i="4"/>
  <c r="G419" i="4" s="1"/>
  <c r="A419" i="4"/>
  <c r="A429" i="5" s="1"/>
  <c r="H418" i="4"/>
  <c r="F418" i="4"/>
  <c r="E418" i="4"/>
  <c r="D418" i="4"/>
  <c r="C418" i="4"/>
  <c r="B418" i="4"/>
  <c r="G418" i="4" s="1"/>
  <c r="A418" i="4"/>
  <c r="A428" i="5" s="1"/>
  <c r="H417" i="4"/>
  <c r="F417" i="4"/>
  <c r="E417" i="4"/>
  <c r="D417" i="4"/>
  <c r="C417" i="4"/>
  <c r="B417" i="4"/>
  <c r="G417" i="4" s="1"/>
  <c r="A417" i="4"/>
  <c r="A427" i="5" s="1"/>
  <c r="H416" i="4"/>
  <c r="F416" i="4"/>
  <c r="E416" i="4"/>
  <c r="D416" i="4"/>
  <c r="C416" i="4"/>
  <c r="B416" i="4"/>
  <c r="G416" i="4" s="1"/>
  <c r="A416" i="4"/>
  <c r="A426" i="5" s="1"/>
  <c r="H415" i="4"/>
  <c r="F415" i="4"/>
  <c r="E415" i="4"/>
  <c r="D415" i="4"/>
  <c r="C415" i="4"/>
  <c r="B415" i="4"/>
  <c r="G415" i="4" s="1"/>
  <c r="A415" i="4"/>
  <c r="A425" i="5" s="1"/>
  <c r="H414" i="4"/>
  <c r="F414" i="4"/>
  <c r="E414" i="4"/>
  <c r="D414" i="4"/>
  <c r="C414" i="4"/>
  <c r="B414" i="4"/>
  <c r="G414" i="4" s="1"/>
  <c r="A414" i="4"/>
  <c r="A424" i="5" s="1"/>
  <c r="H413" i="4"/>
  <c r="F413" i="4"/>
  <c r="E413" i="4"/>
  <c r="D413" i="4"/>
  <c r="C413" i="4"/>
  <c r="B413" i="4"/>
  <c r="G413" i="4" s="1"/>
  <c r="A413" i="4"/>
  <c r="A423" i="5" s="1"/>
  <c r="H412" i="4"/>
  <c r="F412" i="4"/>
  <c r="E412" i="4"/>
  <c r="D412" i="4"/>
  <c r="C412" i="4"/>
  <c r="B412" i="4"/>
  <c r="G412" i="4" s="1"/>
  <c r="A412" i="4"/>
  <c r="A422" i="5" s="1"/>
  <c r="H411" i="4"/>
  <c r="F411" i="4"/>
  <c r="E411" i="4"/>
  <c r="D411" i="4"/>
  <c r="C411" i="4"/>
  <c r="B411" i="4"/>
  <c r="G411" i="4" s="1"/>
  <c r="A411" i="4"/>
  <c r="A421" i="5" s="1"/>
  <c r="H410" i="4"/>
  <c r="F410" i="4"/>
  <c r="E410" i="4"/>
  <c r="D410" i="4"/>
  <c r="C410" i="4"/>
  <c r="B410" i="4"/>
  <c r="G410" i="4" s="1"/>
  <c r="A410" i="4"/>
  <c r="A420" i="5" s="1"/>
  <c r="H409" i="4"/>
  <c r="F409" i="4"/>
  <c r="E409" i="4"/>
  <c r="D409" i="4"/>
  <c r="C409" i="4"/>
  <c r="B409" i="4"/>
  <c r="G409" i="4" s="1"/>
  <c r="A409" i="4"/>
  <c r="A419" i="5" s="1"/>
  <c r="H408" i="4"/>
  <c r="F408" i="4"/>
  <c r="E408" i="4"/>
  <c r="D408" i="4"/>
  <c r="C408" i="4"/>
  <c r="B408" i="4"/>
  <c r="G408" i="4" s="1"/>
  <c r="A408" i="4"/>
  <c r="A418" i="5" s="1"/>
  <c r="H407" i="4"/>
  <c r="F407" i="4"/>
  <c r="E407" i="4"/>
  <c r="D407" i="4"/>
  <c r="C407" i="4"/>
  <c r="B407" i="4"/>
  <c r="G407" i="4" s="1"/>
  <c r="A407" i="4"/>
  <c r="A417" i="5" s="1"/>
  <c r="H406" i="4"/>
  <c r="F406" i="4"/>
  <c r="E406" i="4"/>
  <c r="D406" i="4"/>
  <c r="C406" i="4"/>
  <c r="B406" i="4"/>
  <c r="G406" i="4" s="1"/>
  <c r="A406" i="4"/>
  <c r="A416" i="5" s="1"/>
  <c r="H405" i="4"/>
  <c r="F405" i="4"/>
  <c r="E405" i="4"/>
  <c r="D405" i="4"/>
  <c r="C405" i="4"/>
  <c r="B405" i="4"/>
  <c r="G405" i="4" s="1"/>
  <c r="A405" i="4"/>
  <c r="A415" i="5" s="1"/>
  <c r="H404" i="4"/>
  <c r="F404" i="4"/>
  <c r="E404" i="4"/>
  <c r="D404" i="4"/>
  <c r="C404" i="4"/>
  <c r="B404" i="4"/>
  <c r="G404" i="4" s="1"/>
  <c r="A404" i="4"/>
  <c r="A414" i="5" s="1"/>
  <c r="H403" i="4"/>
  <c r="F403" i="4"/>
  <c r="E403" i="4"/>
  <c r="D403" i="4"/>
  <c r="C403" i="4"/>
  <c r="B403" i="4"/>
  <c r="G403" i="4" s="1"/>
  <c r="A403" i="4"/>
  <c r="A413" i="5" s="1"/>
  <c r="H402" i="4"/>
  <c r="F402" i="4"/>
  <c r="E402" i="4"/>
  <c r="D402" i="4"/>
  <c r="C402" i="4"/>
  <c r="B402" i="4"/>
  <c r="G402" i="4" s="1"/>
  <c r="A402" i="4"/>
  <c r="A412" i="5" s="1"/>
  <c r="H401" i="4"/>
  <c r="F401" i="4"/>
  <c r="E401" i="4"/>
  <c r="D401" i="4"/>
  <c r="C401" i="4"/>
  <c r="B401" i="4"/>
  <c r="G401" i="4" s="1"/>
  <c r="A401" i="4"/>
  <c r="A411" i="5" s="1"/>
  <c r="H400" i="4"/>
  <c r="F400" i="4"/>
  <c r="E400" i="4"/>
  <c r="D400" i="4"/>
  <c r="C400" i="4"/>
  <c r="B400" i="4"/>
  <c r="G400" i="4" s="1"/>
  <c r="A400" i="4"/>
  <c r="A410" i="5" s="1"/>
  <c r="H399" i="4"/>
  <c r="F399" i="4"/>
  <c r="E399" i="4"/>
  <c r="D399" i="4"/>
  <c r="C399" i="4"/>
  <c r="B399" i="4"/>
  <c r="G399" i="4" s="1"/>
  <c r="A399" i="4"/>
  <c r="A409" i="5" s="1"/>
  <c r="H398" i="4"/>
  <c r="F398" i="4"/>
  <c r="E398" i="4"/>
  <c r="D398" i="4"/>
  <c r="C398" i="4"/>
  <c r="B398" i="4"/>
  <c r="G398" i="4" s="1"/>
  <c r="A398" i="4"/>
  <c r="A408" i="5" s="1"/>
  <c r="H397" i="4"/>
  <c r="F397" i="4"/>
  <c r="E397" i="4"/>
  <c r="D397" i="4"/>
  <c r="C397" i="4"/>
  <c r="B397" i="4"/>
  <c r="G397" i="4" s="1"/>
  <c r="A397" i="4"/>
  <c r="A407" i="5" s="1"/>
  <c r="H396" i="4"/>
  <c r="F396" i="4"/>
  <c r="E396" i="4"/>
  <c r="D396" i="4"/>
  <c r="C396" i="4"/>
  <c r="B396" i="4"/>
  <c r="G396" i="4" s="1"/>
  <c r="A396" i="4"/>
  <c r="A406" i="5" s="1"/>
  <c r="H395" i="4"/>
  <c r="F395" i="4"/>
  <c r="E395" i="4"/>
  <c r="D395" i="4"/>
  <c r="C395" i="4"/>
  <c r="B395" i="4"/>
  <c r="G395" i="4" s="1"/>
  <c r="A395" i="4"/>
  <c r="A405" i="5" s="1"/>
  <c r="H394" i="4"/>
  <c r="F394" i="4"/>
  <c r="E394" i="4"/>
  <c r="D394" i="4"/>
  <c r="C394" i="4"/>
  <c r="B394" i="4"/>
  <c r="G394" i="4" s="1"/>
  <c r="A394" i="4"/>
  <c r="A404" i="5" s="1"/>
  <c r="H393" i="4"/>
  <c r="F393" i="4"/>
  <c r="E393" i="4"/>
  <c r="D393" i="4"/>
  <c r="C393" i="4"/>
  <c r="B393" i="4"/>
  <c r="G393" i="4" s="1"/>
  <c r="A393" i="4"/>
  <c r="A403" i="5" s="1"/>
  <c r="H392" i="4"/>
  <c r="F392" i="4"/>
  <c r="E392" i="4"/>
  <c r="D392" i="4"/>
  <c r="C392" i="4"/>
  <c r="B392" i="4"/>
  <c r="G392" i="4" s="1"/>
  <c r="A392" i="4"/>
  <c r="A402" i="5" s="1"/>
  <c r="H391" i="4"/>
  <c r="F391" i="4"/>
  <c r="E391" i="4"/>
  <c r="D391" i="4"/>
  <c r="C391" i="4"/>
  <c r="B391" i="4"/>
  <c r="G391" i="4" s="1"/>
  <c r="A391" i="4"/>
  <c r="A401" i="5" s="1"/>
  <c r="H390" i="4"/>
  <c r="F390" i="4"/>
  <c r="E390" i="4"/>
  <c r="D390" i="4"/>
  <c r="C390" i="4"/>
  <c r="B390" i="4"/>
  <c r="G390" i="4" s="1"/>
  <c r="A390" i="4"/>
  <c r="A400" i="5" s="1"/>
  <c r="H389" i="4"/>
  <c r="F389" i="4"/>
  <c r="E389" i="4"/>
  <c r="D389" i="4"/>
  <c r="C389" i="4"/>
  <c r="B389" i="4"/>
  <c r="G389" i="4" s="1"/>
  <c r="A389" i="4"/>
  <c r="A399" i="5" s="1"/>
  <c r="H388" i="4"/>
  <c r="F388" i="4"/>
  <c r="E388" i="4"/>
  <c r="D388" i="4"/>
  <c r="C388" i="4"/>
  <c r="B388" i="4"/>
  <c r="G388" i="4" s="1"/>
  <c r="A388" i="4"/>
  <c r="A398" i="5" s="1"/>
  <c r="H387" i="4"/>
  <c r="F387" i="4"/>
  <c r="E387" i="4"/>
  <c r="D387" i="4"/>
  <c r="C387" i="4"/>
  <c r="B387" i="4"/>
  <c r="G387" i="4" s="1"/>
  <c r="A387" i="4"/>
  <c r="A397" i="5" s="1"/>
  <c r="H386" i="4"/>
  <c r="F386" i="4"/>
  <c r="E386" i="4"/>
  <c r="D386" i="4"/>
  <c r="C386" i="4"/>
  <c r="B386" i="4"/>
  <c r="G386" i="4" s="1"/>
  <c r="A386" i="4"/>
  <c r="A396" i="5" s="1"/>
  <c r="H385" i="4"/>
  <c r="F385" i="4"/>
  <c r="E385" i="4"/>
  <c r="D385" i="4"/>
  <c r="C385" i="4"/>
  <c r="B385" i="4"/>
  <c r="G385" i="4" s="1"/>
  <c r="A385" i="4"/>
  <c r="A395" i="5" s="1"/>
  <c r="H384" i="4"/>
  <c r="F384" i="4"/>
  <c r="E384" i="4"/>
  <c r="D384" i="4"/>
  <c r="C384" i="4"/>
  <c r="B384" i="4"/>
  <c r="G384" i="4" s="1"/>
  <c r="A384" i="4"/>
  <c r="A394" i="5" s="1"/>
  <c r="H383" i="4"/>
  <c r="F383" i="4"/>
  <c r="E383" i="4"/>
  <c r="D383" i="4"/>
  <c r="C383" i="4"/>
  <c r="B383" i="4"/>
  <c r="G383" i="4" s="1"/>
  <c r="A383" i="4"/>
  <c r="A393" i="5" s="1"/>
  <c r="H382" i="4"/>
  <c r="F382" i="4"/>
  <c r="E382" i="4"/>
  <c r="D382" i="4"/>
  <c r="C382" i="4"/>
  <c r="B382" i="4"/>
  <c r="G382" i="4" s="1"/>
  <c r="A382" i="4"/>
  <c r="A392" i="5" s="1"/>
  <c r="H381" i="4"/>
  <c r="F381" i="4"/>
  <c r="E381" i="4"/>
  <c r="D381" i="4"/>
  <c r="C381" i="4"/>
  <c r="B381" i="4"/>
  <c r="G381" i="4" s="1"/>
  <c r="A381" i="4"/>
  <c r="A391" i="5" s="1"/>
  <c r="H380" i="4"/>
  <c r="F380" i="4"/>
  <c r="E380" i="4"/>
  <c r="D380" i="4"/>
  <c r="C380" i="4"/>
  <c r="B380" i="4"/>
  <c r="G380" i="4" s="1"/>
  <c r="A380" i="4"/>
  <c r="A390" i="5" s="1"/>
  <c r="H379" i="4"/>
  <c r="F379" i="4"/>
  <c r="E379" i="4"/>
  <c r="D379" i="4"/>
  <c r="C379" i="4"/>
  <c r="B379" i="4"/>
  <c r="G379" i="4" s="1"/>
  <c r="A379" i="4"/>
  <c r="A389" i="5" s="1"/>
  <c r="H378" i="4"/>
  <c r="F378" i="4"/>
  <c r="E378" i="4"/>
  <c r="D378" i="4"/>
  <c r="C378" i="4"/>
  <c r="B378" i="4"/>
  <c r="G378" i="4" s="1"/>
  <c r="A378" i="4"/>
  <c r="A388" i="5" s="1"/>
  <c r="H377" i="4"/>
  <c r="F377" i="4"/>
  <c r="E377" i="4"/>
  <c r="D377" i="4"/>
  <c r="C377" i="4"/>
  <c r="B377" i="4"/>
  <c r="G377" i="4" s="1"/>
  <c r="A377" i="4"/>
  <c r="A387" i="5" s="1"/>
  <c r="H376" i="4"/>
  <c r="F376" i="4"/>
  <c r="E376" i="4"/>
  <c r="D376" i="4"/>
  <c r="C376" i="4"/>
  <c r="B376" i="4"/>
  <c r="G376" i="4" s="1"/>
  <c r="A376" i="4"/>
  <c r="A386" i="5" s="1"/>
  <c r="H375" i="4"/>
  <c r="F375" i="4"/>
  <c r="E375" i="4"/>
  <c r="D375" i="4"/>
  <c r="C375" i="4"/>
  <c r="B375" i="4"/>
  <c r="G375" i="4" s="1"/>
  <c r="A375" i="4"/>
  <c r="A385" i="5" s="1"/>
  <c r="H374" i="4"/>
  <c r="F374" i="4"/>
  <c r="E374" i="4"/>
  <c r="D374" i="4"/>
  <c r="C374" i="4"/>
  <c r="B374" i="4"/>
  <c r="G374" i="4" s="1"/>
  <c r="A374" i="4"/>
  <c r="A384" i="5" s="1"/>
  <c r="H373" i="4"/>
  <c r="F373" i="4"/>
  <c r="E373" i="4"/>
  <c r="D373" i="4"/>
  <c r="C373" i="4"/>
  <c r="B373" i="4"/>
  <c r="G373" i="4" s="1"/>
  <c r="A373" i="4"/>
  <c r="A383" i="5" s="1"/>
  <c r="H372" i="4"/>
  <c r="F372" i="4"/>
  <c r="E372" i="4"/>
  <c r="D372" i="4"/>
  <c r="C372" i="4"/>
  <c r="B372" i="4"/>
  <c r="G372" i="4" s="1"/>
  <c r="A372" i="4"/>
  <c r="A382" i="5" s="1"/>
  <c r="H371" i="4"/>
  <c r="F371" i="4"/>
  <c r="E371" i="4"/>
  <c r="D371" i="4"/>
  <c r="C371" i="4"/>
  <c r="B371" i="4"/>
  <c r="G371" i="4" s="1"/>
  <c r="A371" i="4"/>
  <c r="A381" i="5" s="1"/>
  <c r="H370" i="4"/>
  <c r="F370" i="4"/>
  <c r="E370" i="4"/>
  <c r="D370" i="4"/>
  <c r="C370" i="4"/>
  <c r="B370" i="4"/>
  <c r="G370" i="4" s="1"/>
  <c r="A370" i="4"/>
  <c r="A380" i="5" s="1"/>
  <c r="H369" i="4"/>
  <c r="F369" i="4"/>
  <c r="E369" i="4"/>
  <c r="D369" i="4"/>
  <c r="C369" i="4"/>
  <c r="B369" i="4"/>
  <c r="G369" i="4" s="1"/>
  <c r="A369" i="4"/>
  <c r="A379" i="5" s="1"/>
  <c r="H368" i="4"/>
  <c r="F368" i="4"/>
  <c r="E368" i="4"/>
  <c r="D368" i="4"/>
  <c r="C368" i="4"/>
  <c r="B368" i="4"/>
  <c r="G368" i="4" s="1"/>
  <c r="A368" i="4"/>
  <c r="A378" i="5" s="1"/>
  <c r="H367" i="4"/>
  <c r="F367" i="4"/>
  <c r="E367" i="4"/>
  <c r="D367" i="4"/>
  <c r="C367" i="4"/>
  <c r="B367" i="4"/>
  <c r="G367" i="4" s="1"/>
  <c r="A367" i="4"/>
  <c r="A377" i="5" s="1"/>
  <c r="H366" i="4"/>
  <c r="F366" i="4"/>
  <c r="E366" i="4"/>
  <c r="D366" i="4"/>
  <c r="C366" i="4"/>
  <c r="B366" i="4"/>
  <c r="G366" i="4" s="1"/>
  <c r="A366" i="4"/>
  <c r="A376" i="5" s="1"/>
  <c r="H365" i="4"/>
  <c r="F365" i="4"/>
  <c r="E365" i="4"/>
  <c r="D365" i="4"/>
  <c r="C365" i="4"/>
  <c r="B365" i="4"/>
  <c r="G365" i="4" s="1"/>
  <c r="A365" i="4"/>
  <c r="A375" i="5" s="1"/>
  <c r="H364" i="4"/>
  <c r="F364" i="4"/>
  <c r="E364" i="4"/>
  <c r="D364" i="4"/>
  <c r="C364" i="4"/>
  <c r="B364" i="4"/>
  <c r="G364" i="4" s="1"/>
  <c r="A364" i="4"/>
  <c r="A374" i="5" s="1"/>
  <c r="H363" i="4"/>
  <c r="F363" i="4"/>
  <c r="E363" i="4"/>
  <c r="D363" i="4"/>
  <c r="C363" i="4"/>
  <c r="B363" i="4"/>
  <c r="G363" i="4" s="1"/>
  <c r="A363" i="4"/>
  <c r="A373" i="5" s="1"/>
  <c r="H362" i="4"/>
  <c r="F362" i="4"/>
  <c r="E362" i="4"/>
  <c r="D362" i="4"/>
  <c r="C362" i="4"/>
  <c r="B362" i="4"/>
  <c r="G362" i="4" s="1"/>
  <c r="A362" i="4"/>
  <c r="A372" i="5" s="1"/>
  <c r="H361" i="4"/>
  <c r="F361" i="4"/>
  <c r="E361" i="4"/>
  <c r="D361" i="4"/>
  <c r="C361" i="4"/>
  <c r="B361" i="4"/>
  <c r="G361" i="4" s="1"/>
  <c r="A361" i="4"/>
  <c r="A371" i="5" s="1"/>
  <c r="H360" i="4"/>
  <c r="F360" i="4"/>
  <c r="E360" i="4"/>
  <c r="D360" i="4"/>
  <c r="C360" i="4"/>
  <c r="B360" i="4"/>
  <c r="G360" i="4" s="1"/>
  <c r="A360" i="4"/>
  <c r="A370" i="5" s="1"/>
  <c r="H359" i="4"/>
  <c r="F359" i="4"/>
  <c r="E359" i="4"/>
  <c r="D359" i="4"/>
  <c r="C359" i="4"/>
  <c r="B359" i="4"/>
  <c r="G359" i="4" s="1"/>
  <c r="A359" i="4"/>
  <c r="A369" i="5" s="1"/>
  <c r="H358" i="4"/>
  <c r="F358" i="4"/>
  <c r="E358" i="4"/>
  <c r="D358" i="4"/>
  <c r="C358" i="4"/>
  <c r="B358" i="4"/>
  <c r="G358" i="4" s="1"/>
  <c r="A358" i="4"/>
  <c r="A368" i="5" s="1"/>
  <c r="H357" i="4"/>
  <c r="F357" i="4"/>
  <c r="E357" i="4"/>
  <c r="D357" i="4"/>
  <c r="C357" i="4"/>
  <c r="B357" i="4"/>
  <c r="G357" i="4" s="1"/>
  <c r="A357" i="4"/>
  <c r="A367" i="5" s="1"/>
  <c r="H356" i="4"/>
  <c r="F356" i="4"/>
  <c r="E356" i="4"/>
  <c r="D356" i="4"/>
  <c r="C356" i="4"/>
  <c r="B356" i="4"/>
  <c r="G356" i="4" s="1"/>
  <c r="A356" i="4"/>
  <c r="A366" i="5" s="1"/>
  <c r="H355" i="4"/>
  <c r="F355" i="4"/>
  <c r="E355" i="4"/>
  <c r="D355" i="4"/>
  <c r="C355" i="4"/>
  <c r="B355" i="4"/>
  <c r="G355" i="4" s="1"/>
  <c r="A355" i="4"/>
  <c r="A365" i="5" s="1"/>
  <c r="H354" i="4"/>
  <c r="F354" i="4"/>
  <c r="E354" i="4"/>
  <c r="D354" i="4"/>
  <c r="C354" i="4"/>
  <c r="B354" i="4"/>
  <c r="G354" i="4" s="1"/>
  <c r="A354" i="4"/>
  <c r="A364" i="5" s="1"/>
  <c r="H353" i="4"/>
  <c r="F353" i="4"/>
  <c r="E353" i="4"/>
  <c r="D353" i="4"/>
  <c r="C353" i="4"/>
  <c r="B353" i="4"/>
  <c r="G353" i="4" s="1"/>
  <c r="A353" i="4"/>
  <c r="A363" i="5" s="1"/>
  <c r="H352" i="4"/>
  <c r="F352" i="4"/>
  <c r="E352" i="4"/>
  <c r="D352" i="4"/>
  <c r="C352" i="4"/>
  <c r="B352" i="4"/>
  <c r="G352" i="4" s="1"/>
  <c r="A352" i="4"/>
  <c r="A362" i="5" s="1"/>
  <c r="H351" i="4"/>
  <c r="F351" i="4"/>
  <c r="E351" i="4"/>
  <c r="D351" i="4"/>
  <c r="C351" i="4"/>
  <c r="B351" i="4"/>
  <c r="G351" i="4" s="1"/>
  <c r="A351" i="4"/>
  <c r="A361" i="5" s="1"/>
  <c r="H350" i="4"/>
  <c r="F350" i="4"/>
  <c r="E350" i="4"/>
  <c r="D350" i="4"/>
  <c r="C350" i="4"/>
  <c r="B350" i="4"/>
  <c r="G350" i="4" s="1"/>
  <c r="A350" i="4"/>
  <c r="A360" i="5" s="1"/>
  <c r="H349" i="4"/>
  <c r="F349" i="4"/>
  <c r="E349" i="4"/>
  <c r="D349" i="4"/>
  <c r="C349" i="4"/>
  <c r="B349" i="4"/>
  <c r="G349" i="4" s="1"/>
  <c r="A349" i="4"/>
  <c r="A359" i="5" s="1"/>
  <c r="H348" i="4"/>
  <c r="F348" i="4"/>
  <c r="E348" i="4"/>
  <c r="D348" i="4"/>
  <c r="C348" i="4"/>
  <c r="B348" i="4"/>
  <c r="G348" i="4" s="1"/>
  <c r="A348" i="4"/>
  <c r="A358" i="5" s="1"/>
  <c r="H347" i="4"/>
  <c r="F347" i="4"/>
  <c r="E347" i="4"/>
  <c r="D347" i="4"/>
  <c r="C347" i="4"/>
  <c r="B347" i="4"/>
  <c r="G347" i="4" s="1"/>
  <c r="A347" i="4"/>
  <c r="A357" i="5" s="1"/>
  <c r="H346" i="4"/>
  <c r="F346" i="4"/>
  <c r="E346" i="4"/>
  <c r="D346" i="4"/>
  <c r="C346" i="4"/>
  <c r="B346" i="4"/>
  <c r="G346" i="4" s="1"/>
  <c r="A346" i="4"/>
  <c r="A356" i="5" s="1"/>
  <c r="H345" i="4"/>
  <c r="F345" i="4"/>
  <c r="E345" i="4"/>
  <c r="D345" i="4"/>
  <c r="C345" i="4"/>
  <c r="B345" i="4"/>
  <c r="G345" i="4" s="1"/>
  <c r="A345" i="4"/>
  <c r="A355" i="5" s="1"/>
  <c r="H344" i="4"/>
  <c r="F344" i="4"/>
  <c r="E344" i="4"/>
  <c r="D344" i="4"/>
  <c r="C344" i="4"/>
  <c r="B344" i="4"/>
  <c r="G344" i="4" s="1"/>
  <c r="A344" i="4"/>
  <c r="A354" i="5" s="1"/>
  <c r="H343" i="4"/>
  <c r="F343" i="4"/>
  <c r="E343" i="4"/>
  <c r="D343" i="4"/>
  <c r="C343" i="4"/>
  <c r="B343" i="4"/>
  <c r="G343" i="4" s="1"/>
  <c r="A343" i="4"/>
  <c r="A353" i="5" s="1"/>
  <c r="H342" i="4"/>
  <c r="F342" i="4"/>
  <c r="E342" i="4"/>
  <c r="D342" i="4"/>
  <c r="C342" i="4"/>
  <c r="B342" i="4"/>
  <c r="G342" i="4" s="1"/>
  <c r="A342" i="4"/>
  <c r="A352" i="5" s="1"/>
  <c r="H341" i="4"/>
  <c r="F341" i="4"/>
  <c r="E341" i="4"/>
  <c r="D341" i="4"/>
  <c r="C341" i="4"/>
  <c r="B341" i="4"/>
  <c r="G341" i="4" s="1"/>
  <c r="A341" i="4"/>
  <c r="A351" i="5" s="1"/>
  <c r="H340" i="4"/>
  <c r="F340" i="4"/>
  <c r="E340" i="4"/>
  <c r="D340" i="4"/>
  <c r="C340" i="4"/>
  <c r="B340" i="4"/>
  <c r="G340" i="4" s="1"/>
  <c r="A340" i="4"/>
  <c r="A350" i="5" s="1"/>
  <c r="H339" i="4"/>
  <c r="F339" i="4"/>
  <c r="E339" i="4"/>
  <c r="D339" i="4"/>
  <c r="C339" i="4"/>
  <c r="B339" i="4"/>
  <c r="G339" i="4" s="1"/>
  <c r="A339" i="4"/>
  <c r="A349" i="5" s="1"/>
  <c r="H338" i="4"/>
  <c r="F338" i="4"/>
  <c r="E338" i="4"/>
  <c r="D338" i="4"/>
  <c r="C338" i="4"/>
  <c r="B338" i="4"/>
  <c r="G338" i="4" s="1"/>
  <c r="A338" i="4"/>
  <c r="A348" i="5" s="1"/>
  <c r="H337" i="4"/>
  <c r="F337" i="4"/>
  <c r="E337" i="4"/>
  <c r="D337" i="4"/>
  <c r="C337" i="4"/>
  <c r="B337" i="4"/>
  <c r="G337" i="4" s="1"/>
  <c r="A337" i="4"/>
  <c r="A347" i="5" s="1"/>
  <c r="H336" i="4"/>
  <c r="F336" i="4"/>
  <c r="E336" i="4"/>
  <c r="D336" i="4"/>
  <c r="C336" i="4"/>
  <c r="B336" i="4"/>
  <c r="G336" i="4" s="1"/>
  <c r="A336" i="4"/>
  <c r="A346" i="5" s="1"/>
  <c r="H335" i="4"/>
  <c r="F335" i="4"/>
  <c r="E335" i="4"/>
  <c r="D335" i="4"/>
  <c r="C335" i="4"/>
  <c r="B335" i="4"/>
  <c r="G335" i="4" s="1"/>
  <c r="A335" i="4"/>
  <c r="A345" i="5" s="1"/>
  <c r="H334" i="4"/>
  <c r="F334" i="4"/>
  <c r="E334" i="4"/>
  <c r="D334" i="4"/>
  <c r="C334" i="4"/>
  <c r="B334" i="4"/>
  <c r="G334" i="4" s="1"/>
  <c r="A334" i="4"/>
  <c r="A344" i="5" s="1"/>
  <c r="H333" i="4"/>
  <c r="F333" i="4"/>
  <c r="E333" i="4"/>
  <c r="D333" i="4"/>
  <c r="C333" i="4"/>
  <c r="B333" i="4"/>
  <c r="G333" i="4" s="1"/>
  <c r="A333" i="4"/>
  <c r="A343" i="5" s="1"/>
  <c r="H332" i="4"/>
  <c r="F332" i="4"/>
  <c r="E332" i="4"/>
  <c r="D332" i="4"/>
  <c r="C332" i="4"/>
  <c r="B332" i="4"/>
  <c r="G332" i="4" s="1"/>
  <c r="A332" i="4"/>
  <c r="A342" i="5" s="1"/>
  <c r="H331" i="4"/>
  <c r="F331" i="4"/>
  <c r="E331" i="4"/>
  <c r="D331" i="4"/>
  <c r="C331" i="4"/>
  <c r="B331" i="4"/>
  <c r="G331" i="4" s="1"/>
  <c r="A331" i="4"/>
  <c r="A341" i="5" s="1"/>
  <c r="H330" i="4"/>
  <c r="F330" i="4"/>
  <c r="E330" i="4"/>
  <c r="D330" i="4"/>
  <c r="C330" i="4"/>
  <c r="B330" i="4"/>
  <c r="G330" i="4" s="1"/>
  <c r="A330" i="4"/>
  <c r="A340" i="5" s="1"/>
  <c r="H329" i="4"/>
  <c r="F329" i="4"/>
  <c r="E329" i="4"/>
  <c r="D329" i="4"/>
  <c r="C329" i="4"/>
  <c r="B329" i="4"/>
  <c r="G329" i="4" s="1"/>
  <c r="A329" i="4"/>
  <c r="A339" i="5" s="1"/>
  <c r="H328" i="4"/>
  <c r="F328" i="4"/>
  <c r="E328" i="4"/>
  <c r="D328" i="4"/>
  <c r="C328" i="4"/>
  <c r="B328" i="4"/>
  <c r="G328" i="4" s="1"/>
  <c r="A328" i="4"/>
  <c r="A338" i="5" s="1"/>
  <c r="H327" i="4"/>
  <c r="F327" i="4"/>
  <c r="E327" i="4"/>
  <c r="D327" i="4"/>
  <c r="C327" i="4"/>
  <c r="B327" i="4"/>
  <c r="G327" i="4" s="1"/>
  <c r="A327" i="4"/>
  <c r="A337" i="5" s="1"/>
  <c r="H326" i="4"/>
  <c r="F326" i="4"/>
  <c r="E326" i="4"/>
  <c r="D326" i="4"/>
  <c r="C326" i="4"/>
  <c r="B326" i="4"/>
  <c r="G326" i="4" s="1"/>
  <c r="A326" i="4"/>
  <c r="A336" i="5" s="1"/>
  <c r="H325" i="4"/>
  <c r="F325" i="4"/>
  <c r="E325" i="4"/>
  <c r="D325" i="4"/>
  <c r="C325" i="4"/>
  <c r="B325" i="4"/>
  <c r="G325" i="4" s="1"/>
  <c r="A325" i="4"/>
  <c r="A335" i="5" s="1"/>
  <c r="H324" i="4"/>
  <c r="F324" i="4"/>
  <c r="E324" i="4"/>
  <c r="D324" i="4"/>
  <c r="C324" i="4"/>
  <c r="B324" i="4"/>
  <c r="G324" i="4" s="1"/>
  <c r="A324" i="4"/>
  <c r="A334" i="5" s="1"/>
  <c r="H323" i="4"/>
  <c r="F323" i="4"/>
  <c r="E323" i="4"/>
  <c r="D323" i="4"/>
  <c r="C323" i="4"/>
  <c r="B323" i="4"/>
  <c r="G323" i="4" s="1"/>
  <c r="A323" i="4"/>
  <c r="A333" i="5" s="1"/>
  <c r="H322" i="4"/>
  <c r="F322" i="4"/>
  <c r="E322" i="4"/>
  <c r="D322" i="4"/>
  <c r="C322" i="4"/>
  <c r="B322" i="4"/>
  <c r="G322" i="4" s="1"/>
  <c r="A322" i="4"/>
  <c r="A332" i="5" s="1"/>
  <c r="H321" i="4"/>
  <c r="F321" i="4"/>
  <c r="E321" i="4"/>
  <c r="D321" i="4"/>
  <c r="C321" i="4"/>
  <c r="B321" i="4"/>
  <c r="G321" i="4" s="1"/>
  <c r="A321" i="4"/>
  <c r="A331" i="5" s="1"/>
  <c r="H320" i="4"/>
  <c r="F320" i="4"/>
  <c r="E320" i="4"/>
  <c r="D320" i="4"/>
  <c r="C320" i="4"/>
  <c r="B320" i="4"/>
  <c r="G320" i="4" s="1"/>
  <c r="A320" i="4"/>
  <c r="A330" i="5" s="1"/>
  <c r="H319" i="4"/>
  <c r="F319" i="4"/>
  <c r="E319" i="4"/>
  <c r="D319" i="4"/>
  <c r="C319" i="4"/>
  <c r="B319" i="4"/>
  <c r="G319" i="4" s="1"/>
  <c r="A319" i="4"/>
  <c r="A329" i="5" s="1"/>
  <c r="H318" i="4"/>
  <c r="F318" i="4"/>
  <c r="E318" i="4"/>
  <c r="D318" i="4"/>
  <c r="C318" i="4"/>
  <c r="B318" i="4"/>
  <c r="G318" i="4" s="1"/>
  <c r="A318" i="4"/>
  <c r="A328" i="5" s="1"/>
  <c r="H317" i="4"/>
  <c r="F317" i="4"/>
  <c r="E317" i="4"/>
  <c r="D317" i="4"/>
  <c r="C317" i="4"/>
  <c r="B317" i="4"/>
  <c r="G317" i="4" s="1"/>
  <c r="A317" i="4"/>
  <c r="A327" i="5" s="1"/>
  <c r="H316" i="4"/>
  <c r="F316" i="4"/>
  <c r="E316" i="4"/>
  <c r="D316" i="4"/>
  <c r="C316" i="4"/>
  <c r="B316" i="4"/>
  <c r="G316" i="4" s="1"/>
  <c r="A316" i="4"/>
  <c r="A326" i="5" s="1"/>
  <c r="H315" i="4"/>
  <c r="F315" i="4"/>
  <c r="E315" i="4"/>
  <c r="D315" i="4"/>
  <c r="C315" i="4"/>
  <c r="B315" i="4"/>
  <c r="G315" i="4" s="1"/>
  <c r="A315" i="4"/>
  <c r="A325" i="5" s="1"/>
  <c r="H314" i="4"/>
  <c r="F314" i="4"/>
  <c r="E314" i="4"/>
  <c r="D314" i="4"/>
  <c r="C314" i="4"/>
  <c r="B314" i="4"/>
  <c r="G314" i="4" s="1"/>
  <c r="A314" i="4"/>
  <c r="A324" i="5" s="1"/>
  <c r="H313" i="4"/>
  <c r="F313" i="4"/>
  <c r="E313" i="4"/>
  <c r="D313" i="4"/>
  <c r="C313" i="4"/>
  <c r="B313" i="4"/>
  <c r="G313" i="4" s="1"/>
  <c r="A313" i="4"/>
  <c r="A323" i="5" s="1"/>
  <c r="H312" i="4"/>
  <c r="F312" i="4"/>
  <c r="E312" i="4"/>
  <c r="D312" i="4"/>
  <c r="C312" i="4"/>
  <c r="B312" i="4"/>
  <c r="G312" i="4" s="1"/>
  <c r="A312" i="4"/>
  <c r="A322" i="5" s="1"/>
  <c r="H311" i="4"/>
  <c r="F311" i="4"/>
  <c r="E311" i="4"/>
  <c r="D311" i="4"/>
  <c r="C311" i="4"/>
  <c r="B311" i="4"/>
  <c r="G311" i="4" s="1"/>
  <c r="A311" i="4"/>
  <c r="A321" i="5" s="1"/>
  <c r="H310" i="4"/>
  <c r="F310" i="4"/>
  <c r="E310" i="4"/>
  <c r="D310" i="4"/>
  <c r="C310" i="4"/>
  <c r="B310" i="4"/>
  <c r="G310" i="4" s="1"/>
  <c r="A310" i="4"/>
  <c r="A320" i="5" s="1"/>
  <c r="H309" i="4"/>
  <c r="F309" i="4"/>
  <c r="E309" i="4"/>
  <c r="D309" i="4"/>
  <c r="C309" i="4"/>
  <c r="B309" i="4"/>
  <c r="G309" i="4" s="1"/>
  <c r="A309" i="4"/>
  <c r="A319" i="5" s="1"/>
  <c r="H308" i="4"/>
  <c r="F308" i="4"/>
  <c r="E308" i="4"/>
  <c r="D308" i="4"/>
  <c r="C308" i="4"/>
  <c r="B308" i="4"/>
  <c r="G308" i="4" s="1"/>
  <c r="A308" i="4"/>
  <c r="A318" i="5" s="1"/>
  <c r="H307" i="4"/>
  <c r="F307" i="4"/>
  <c r="E307" i="4"/>
  <c r="D307" i="4"/>
  <c r="C307" i="4"/>
  <c r="B307" i="4"/>
  <c r="G307" i="4" s="1"/>
  <c r="A307" i="4"/>
  <c r="A317" i="5" s="1"/>
  <c r="H306" i="4"/>
  <c r="F306" i="4"/>
  <c r="E306" i="4"/>
  <c r="D306" i="4"/>
  <c r="C306" i="4"/>
  <c r="B306" i="4"/>
  <c r="G306" i="4" s="1"/>
  <c r="A306" i="4"/>
  <c r="A316" i="5" s="1"/>
  <c r="H305" i="4"/>
  <c r="F305" i="4"/>
  <c r="E305" i="4"/>
  <c r="D305" i="4"/>
  <c r="C305" i="4"/>
  <c r="B305" i="4"/>
  <c r="G305" i="4" s="1"/>
  <c r="A305" i="4"/>
  <c r="A315" i="5" s="1"/>
  <c r="H304" i="4"/>
  <c r="F304" i="4"/>
  <c r="E304" i="4"/>
  <c r="D304" i="4"/>
  <c r="C304" i="4"/>
  <c r="B304" i="4"/>
  <c r="G304" i="4" s="1"/>
  <c r="A304" i="4"/>
  <c r="A314" i="5" s="1"/>
  <c r="H303" i="4"/>
  <c r="F303" i="4"/>
  <c r="E303" i="4"/>
  <c r="D303" i="4"/>
  <c r="C303" i="4"/>
  <c r="B303" i="4"/>
  <c r="G303" i="4" s="1"/>
  <c r="A303" i="4"/>
  <c r="A313" i="5" s="1"/>
  <c r="H302" i="4"/>
  <c r="F302" i="4"/>
  <c r="E302" i="4"/>
  <c r="D302" i="4"/>
  <c r="C302" i="4"/>
  <c r="B302" i="4"/>
  <c r="G302" i="4" s="1"/>
  <c r="A302" i="4"/>
  <c r="A312" i="5" s="1"/>
  <c r="H301" i="4"/>
  <c r="F301" i="4"/>
  <c r="E301" i="4"/>
  <c r="D301" i="4"/>
  <c r="C301" i="4"/>
  <c r="B301" i="4"/>
  <c r="G301" i="4" s="1"/>
  <c r="A301" i="4"/>
  <c r="A311" i="5" s="1"/>
  <c r="H300" i="4"/>
  <c r="F300" i="4"/>
  <c r="E300" i="4"/>
  <c r="D300" i="4"/>
  <c r="C300" i="4"/>
  <c r="B300" i="4"/>
  <c r="G300" i="4" s="1"/>
  <c r="A300" i="4"/>
  <c r="A310" i="5" s="1"/>
  <c r="H299" i="4"/>
  <c r="F299" i="4"/>
  <c r="E299" i="4"/>
  <c r="D299" i="4"/>
  <c r="C299" i="4"/>
  <c r="B299" i="4"/>
  <c r="G299" i="4" s="1"/>
  <c r="A299" i="4"/>
  <c r="A309" i="5" s="1"/>
  <c r="H298" i="4"/>
  <c r="F298" i="4"/>
  <c r="E298" i="4"/>
  <c r="D298" i="4"/>
  <c r="C298" i="4"/>
  <c r="B298" i="4"/>
  <c r="G298" i="4" s="1"/>
  <c r="A298" i="4"/>
  <c r="A308" i="5" s="1"/>
  <c r="H297" i="4"/>
  <c r="F297" i="4"/>
  <c r="E297" i="4"/>
  <c r="D297" i="4"/>
  <c r="C297" i="4"/>
  <c r="B297" i="4"/>
  <c r="G297" i="4" s="1"/>
  <c r="A297" i="4"/>
  <c r="A307" i="5" s="1"/>
  <c r="H296" i="4"/>
  <c r="F296" i="4"/>
  <c r="E296" i="4"/>
  <c r="D296" i="4"/>
  <c r="C296" i="4"/>
  <c r="B296" i="4"/>
  <c r="G296" i="4" s="1"/>
  <c r="A296" i="4"/>
  <c r="A306" i="5" s="1"/>
  <c r="H295" i="4"/>
  <c r="F295" i="4"/>
  <c r="E295" i="4"/>
  <c r="D295" i="4"/>
  <c r="C295" i="4"/>
  <c r="B295" i="4"/>
  <c r="G295" i="4" s="1"/>
  <c r="A295" i="4"/>
  <c r="A305" i="5" s="1"/>
  <c r="H294" i="4"/>
  <c r="F294" i="4"/>
  <c r="E294" i="4"/>
  <c r="D294" i="4"/>
  <c r="C294" i="4"/>
  <c r="B294" i="4"/>
  <c r="G294" i="4" s="1"/>
  <c r="A294" i="4"/>
  <c r="A304" i="5" s="1"/>
  <c r="H293" i="4"/>
  <c r="F293" i="4"/>
  <c r="E293" i="4"/>
  <c r="D293" i="4"/>
  <c r="C293" i="4"/>
  <c r="B293" i="4"/>
  <c r="G293" i="4" s="1"/>
  <c r="A293" i="4"/>
  <c r="A303" i="5" s="1"/>
  <c r="H292" i="4"/>
  <c r="F292" i="4"/>
  <c r="E292" i="4"/>
  <c r="D292" i="4"/>
  <c r="C292" i="4"/>
  <c r="B292" i="4"/>
  <c r="G292" i="4" s="1"/>
  <c r="A292" i="4"/>
  <c r="A302" i="5" s="1"/>
  <c r="H291" i="4"/>
  <c r="F291" i="4"/>
  <c r="E291" i="4"/>
  <c r="D291" i="4"/>
  <c r="C291" i="4"/>
  <c r="B291" i="4"/>
  <c r="G291" i="4" s="1"/>
  <c r="A291" i="4"/>
  <c r="A301" i="5" s="1"/>
  <c r="H290" i="4"/>
  <c r="F290" i="4"/>
  <c r="E290" i="4"/>
  <c r="D290" i="4"/>
  <c r="C290" i="4"/>
  <c r="B290" i="4"/>
  <c r="G290" i="4" s="1"/>
  <c r="A290" i="4"/>
  <c r="A300" i="5" s="1"/>
  <c r="H289" i="4"/>
  <c r="F289" i="4"/>
  <c r="E289" i="4"/>
  <c r="D289" i="4"/>
  <c r="C289" i="4"/>
  <c r="B289" i="4"/>
  <c r="G289" i="4" s="1"/>
  <c r="A289" i="4"/>
  <c r="A299" i="5" s="1"/>
  <c r="H288" i="4"/>
  <c r="F288" i="4"/>
  <c r="E288" i="4"/>
  <c r="D288" i="4"/>
  <c r="C288" i="4"/>
  <c r="B288" i="4"/>
  <c r="G288" i="4" s="1"/>
  <c r="A288" i="4"/>
  <c r="A298" i="5" s="1"/>
  <c r="H287" i="4"/>
  <c r="F287" i="4"/>
  <c r="E287" i="4"/>
  <c r="D287" i="4"/>
  <c r="C287" i="4"/>
  <c r="B287" i="4"/>
  <c r="G287" i="4" s="1"/>
  <c r="A287" i="4"/>
  <c r="A297" i="5" s="1"/>
  <c r="H286" i="4"/>
  <c r="F286" i="4"/>
  <c r="E286" i="4"/>
  <c r="D286" i="4"/>
  <c r="C286" i="4"/>
  <c r="B286" i="4"/>
  <c r="G286" i="4" s="1"/>
  <c r="A286" i="4"/>
  <c r="A296" i="5" s="1"/>
  <c r="H285" i="4"/>
  <c r="F285" i="4"/>
  <c r="E285" i="4"/>
  <c r="D285" i="4"/>
  <c r="C285" i="4"/>
  <c r="B285" i="4"/>
  <c r="G285" i="4" s="1"/>
  <c r="A285" i="4"/>
  <c r="A295" i="5" s="1"/>
  <c r="H284" i="4"/>
  <c r="F284" i="4"/>
  <c r="E284" i="4"/>
  <c r="D284" i="4"/>
  <c r="C284" i="4"/>
  <c r="B284" i="4"/>
  <c r="G284" i="4" s="1"/>
  <c r="A284" i="4"/>
  <c r="A294" i="5" s="1"/>
  <c r="H283" i="4"/>
  <c r="F283" i="4"/>
  <c r="E283" i="4"/>
  <c r="D283" i="4"/>
  <c r="C283" i="4"/>
  <c r="B283" i="4"/>
  <c r="G283" i="4" s="1"/>
  <c r="A283" i="4"/>
  <c r="A293" i="5" s="1"/>
  <c r="H282" i="4"/>
  <c r="F282" i="4"/>
  <c r="E282" i="4"/>
  <c r="D282" i="4"/>
  <c r="C282" i="4"/>
  <c r="B282" i="4"/>
  <c r="G282" i="4" s="1"/>
  <c r="A282" i="4"/>
  <c r="A292" i="5" s="1"/>
  <c r="H281" i="4"/>
  <c r="F281" i="4"/>
  <c r="E281" i="4"/>
  <c r="D281" i="4"/>
  <c r="C281" i="4"/>
  <c r="B281" i="4"/>
  <c r="G281" i="4" s="1"/>
  <c r="A281" i="4"/>
  <c r="A291" i="5" s="1"/>
  <c r="H280" i="4"/>
  <c r="F280" i="4"/>
  <c r="E280" i="4"/>
  <c r="D280" i="4"/>
  <c r="C280" i="4"/>
  <c r="B280" i="4"/>
  <c r="G280" i="4" s="1"/>
  <c r="A280" i="4"/>
  <c r="A290" i="5" s="1"/>
  <c r="H279" i="4"/>
  <c r="F279" i="4"/>
  <c r="E279" i="4"/>
  <c r="D279" i="4"/>
  <c r="C279" i="4"/>
  <c r="B279" i="4"/>
  <c r="G279" i="4" s="1"/>
  <c r="A279" i="4"/>
  <c r="A289" i="5" s="1"/>
  <c r="H278" i="4"/>
  <c r="F278" i="4"/>
  <c r="E278" i="4"/>
  <c r="D278" i="4"/>
  <c r="C278" i="4"/>
  <c r="B278" i="4"/>
  <c r="G278" i="4" s="1"/>
  <c r="A278" i="4"/>
  <c r="A288" i="5" s="1"/>
  <c r="H277" i="4"/>
  <c r="F277" i="4"/>
  <c r="E277" i="4"/>
  <c r="D277" i="4"/>
  <c r="C277" i="4"/>
  <c r="B277" i="4"/>
  <c r="G277" i="4" s="1"/>
  <c r="A277" i="4"/>
  <c r="A287" i="5" s="1"/>
  <c r="H276" i="4"/>
  <c r="F276" i="4"/>
  <c r="E276" i="4"/>
  <c r="D276" i="4"/>
  <c r="C276" i="4"/>
  <c r="B276" i="4"/>
  <c r="G276" i="4" s="1"/>
  <c r="A276" i="4"/>
  <c r="A286" i="5" s="1"/>
  <c r="H275" i="4"/>
  <c r="F275" i="4"/>
  <c r="E275" i="4"/>
  <c r="D275" i="4"/>
  <c r="C275" i="4"/>
  <c r="B275" i="4"/>
  <c r="G275" i="4" s="1"/>
  <c r="A275" i="4"/>
  <c r="A285" i="5" s="1"/>
  <c r="H274" i="4"/>
  <c r="F274" i="4"/>
  <c r="E274" i="4"/>
  <c r="D274" i="4"/>
  <c r="C274" i="4"/>
  <c r="B274" i="4"/>
  <c r="G274" i="4" s="1"/>
  <c r="A274" i="4"/>
  <c r="A284" i="5" s="1"/>
  <c r="H273" i="4"/>
  <c r="F273" i="4"/>
  <c r="E273" i="4"/>
  <c r="D273" i="4"/>
  <c r="C273" i="4"/>
  <c r="B273" i="4"/>
  <c r="G273" i="4" s="1"/>
  <c r="A273" i="4"/>
  <c r="A283" i="5" s="1"/>
  <c r="H272" i="4"/>
  <c r="F272" i="4"/>
  <c r="E272" i="4"/>
  <c r="D272" i="4"/>
  <c r="C272" i="4"/>
  <c r="B272" i="4"/>
  <c r="G272" i="4" s="1"/>
  <c r="A272" i="4"/>
  <c r="A282" i="5" s="1"/>
  <c r="H271" i="4"/>
  <c r="F271" i="4"/>
  <c r="E271" i="4"/>
  <c r="D271" i="4"/>
  <c r="C271" i="4"/>
  <c r="B271" i="4"/>
  <c r="G271" i="4" s="1"/>
  <c r="A271" i="4"/>
  <c r="A281" i="5" s="1"/>
  <c r="H270" i="4"/>
  <c r="F270" i="4"/>
  <c r="E270" i="4"/>
  <c r="D270" i="4"/>
  <c r="C270" i="4"/>
  <c r="B270" i="4"/>
  <c r="G270" i="4" s="1"/>
  <c r="A270" i="4"/>
  <c r="A280" i="5" s="1"/>
  <c r="H269" i="4"/>
  <c r="F269" i="4"/>
  <c r="E269" i="4"/>
  <c r="D269" i="4"/>
  <c r="C269" i="4"/>
  <c r="B269" i="4"/>
  <c r="G269" i="4" s="1"/>
  <c r="A269" i="4"/>
  <c r="A279" i="5" s="1"/>
  <c r="H268" i="4"/>
  <c r="F268" i="4"/>
  <c r="E268" i="4"/>
  <c r="D268" i="4"/>
  <c r="C268" i="4"/>
  <c r="B268" i="4"/>
  <c r="G268" i="4" s="1"/>
  <c r="A268" i="4"/>
  <c r="A278" i="5" s="1"/>
  <c r="H267" i="4"/>
  <c r="F267" i="4"/>
  <c r="E267" i="4"/>
  <c r="D267" i="4"/>
  <c r="C267" i="4"/>
  <c r="B267" i="4"/>
  <c r="G267" i="4" s="1"/>
  <c r="A267" i="4"/>
  <c r="A277" i="5" s="1"/>
  <c r="H266" i="4"/>
  <c r="F266" i="4"/>
  <c r="E266" i="4"/>
  <c r="D266" i="4"/>
  <c r="C266" i="4"/>
  <c r="B266" i="4"/>
  <c r="G266" i="4" s="1"/>
  <c r="A266" i="4"/>
  <c r="A276" i="5" s="1"/>
  <c r="H265" i="4"/>
  <c r="F265" i="4"/>
  <c r="E265" i="4"/>
  <c r="D265" i="4"/>
  <c r="C265" i="4"/>
  <c r="B265" i="4"/>
  <c r="G265" i="4" s="1"/>
  <c r="A265" i="4"/>
  <c r="A275" i="5" s="1"/>
  <c r="H264" i="4"/>
  <c r="F264" i="4"/>
  <c r="E264" i="4"/>
  <c r="D264" i="4"/>
  <c r="C264" i="4"/>
  <c r="B264" i="4"/>
  <c r="G264" i="4" s="1"/>
  <c r="A264" i="4"/>
  <c r="A274" i="5" s="1"/>
  <c r="H263" i="4"/>
  <c r="F263" i="4"/>
  <c r="E263" i="4"/>
  <c r="D263" i="4"/>
  <c r="C263" i="4"/>
  <c r="B263" i="4"/>
  <c r="G263" i="4" s="1"/>
  <c r="A263" i="4"/>
  <c r="A273" i="5" s="1"/>
  <c r="H262" i="4"/>
  <c r="F262" i="4"/>
  <c r="E262" i="4"/>
  <c r="D262" i="4"/>
  <c r="C262" i="4"/>
  <c r="B262" i="4"/>
  <c r="G262" i="4" s="1"/>
  <c r="A262" i="4"/>
  <c r="A272" i="5" s="1"/>
  <c r="H261" i="4"/>
  <c r="F261" i="4"/>
  <c r="E261" i="4"/>
  <c r="D261" i="4"/>
  <c r="C261" i="4"/>
  <c r="B261" i="4"/>
  <c r="G261" i="4" s="1"/>
  <c r="A261" i="4"/>
  <c r="A271" i="5" s="1"/>
  <c r="H260" i="4"/>
  <c r="F260" i="4"/>
  <c r="E260" i="4"/>
  <c r="D260" i="4"/>
  <c r="C260" i="4"/>
  <c r="B260" i="4"/>
  <c r="G260" i="4" s="1"/>
  <c r="A260" i="4"/>
  <c r="A270" i="5" s="1"/>
  <c r="H259" i="4"/>
  <c r="F259" i="4"/>
  <c r="E259" i="4"/>
  <c r="D259" i="4"/>
  <c r="C259" i="4"/>
  <c r="B259" i="4"/>
  <c r="G259" i="4" s="1"/>
  <c r="A259" i="4"/>
  <c r="A269" i="5" s="1"/>
  <c r="H258" i="4"/>
  <c r="F258" i="4"/>
  <c r="E258" i="4"/>
  <c r="D258" i="4"/>
  <c r="C258" i="4"/>
  <c r="B258" i="4"/>
  <c r="G258" i="4" s="1"/>
  <c r="A258" i="4"/>
  <c r="A268" i="5" s="1"/>
  <c r="H257" i="4"/>
  <c r="F257" i="4"/>
  <c r="E257" i="4"/>
  <c r="D257" i="4"/>
  <c r="C257" i="4"/>
  <c r="B257" i="4"/>
  <c r="G257" i="4" s="1"/>
  <c r="A257" i="4"/>
  <c r="A267" i="5" s="1"/>
  <c r="H256" i="4"/>
  <c r="F256" i="4"/>
  <c r="E256" i="4"/>
  <c r="D256" i="4"/>
  <c r="C256" i="4"/>
  <c r="B256" i="4"/>
  <c r="G256" i="4" s="1"/>
  <c r="A256" i="4"/>
  <c r="A266" i="5" s="1"/>
  <c r="H255" i="4"/>
  <c r="F255" i="4"/>
  <c r="E255" i="4"/>
  <c r="D255" i="4"/>
  <c r="C255" i="4"/>
  <c r="B255" i="4"/>
  <c r="G255" i="4" s="1"/>
  <c r="A255" i="4"/>
  <c r="A265" i="5" s="1"/>
  <c r="H254" i="4"/>
  <c r="F254" i="4"/>
  <c r="E254" i="4"/>
  <c r="D254" i="4"/>
  <c r="C254" i="4"/>
  <c r="B254" i="4"/>
  <c r="G254" i="4" s="1"/>
  <c r="A254" i="4"/>
  <c r="A264" i="5" s="1"/>
  <c r="H253" i="4"/>
  <c r="F253" i="4"/>
  <c r="E253" i="4"/>
  <c r="D253" i="4"/>
  <c r="C253" i="4"/>
  <c r="B253" i="4"/>
  <c r="G253" i="4" s="1"/>
  <c r="A253" i="4"/>
  <c r="A263" i="5" s="1"/>
  <c r="H252" i="4"/>
  <c r="F252" i="4"/>
  <c r="E252" i="4"/>
  <c r="D252" i="4"/>
  <c r="C252" i="4"/>
  <c r="B252" i="4"/>
  <c r="G252" i="4" s="1"/>
  <c r="A252" i="4"/>
  <c r="A262" i="5" s="1"/>
  <c r="H251" i="4"/>
  <c r="F251" i="4"/>
  <c r="E251" i="4"/>
  <c r="D251" i="4"/>
  <c r="C251" i="4"/>
  <c r="B251" i="4"/>
  <c r="G251" i="4" s="1"/>
  <c r="A251" i="4"/>
  <c r="A261" i="5" s="1"/>
  <c r="H250" i="4"/>
  <c r="F250" i="4"/>
  <c r="E250" i="4"/>
  <c r="D250" i="4"/>
  <c r="C250" i="4"/>
  <c r="B250" i="4"/>
  <c r="G250" i="4" s="1"/>
  <c r="A250" i="4"/>
  <c r="A260" i="5" s="1"/>
  <c r="H249" i="4"/>
  <c r="F249" i="4"/>
  <c r="E249" i="4"/>
  <c r="D249" i="4"/>
  <c r="C249" i="4"/>
  <c r="B249" i="4"/>
  <c r="G249" i="4" s="1"/>
  <c r="A249" i="4"/>
  <c r="A259" i="5" s="1"/>
  <c r="H248" i="4"/>
  <c r="F248" i="4"/>
  <c r="E248" i="4"/>
  <c r="D248" i="4"/>
  <c r="C248" i="4"/>
  <c r="B248" i="4"/>
  <c r="G248" i="4" s="1"/>
  <c r="A248" i="4"/>
  <c r="A258" i="5" s="1"/>
  <c r="H247" i="4"/>
  <c r="F247" i="4"/>
  <c r="E247" i="4"/>
  <c r="D247" i="4"/>
  <c r="C247" i="4"/>
  <c r="B247" i="4"/>
  <c r="G247" i="4" s="1"/>
  <c r="A247" i="4"/>
  <c r="A257" i="5" s="1"/>
  <c r="H246" i="4"/>
  <c r="F246" i="4"/>
  <c r="E246" i="4"/>
  <c r="D246" i="4"/>
  <c r="C246" i="4"/>
  <c r="B246" i="4"/>
  <c r="G246" i="4" s="1"/>
  <c r="A246" i="4"/>
  <c r="A256" i="5" s="1"/>
  <c r="H245" i="4"/>
  <c r="F245" i="4"/>
  <c r="E245" i="4"/>
  <c r="D245" i="4"/>
  <c r="C245" i="4"/>
  <c r="B245" i="4"/>
  <c r="G245" i="4" s="1"/>
  <c r="A245" i="4"/>
  <c r="A255" i="5" s="1"/>
  <c r="H244" i="4"/>
  <c r="F244" i="4"/>
  <c r="E244" i="4"/>
  <c r="D244" i="4"/>
  <c r="C244" i="4"/>
  <c r="B244" i="4"/>
  <c r="G244" i="4" s="1"/>
  <c r="A244" i="4"/>
  <c r="A254" i="5" s="1"/>
  <c r="H243" i="4"/>
  <c r="F243" i="4"/>
  <c r="E243" i="4"/>
  <c r="D243" i="4"/>
  <c r="C243" i="4"/>
  <c r="B243" i="4"/>
  <c r="G243" i="4" s="1"/>
  <c r="A243" i="4"/>
  <c r="A253" i="5" s="1"/>
  <c r="H242" i="4"/>
  <c r="F242" i="4"/>
  <c r="E242" i="4"/>
  <c r="D242" i="4"/>
  <c r="C242" i="4"/>
  <c r="B242" i="4"/>
  <c r="G242" i="4" s="1"/>
  <c r="A242" i="4"/>
  <c r="A252" i="5" s="1"/>
  <c r="H241" i="4"/>
  <c r="F241" i="4"/>
  <c r="E241" i="4"/>
  <c r="D241" i="4"/>
  <c r="C241" i="4"/>
  <c r="B241" i="4"/>
  <c r="G241" i="4" s="1"/>
  <c r="A241" i="4"/>
  <c r="A251" i="5" s="1"/>
  <c r="H240" i="4"/>
  <c r="F240" i="4"/>
  <c r="E240" i="4"/>
  <c r="D240" i="4"/>
  <c r="C240" i="4"/>
  <c r="B240" i="4"/>
  <c r="G240" i="4" s="1"/>
  <c r="A240" i="4"/>
  <c r="A250" i="5" s="1"/>
  <c r="H239" i="4"/>
  <c r="F239" i="4"/>
  <c r="E239" i="4"/>
  <c r="D239" i="4"/>
  <c r="C239" i="4"/>
  <c r="B239" i="4"/>
  <c r="G239" i="4" s="1"/>
  <c r="A239" i="4"/>
  <c r="A249" i="5" s="1"/>
  <c r="H238" i="4"/>
  <c r="F238" i="4"/>
  <c r="E238" i="4"/>
  <c r="D238" i="4"/>
  <c r="C238" i="4"/>
  <c r="B238" i="4"/>
  <c r="G238" i="4" s="1"/>
  <c r="A238" i="4"/>
  <c r="A248" i="5" s="1"/>
  <c r="H237" i="4"/>
  <c r="F237" i="4"/>
  <c r="E237" i="4"/>
  <c r="D237" i="4"/>
  <c r="C237" i="4"/>
  <c r="B237" i="4"/>
  <c r="G237" i="4" s="1"/>
  <c r="A237" i="4"/>
  <c r="A247" i="5" s="1"/>
  <c r="H236" i="4"/>
  <c r="F236" i="4"/>
  <c r="E236" i="4"/>
  <c r="D236" i="4"/>
  <c r="C236" i="4"/>
  <c r="B236" i="4"/>
  <c r="G236" i="4" s="1"/>
  <c r="A236" i="4"/>
  <c r="A246" i="5" s="1"/>
  <c r="H235" i="4"/>
  <c r="F235" i="4"/>
  <c r="E235" i="4"/>
  <c r="D235" i="4"/>
  <c r="C235" i="4"/>
  <c r="B235" i="4"/>
  <c r="G235" i="4" s="1"/>
  <c r="A235" i="4"/>
  <c r="A245" i="5" s="1"/>
  <c r="H234" i="4"/>
  <c r="F234" i="4"/>
  <c r="E234" i="4"/>
  <c r="D234" i="4"/>
  <c r="C234" i="4"/>
  <c r="B234" i="4"/>
  <c r="G234" i="4" s="1"/>
  <c r="A234" i="4"/>
  <c r="A244" i="5" s="1"/>
  <c r="H233" i="4"/>
  <c r="F233" i="4"/>
  <c r="E233" i="4"/>
  <c r="D233" i="4"/>
  <c r="C233" i="4"/>
  <c r="B233" i="4"/>
  <c r="G233" i="4" s="1"/>
  <c r="A233" i="4"/>
  <c r="A243" i="5" s="1"/>
  <c r="H232" i="4"/>
  <c r="F232" i="4"/>
  <c r="E232" i="4"/>
  <c r="D232" i="4"/>
  <c r="C232" i="4"/>
  <c r="B232" i="4"/>
  <c r="G232" i="4" s="1"/>
  <c r="A232" i="4"/>
  <c r="A242" i="5" s="1"/>
  <c r="H231" i="4"/>
  <c r="F231" i="4"/>
  <c r="E231" i="4"/>
  <c r="D231" i="4"/>
  <c r="C231" i="4"/>
  <c r="B231" i="4"/>
  <c r="G231" i="4" s="1"/>
  <c r="A231" i="4"/>
  <c r="A241" i="5" s="1"/>
  <c r="H230" i="4"/>
  <c r="F230" i="4"/>
  <c r="E230" i="4"/>
  <c r="D230" i="4"/>
  <c r="C230" i="4"/>
  <c r="B230" i="4"/>
  <c r="G230" i="4" s="1"/>
  <c r="A230" i="4"/>
  <c r="A240" i="5" s="1"/>
  <c r="H229" i="4"/>
  <c r="F229" i="4"/>
  <c r="E229" i="4"/>
  <c r="D229" i="4"/>
  <c r="C229" i="4"/>
  <c r="B229" i="4"/>
  <c r="G229" i="4" s="1"/>
  <c r="A229" i="4"/>
  <c r="A239" i="5" s="1"/>
  <c r="H228" i="4"/>
  <c r="F228" i="4"/>
  <c r="E228" i="4"/>
  <c r="D228" i="4"/>
  <c r="C228" i="4"/>
  <c r="B228" i="4"/>
  <c r="G228" i="4" s="1"/>
  <c r="A228" i="4"/>
  <c r="A238" i="5" s="1"/>
  <c r="H227" i="4"/>
  <c r="F227" i="4"/>
  <c r="E227" i="4"/>
  <c r="D227" i="4"/>
  <c r="C227" i="4"/>
  <c r="B227" i="4"/>
  <c r="G227" i="4" s="1"/>
  <c r="A227" i="4"/>
  <c r="A237" i="5" s="1"/>
  <c r="H226" i="4"/>
  <c r="F226" i="4"/>
  <c r="E226" i="4"/>
  <c r="D226" i="4"/>
  <c r="C226" i="4"/>
  <c r="B226" i="4"/>
  <c r="G226" i="4" s="1"/>
  <c r="A226" i="4"/>
  <c r="A236" i="5" s="1"/>
  <c r="H225" i="4"/>
  <c r="F225" i="4"/>
  <c r="E225" i="4"/>
  <c r="D225" i="4"/>
  <c r="C225" i="4"/>
  <c r="B225" i="4"/>
  <c r="G225" i="4" s="1"/>
  <c r="A225" i="4"/>
  <c r="A235" i="5" s="1"/>
  <c r="H224" i="4"/>
  <c r="F224" i="4"/>
  <c r="E224" i="4"/>
  <c r="D224" i="4"/>
  <c r="C224" i="4"/>
  <c r="B224" i="4"/>
  <c r="G224" i="4" s="1"/>
  <c r="A224" i="4"/>
  <c r="A234" i="5" s="1"/>
  <c r="H223" i="4"/>
  <c r="F223" i="4"/>
  <c r="E223" i="4"/>
  <c r="D223" i="4"/>
  <c r="C223" i="4"/>
  <c r="B223" i="4"/>
  <c r="G223" i="4" s="1"/>
  <c r="A223" i="4"/>
  <c r="A233" i="5" s="1"/>
  <c r="H222" i="4"/>
  <c r="F222" i="4"/>
  <c r="E222" i="4"/>
  <c r="D222" i="4"/>
  <c r="C222" i="4"/>
  <c r="B222" i="4"/>
  <c r="G222" i="4" s="1"/>
  <c r="A222" i="4"/>
  <c r="A232" i="5" s="1"/>
  <c r="H221" i="4"/>
  <c r="F221" i="4"/>
  <c r="E221" i="4"/>
  <c r="D221" i="4"/>
  <c r="C221" i="4"/>
  <c r="B221" i="4"/>
  <c r="G221" i="4" s="1"/>
  <c r="A221" i="4"/>
  <c r="A231" i="5" s="1"/>
  <c r="H220" i="4"/>
  <c r="F220" i="4"/>
  <c r="E220" i="4"/>
  <c r="D220" i="4"/>
  <c r="C220" i="4"/>
  <c r="B220" i="4"/>
  <c r="G220" i="4" s="1"/>
  <c r="A220" i="4"/>
  <c r="A230" i="5" s="1"/>
  <c r="H219" i="4"/>
  <c r="F219" i="4"/>
  <c r="E219" i="4"/>
  <c r="D219" i="4"/>
  <c r="C219" i="4"/>
  <c r="B219" i="4"/>
  <c r="G219" i="4" s="1"/>
  <c r="A219" i="4"/>
  <c r="A229" i="5" s="1"/>
  <c r="H218" i="4"/>
  <c r="F218" i="4"/>
  <c r="E218" i="4"/>
  <c r="D218" i="4"/>
  <c r="C218" i="4"/>
  <c r="B218" i="4"/>
  <c r="G218" i="4" s="1"/>
  <c r="A218" i="4"/>
  <c r="A228" i="5" s="1"/>
  <c r="H217" i="4"/>
  <c r="F217" i="4"/>
  <c r="E217" i="4"/>
  <c r="D217" i="4"/>
  <c r="C217" i="4"/>
  <c r="B217" i="4"/>
  <c r="G217" i="4" s="1"/>
  <c r="A217" i="4"/>
  <c r="A227" i="5" s="1"/>
  <c r="H216" i="4"/>
  <c r="F216" i="4"/>
  <c r="E216" i="4"/>
  <c r="D216" i="4"/>
  <c r="C216" i="4"/>
  <c r="B216" i="4"/>
  <c r="G216" i="4" s="1"/>
  <c r="A216" i="4"/>
  <c r="A226" i="5" s="1"/>
  <c r="H215" i="4"/>
  <c r="F215" i="4"/>
  <c r="E215" i="4"/>
  <c r="D215" i="4"/>
  <c r="C215" i="4"/>
  <c r="B215" i="4"/>
  <c r="G215" i="4" s="1"/>
  <c r="A215" i="4"/>
  <c r="A225" i="5" s="1"/>
  <c r="H214" i="4"/>
  <c r="F214" i="4"/>
  <c r="E214" i="4"/>
  <c r="D214" i="4"/>
  <c r="C214" i="4"/>
  <c r="B214" i="4"/>
  <c r="G214" i="4" s="1"/>
  <c r="A214" i="4"/>
  <c r="A224" i="5" s="1"/>
  <c r="H213" i="4"/>
  <c r="F213" i="4"/>
  <c r="E213" i="4"/>
  <c r="D213" i="4"/>
  <c r="C213" i="4"/>
  <c r="B213" i="4"/>
  <c r="G213" i="4" s="1"/>
  <c r="A213" i="4"/>
  <c r="A223" i="5" s="1"/>
  <c r="H212" i="4"/>
  <c r="F212" i="4"/>
  <c r="E212" i="4"/>
  <c r="D212" i="4"/>
  <c r="C212" i="4"/>
  <c r="B212" i="4"/>
  <c r="G212" i="4" s="1"/>
  <c r="A212" i="4"/>
  <c r="A222" i="5" s="1"/>
  <c r="H211" i="4"/>
  <c r="F211" i="4"/>
  <c r="E211" i="4"/>
  <c r="D211" i="4"/>
  <c r="C211" i="4"/>
  <c r="B211" i="4"/>
  <c r="G211" i="4" s="1"/>
  <c r="A211" i="4"/>
  <c r="A221" i="5" s="1"/>
  <c r="H210" i="4"/>
  <c r="F210" i="4"/>
  <c r="E210" i="4"/>
  <c r="D210" i="4"/>
  <c r="C210" i="4"/>
  <c r="B210" i="4"/>
  <c r="G210" i="4" s="1"/>
  <c r="A210" i="4"/>
  <c r="A220" i="5" s="1"/>
  <c r="H209" i="4"/>
  <c r="F209" i="4"/>
  <c r="E209" i="4"/>
  <c r="D209" i="4"/>
  <c r="C209" i="4"/>
  <c r="B209" i="4"/>
  <c r="G209" i="4" s="1"/>
  <c r="A209" i="4"/>
  <c r="A219" i="5" s="1"/>
  <c r="H208" i="4"/>
  <c r="F208" i="4"/>
  <c r="E208" i="4"/>
  <c r="D208" i="4"/>
  <c r="C208" i="4"/>
  <c r="B208" i="4"/>
  <c r="G208" i="4" s="1"/>
  <c r="A208" i="4"/>
  <c r="A218" i="5" s="1"/>
  <c r="H207" i="4"/>
  <c r="F207" i="4"/>
  <c r="E207" i="4"/>
  <c r="D207" i="4"/>
  <c r="C207" i="4"/>
  <c r="B207" i="4"/>
  <c r="G207" i="4" s="1"/>
  <c r="A207" i="4"/>
  <c r="A217" i="5" s="1"/>
  <c r="H206" i="4"/>
  <c r="F206" i="4"/>
  <c r="E206" i="4"/>
  <c r="D206" i="4"/>
  <c r="C206" i="4"/>
  <c r="B206" i="4"/>
  <c r="G206" i="4" s="1"/>
  <c r="A206" i="4"/>
  <c r="A216" i="5" s="1"/>
  <c r="H205" i="4"/>
  <c r="F205" i="4"/>
  <c r="E205" i="4"/>
  <c r="D205" i="4"/>
  <c r="C205" i="4"/>
  <c r="B205" i="4"/>
  <c r="G205" i="4" s="1"/>
  <c r="A205" i="4"/>
  <c r="A215" i="5" s="1"/>
  <c r="H204" i="4"/>
  <c r="F204" i="4"/>
  <c r="E204" i="4"/>
  <c r="D204" i="4"/>
  <c r="C204" i="4"/>
  <c r="B204" i="4"/>
  <c r="G204" i="4" s="1"/>
  <c r="A204" i="4"/>
  <c r="A214" i="5" s="1"/>
  <c r="H203" i="4"/>
  <c r="F203" i="4"/>
  <c r="E203" i="4"/>
  <c r="D203" i="4"/>
  <c r="C203" i="4"/>
  <c r="B203" i="4"/>
  <c r="G203" i="4" s="1"/>
  <c r="A203" i="4"/>
  <c r="A213" i="5" s="1"/>
  <c r="H202" i="4"/>
  <c r="F202" i="4"/>
  <c r="E202" i="4"/>
  <c r="D202" i="4"/>
  <c r="C202" i="4"/>
  <c r="B202" i="4"/>
  <c r="G202" i="4" s="1"/>
  <c r="A202" i="4"/>
  <c r="A212" i="5" s="1"/>
  <c r="H201" i="4"/>
  <c r="F201" i="4"/>
  <c r="E201" i="4"/>
  <c r="D201" i="4"/>
  <c r="C201" i="4"/>
  <c r="B201" i="4"/>
  <c r="G201" i="4" s="1"/>
  <c r="A201" i="4"/>
  <c r="A211" i="5" s="1"/>
  <c r="H200" i="4"/>
  <c r="F200" i="4"/>
  <c r="E200" i="4"/>
  <c r="D200" i="4"/>
  <c r="C200" i="4"/>
  <c r="B200" i="4"/>
  <c r="G200" i="4" s="1"/>
  <c r="A200" i="4"/>
  <c r="A210" i="5" s="1"/>
  <c r="H199" i="4"/>
  <c r="F199" i="4"/>
  <c r="E199" i="4"/>
  <c r="D199" i="4"/>
  <c r="C199" i="4"/>
  <c r="B199" i="4"/>
  <c r="G199" i="4" s="1"/>
  <c r="A199" i="4"/>
  <c r="A209" i="5" s="1"/>
  <c r="H198" i="4"/>
  <c r="F198" i="4"/>
  <c r="E198" i="4"/>
  <c r="D198" i="4"/>
  <c r="C198" i="4"/>
  <c r="B198" i="4"/>
  <c r="G198" i="4" s="1"/>
  <c r="A198" i="4"/>
  <c r="A208" i="5" s="1"/>
  <c r="H197" i="4"/>
  <c r="F197" i="4"/>
  <c r="E197" i="4"/>
  <c r="D197" i="4"/>
  <c r="C197" i="4"/>
  <c r="B197" i="4"/>
  <c r="G197" i="4" s="1"/>
  <c r="A197" i="4"/>
  <c r="A207" i="5" s="1"/>
  <c r="H196" i="4"/>
  <c r="F196" i="4"/>
  <c r="E196" i="4"/>
  <c r="D196" i="4"/>
  <c r="C196" i="4"/>
  <c r="B196" i="4"/>
  <c r="G196" i="4" s="1"/>
  <c r="A196" i="4"/>
  <c r="A206" i="5" s="1"/>
  <c r="H195" i="4"/>
  <c r="F195" i="4"/>
  <c r="E195" i="4"/>
  <c r="D195" i="4"/>
  <c r="C195" i="4"/>
  <c r="B195" i="4"/>
  <c r="G195" i="4" s="1"/>
  <c r="A195" i="4"/>
  <c r="A205" i="5" s="1"/>
  <c r="H194" i="4"/>
  <c r="F194" i="4"/>
  <c r="E194" i="4"/>
  <c r="D194" i="4"/>
  <c r="C194" i="4"/>
  <c r="B194" i="4"/>
  <c r="G194" i="4" s="1"/>
  <c r="A194" i="4"/>
  <c r="A204" i="5" s="1"/>
  <c r="H193" i="4"/>
  <c r="F193" i="4"/>
  <c r="E193" i="4"/>
  <c r="D193" i="4"/>
  <c r="C193" i="4"/>
  <c r="B193" i="4"/>
  <c r="G193" i="4" s="1"/>
  <c r="A193" i="4"/>
  <c r="A203" i="5" s="1"/>
  <c r="H192" i="4"/>
  <c r="F192" i="4"/>
  <c r="E192" i="4"/>
  <c r="D192" i="4"/>
  <c r="C192" i="4"/>
  <c r="B192" i="4"/>
  <c r="G192" i="4" s="1"/>
  <c r="A192" i="4"/>
  <c r="A202" i="5" s="1"/>
  <c r="H191" i="4"/>
  <c r="F191" i="4"/>
  <c r="E191" i="4"/>
  <c r="D191" i="4"/>
  <c r="C191" i="4"/>
  <c r="B191" i="4"/>
  <c r="G191" i="4" s="1"/>
  <c r="A191" i="4"/>
  <c r="A201" i="5" s="1"/>
  <c r="H190" i="4"/>
  <c r="F190" i="4"/>
  <c r="E190" i="4"/>
  <c r="D190" i="4"/>
  <c r="C190" i="4"/>
  <c r="B190" i="4"/>
  <c r="G190" i="4" s="1"/>
  <c r="A190" i="4"/>
  <c r="A200" i="5" s="1"/>
  <c r="H189" i="4"/>
  <c r="F189" i="4"/>
  <c r="E189" i="4"/>
  <c r="D189" i="4"/>
  <c r="C189" i="4"/>
  <c r="B189" i="4"/>
  <c r="G189" i="4" s="1"/>
  <c r="A189" i="4"/>
  <c r="A199" i="5" s="1"/>
  <c r="H188" i="4"/>
  <c r="F188" i="4"/>
  <c r="E188" i="4"/>
  <c r="D188" i="4"/>
  <c r="C188" i="4"/>
  <c r="B188" i="4"/>
  <c r="G188" i="4" s="1"/>
  <c r="A188" i="4"/>
  <c r="A198" i="5" s="1"/>
  <c r="H187" i="4"/>
  <c r="F187" i="4"/>
  <c r="E187" i="4"/>
  <c r="D187" i="4"/>
  <c r="C187" i="4"/>
  <c r="B187" i="4"/>
  <c r="G187" i="4" s="1"/>
  <c r="A187" i="4"/>
  <c r="A197" i="5" s="1"/>
  <c r="H186" i="4"/>
  <c r="F186" i="4"/>
  <c r="E186" i="4"/>
  <c r="D186" i="4"/>
  <c r="C186" i="4"/>
  <c r="B186" i="4"/>
  <c r="G186" i="4" s="1"/>
  <c r="A186" i="4"/>
  <c r="A196" i="5" s="1"/>
  <c r="H185" i="4"/>
  <c r="F185" i="4"/>
  <c r="E185" i="4"/>
  <c r="D185" i="4"/>
  <c r="C185" i="4"/>
  <c r="B185" i="4"/>
  <c r="G185" i="4" s="1"/>
  <c r="A185" i="4"/>
  <c r="A195" i="5" s="1"/>
  <c r="H184" i="4"/>
  <c r="F184" i="4"/>
  <c r="E184" i="4"/>
  <c r="D184" i="4"/>
  <c r="C184" i="4"/>
  <c r="B184" i="4"/>
  <c r="G184" i="4" s="1"/>
  <c r="A184" i="4"/>
  <c r="A194" i="5" s="1"/>
  <c r="H183" i="4"/>
  <c r="F183" i="4"/>
  <c r="E183" i="4"/>
  <c r="D183" i="4"/>
  <c r="C183" i="4"/>
  <c r="B183" i="4"/>
  <c r="G183" i="4" s="1"/>
  <c r="A183" i="4"/>
  <c r="A193" i="5" s="1"/>
  <c r="H182" i="4"/>
  <c r="F182" i="4"/>
  <c r="E182" i="4"/>
  <c r="D182" i="4"/>
  <c r="C182" i="4"/>
  <c r="B182" i="4"/>
  <c r="G182" i="4" s="1"/>
  <c r="A182" i="4"/>
  <c r="A192" i="5" s="1"/>
  <c r="H181" i="4"/>
  <c r="F181" i="4"/>
  <c r="E181" i="4"/>
  <c r="D181" i="4"/>
  <c r="C181" i="4"/>
  <c r="B181" i="4"/>
  <c r="G181" i="4" s="1"/>
  <c r="A181" i="4"/>
  <c r="A191" i="5" s="1"/>
  <c r="H180" i="4"/>
  <c r="F180" i="4"/>
  <c r="E180" i="4"/>
  <c r="D180" i="4"/>
  <c r="C180" i="4"/>
  <c r="B180" i="4"/>
  <c r="G180" i="4" s="1"/>
  <c r="A180" i="4"/>
  <c r="A190" i="5" s="1"/>
  <c r="H179" i="4"/>
  <c r="F179" i="4"/>
  <c r="E179" i="4"/>
  <c r="D179" i="4"/>
  <c r="C179" i="4"/>
  <c r="B179" i="4"/>
  <c r="G179" i="4" s="1"/>
  <c r="A179" i="4"/>
  <c r="A189" i="5" s="1"/>
  <c r="H178" i="4"/>
  <c r="F178" i="4"/>
  <c r="E178" i="4"/>
  <c r="D178" i="4"/>
  <c r="C178" i="4"/>
  <c r="B178" i="4"/>
  <c r="G178" i="4" s="1"/>
  <c r="A178" i="4"/>
  <c r="A188" i="5" s="1"/>
  <c r="H177" i="4"/>
  <c r="F177" i="4"/>
  <c r="E177" i="4"/>
  <c r="D177" i="4"/>
  <c r="C177" i="4"/>
  <c r="B177" i="4"/>
  <c r="G177" i="4" s="1"/>
  <c r="A177" i="4"/>
  <c r="A187" i="5" s="1"/>
  <c r="H176" i="4"/>
  <c r="F176" i="4"/>
  <c r="E176" i="4"/>
  <c r="D176" i="4"/>
  <c r="C176" i="4"/>
  <c r="B176" i="4"/>
  <c r="G176" i="4" s="1"/>
  <c r="A176" i="4"/>
  <c r="A186" i="5" s="1"/>
  <c r="H175" i="4"/>
  <c r="F175" i="4"/>
  <c r="E175" i="4"/>
  <c r="D175" i="4"/>
  <c r="C175" i="4"/>
  <c r="B175" i="4"/>
  <c r="G175" i="4" s="1"/>
  <c r="A175" i="4"/>
  <c r="A185" i="5" s="1"/>
  <c r="H174" i="4"/>
  <c r="F174" i="4"/>
  <c r="E174" i="4"/>
  <c r="D174" i="4"/>
  <c r="C174" i="4"/>
  <c r="B174" i="4"/>
  <c r="G174" i="4" s="1"/>
  <c r="A174" i="4"/>
  <c r="A184" i="5" s="1"/>
  <c r="H173" i="4"/>
  <c r="F173" i="4"/>
  <c r="E173" i="4"/>
  <c r="D173" i="4"/>
  <c r="C173" i="4"/>
  <c r="B173" i="4"/>
  <c r="G173" i="4" s="1"/>
  <c r="A173" i="4"/>
  <c r="A183" i="5" s="1"/>
  <c r="H172" i="4"/>
  <c r="F172" i="4"/>
  <c r="E172" i="4"/>
  <c r="D172" i="4"/>
  <c r="C172" i="4"/>
  <c r="B172" i="4"/>
  <c r="G172" i="4" s="1"/>
  <c r="A172" i="4"/>
  <c r="A182" i="5" s="1"/>
  <c r="H171" i="4"/>
  <c r="F171" i="4"/>
  <c r="E171" i="4"/>
  <c r="D171" i="4"/>
  <c r="C171" i="4"/>
  <c r="B171" i="4"/>
  <c r="G171" i="4" s="1"/>
  <c r="A171" i="4"/>
  <c r="A181" i="5" s="1"/>
  <c r="H170" i="4"/>
  <c r="F170" i="4"/>
  <c r="E170" i="4"/>
  <c r="D170" i="4"/>
  <c r="C170" i="4"/>
  <c r="B170" i="4"/>
  <c r="G170" i="4" s="1"/>
  <c r="A170" i="4"/>
  <c r="A180" i="5" s="1"/>
  <c r="H169" i="4"/>
  <c r="F169" i="4"/>
  <c r="E169" i="4"/>
  <c r="D169" i="4"/>
  <c r="C169" i="4"/>
  <c r="B169" i="4"/>
  <c r="G169" i="4" s="1"/>
  <c r="A169" i="4"/>
  <c r="A179" i="5" s="1"/>
  <c r="H168" i="4"/>
  <c r="F168" i="4"/>
  <c r="E168" i="4"/>
  <c r="D168" i="4"/>
  <c r="C168" i="4"/>
  <c r="B168" i="4"/>
  <c r="G168" i="4" s="1"/>
  <c r="A168" i="4"/>
  <c r="A178" i="5" s="1"/>
  <c r="H167" i="4"/>
  <c r="F167" i="4"/>
  <c r="E167" i="4"/>
  <c r="D167" i="4"/>
  <c r="C167" i="4"/>
  <c r="B167" i="4"/>
  <c r="G167" i="4" s="1"/>
  <c r="A167" i="4"/>
  <c r="A177" i="5" s="1"/>
  <c r="H166" i="4"/>
  <c r="F166" i="4"/>
  <c r="E166" i="4"/>
  <c r="D166" i="4"/>
  <c r="C166" i="4"/>
  <c r="B166" i="4"/>
  <c r="G166" i="4" s="1"/>
  <c r="A166" i="4"/>
  <c r="A176" i="5" s="1"/>
  <c r="H165" i="4"/>
  <c r="F165" i="4"/>
  <c r="E165" i="4"/>
  <c r="D165" i="4"/>
  <c r="C165" i="4"/>
  <c r="B165" i="4"/>
  <c r="G165" i="4" s="1"/>
  <c r="A165" i="4"/>
  <c r="A175" i="5" s="1"/>
  <c r="H164" i="4"/>
  <c r="F164" i="4"/>
  <c r="E164" i="4"/>
  <c r="D164" i="4"/>
  <c r="C164" i="4"/>
  <c r="B164" i="4"/>
  <c r="G164" i="4" s="1"/>
  <c r="A164" i="4"/>
  <c r="A174" i="5" s="1"/>
  <c r="H163" i="4"/>
  <c r="F163" i="4"/>
  <c r="E163" i="4"/>
  <c r="D163" i="4"/>
  <c r="C163" i="4"/>
  <c r="B163" i="4"/>
  <c r="G163" i="4" s="1"/>
  <c r="A163" i="4"/>
  <c r="A173" i="5" s="1"/>
  <c r="H162" i="4"/>
  <c r="F162" i="4"/>
  <c r="E162" i="4"/>
  <c r="D162" i="4"/>
  <c r="C162" i="4"/>
  <c r="B162" i="4"/>
  <c r="G162" i="4" s="1"/>
  <c r="A162" i="4"/>
  <c r="A172" i="5" s="1"/>
  <c r="H161" i="4"/>
  <c r="F161" i="4"/>
  <c r="E161" i="4"/>
  <c r="D161" i="4"/>
  <c r="C161" i="4"/>
  <c r="B161" i="4"/>
  <c r="G161" i="4" s="1"/>
  <c r="A161" i="4"/>
  <c r="A171" i="5" s="1"/>
  <c r="H160" i="4"/>
  <c r="F160" i="4"/>
  <c r="E160" i="4"/>
  <c r="D160" i="4"/>
  <c r="C160" i="4"/>
  <c r="B160" i="4"/>
  <c r="G160" i="4" s="1"/>
  <c r="A160" i="4"/>
  <c r="A170" i="5" s="1"/>
  <c r="H159" i="4"/>
  <c r="F159" i="4"/>
  <c r="E159" i="4"/>
  <c r="D159" i="4"/>
  <c r="C159" i="4"/>
  <c r="B159" i="4"/>
  <c r="G159" i="4" s="1"/>
  <c r="A159" i="4"/>
  <c r="A169" i="5" s="1"/>
  <c r="H158" i="4"/>
  <c r="F158" i="4"/>
  <c r="E158" i="4"/>
  <c r="D158" i="4"/>
  <c r="C158" i="4"/>
  <c r="B158" i="4"/>
  <c r="G158" i="4" s="1"/>
  <c r="A158" i="4"/>
  <c r="A168" i="5" s="1"/>
  <c r="H157" i="4"/>
  <c r="F157" i="4"/>
  <c r="E157" i="4"/>
  <c r="D157" i="4"/>
  <c r="C157" i="4"/>
  <c r="B157" i="4"/>
  <c r="G157" i="4" s="1"/>
  <c r="A157" i="4"/>
  <c r="A167" i="5" s="1"/>
  <c r="H156" i="4"/>
  <c r="F156" i="4"/>
  <c r="E156" i="4"/>
  <c r="D156" i="4"/>
  <c r="C156" i="4"/>
  <c r="B156" i="4"/>
  <c r="G156" i="4" s="1"/>
  <c r="A156" i="4"/>
  <c r="A166" i="5" s="1"/>
  <c r="H155" i="4"/>
  <c r="F155" i="4"/>
  <c r="E155" i="4"/>
  <c r="D155" i="4"/>
  <c r="C155" i="4"/>
  <c r="B155" i="4"/>
  <c r="G155" i="4" s="1"/>
  <c r="A155" i="4"/>
  <c r="A165" i="5" s="1"/>
  <c r="H154" i="4"/>
  <c r="F154" i="4"/>
  <c r="E154" i="4"/>
  <c r="D154" i="4"/>
  <c r="C154" i="4"/>
  <c r="B154" i="4"/>
  <c r="G154" i="4" s="1"/>
  <c r="A154" i="4"/>
  <c r="A164" i="5" s="1"/>
  <c r="H153" i="4"/>
  <c r="F153" i="4"/>
  <c r="E153" i="4"/>
  <c r="D153" i="4"/>
  <c r="C153" i="4"/>
  <c r="B153" i="4"/>
  <c r="G153" i="4" s="1"/>
  <c r="A153" i="4"/>
  <c r="A163" i="5" s="1"/>
  <c r="H152" i="4"/>
  <c r="F152" i="4"/>
  <c r="E152" i="4"/>
  <c r="D152" i="4"/>
  <c r="C152" i="4"/>
  <c r="B152" i="4"/>
  <c r="G152" i="4" s="1"/>
  <c r="A152" i="4"/>
  <c r="A162" i="5" s="1"/>
  <c r="H151" i="4"/>
  <c r="F151" i="4"/>
  <c r="E151" i="4"/>
  <c r="D151" i="4"/>
  <c r="C151" i="4"/>
  <c r="B151" i="4"/>
  <c r="G151" i="4" s="1"/>
  <c r="A151" i="4"/>
  <c r="A161" i="5" s="1"/>
  <c r="H150" i="4"/>
  <c r="F150" i="4"/>
  <c r="E150" i="4"/>
  <c r="D150" i="4"/>
  <c r="C150" i="4"/>
  <c r="B150" i="4"/>
  <c r="G150" i="4" s="1"/>
  <c r="A150" i="4"/>
  <c r="A160" i="5" s="1"/>
  <c r="H149" i="4"/>
  <c r="F149" i="4"/>
  <c r="E149" i="4"/>
  <c r="D149" i="4"/>
  <c r="C149" i="4"/>
  <c r="B149" i="4"/>
  <c r="G149" i="4" s="1"/>
  <c r="A149" i="4"/>
  <c r="A159" i="5" s="1"/>
  <c r="H148" i="4"/>
  <c r="F148" i="4"/>
  <c r="E148" i="4"/>
  <c r="D148" i="4"/>
  <c r="C148" i="4"/>
  <c r="B148" i="4"/>
  <c r="G148" i="4" s="1"/>
  <c r="A148" i="4"/>
  <c r="A158" i="5" s="1"/>
  <c r="H147" i="4"/>
  <c r="F147" i="4"/>
  <c r="E147" i="4"/>
  <c r="D147" i="4"/>
  <c r="C147" i="4"/>
  <c r="B147" i="4"/>
  <c r="G147" i="4" s="1"/>
  <c r="A147" i="4"/>
  <c r="A157" i="5" s="1"/>
  <c r="H146" i="4"/>
  <c r="F146" i="4"/>
  <c r="E146" i="4"/>
  <c r="D146" i="4"/>
  <c r="C146" i="4"/>
  <c r="B146" i="4"/>
  <c r="G146" i="4" s="1"/>
  <c r="A146" i="4"/>
  <c r="A156" i="5" s="1"/>
  <c r="H145" i="4"/>
  <c r="F145" i="4"/>
  <c r="E145" i="4"/>
  <c r="D145" i="4"/>
  <c r="C145" i="4"/>
  <c r="B145" i="4"/>
  <c r="G145" i="4" s="1"/>
  <c r="A145" i="4"/>
  <c r="A155" i="5" s="1"/>
  <c r="H144" i="4"/>
  <c r="F144" i="4"/>
  <c r="E144" i="4"/>
  <c r="D144" i="4"/>
  <c r="C144" i="4"/>
  <c r="B144" i="4"/>
  <c r="G144" i="4" s="1"/>
  <c r="A144" i="4"/>
  <c r="A154" i="5" s="1"/>
  <c r="H143" i="4"/>
  <c r="F143" i="4"/>
  <c r="E143" i="4"/>
  <c r="D143" i="4"/>
  <c r="C143" i="4"/>
  <c r="B143" i="4"/>
  <c r="G143" i="4" s="1"/>
  <c r="A143" i="4"/>
  <c r="A153" i="5" s="1"/>
  <c r="H142" i="4"/>
  <c r="F142" i="4"/>
  <c r="E142" i="4"/>
  <c r="D142" i="4"/>
  <c r="C142" i="4"/>
  <c r="B142" i="4"/>
  <c r="G142" i="4" s="1"/>
  <c r="A142" i="4"/>
  <c r="A152" i="5" s="1"/>
  <c r="H141" i="4"/>
  <c r="F141" i="4"/>
  <c r="E141" i="4"/>
  <c r="D141" i="4"/>
  <c r="C141" i="4"/>
  <c r="B141" i="4"/>
  <c r="G141" i="4" s="1"/>
  <c r="A141" i="4"/>
  <c r="A151" i="5" s="1"/>
  <c r="H140" i="4"/>
  <c r="F140" i="4"/>
  <c r="E140" i="4"/>
  <c r="D140" i="4"/>
  <c r="C140" i="4"/>
  <c r="B140" i="4"/>
  <c r="G140" i="4" s="1"/>
  <c r="A140" i="4"/>
  <c r="A150" i="5" s="1"/>
  <c r="H139" i="4"/>
  <c r="F139" i="4"/>
  <c r="E139" i="4"/>
  <c r="D139" i="4"/>
  <c r="C139" i="4"/>
  <c r="B139" i="4"/>
  <c r="G139" i="4" s="1"/>
  <c r="A139" i="4"/>
  <c r="A149" i="5" s="1"/>
  <c r="H138" i="4"/>
  <c r="F138" i="4"/>
  <c r="E138" i="4"/>
  <c r="D138" i="4"/>
  <c r="C138" i="4"/>
  <c r="B138" i="4"/>
  <c r="G138" i="4" s="1"/>
  <c r="A138" i="4"/>
  <c r="A148" i="5" s="1"/>
  <c r="H137" i="4"/>
  <c r="F137" i="4"/>
  <c r="E137" i="4"/>
  <c r="D137" i="4"/>
  <c r="C137" i="4"/>
  <c r="B137" i="4"/>
  <c r="G137" i="4" s="1"/>
  <c r="A137" i="4"/>
  <c r="A147" i="5" s="1"/>
  <c r="H136" i="4"/>
  <c r="F136" i="4"/>
  <c r="E136" i="4"/>
  <c r="D136" i="4"/>
  <c r="C136" i="4"/>
  <c r="B136" i="4"/>
  <c r="G136" i="4" s="1"/>
  <c r="A136" i="4"/>
  <c r="A146" i="5" s="1"/>
  <c r="H135" i="4"/>
  <c r="F135" i="4"/>
  <c r="E135" i="4"/>
  <c r="D135" i="4"/>
  <c r="C135" i="4"/>
  <c r="B135" i="4"/>
  <c r="G135" i="4" s="1"/>
  <c r="A135" i="4"/>
  <c r="A145" i="5" s="1"/>
  <c r="H134" i="4"/>
  <c r="F134" i="4"/>
  <c r="E134" i="4"/>
  <c r="D134" i="4"/>
  <c r="C134" i="4"/>
  <c r="B134" i="4"/>
  <c r="G134" i="4" s="1"/>
  <c r="A134" i="4"/>
  <c r="A144" i="5" s="1"/>
  <c r="H133" i="4"/>
  <c r="F133" i="4"/>
  <c r="E133" i="4"/>
  <c r="D133" i="4"/>
  <c r="C133" i="4"/>
  <c r="B133" i="4"/>
  <c r="G133" i="4" s="1"/>
  <c r="A133" i="4"/>
  <c r="A143" i="5" s="1"/>
  <c r="H132" i="4"/>
  <c r="F132" i="4"/>
  <c r="E132" i="4"/>
  <c r="D132" i="4"/>
  <c r="C132" i="4"/>
  <c r="B132" i="4"/>
  <c r="G132" i="4" s="1"/>
  <c r="A132" i="4"/>
  <c r="A142" i="5" s="1"/>
  <c r="H131" i="4"/>
  <c r="F131" i="4"/>
  <c r="E131" i="4"/>
  <c r="D131" i="4"/>
  <c r="C131" i="4"/>
  <c r="B131" i="4"/>
  <c r="G131" i="4" s="1"/>
  <c r="A131" i="4"/>
  <c r="A141" i="5" s="1"/>
  <c r="H130" i="4"/>
  <c r="F130" i="4"/>
  <c r="E130" i="4"/>
  <c r="D130" i="4"/>
  <c r="C130" i="4"/>
  <c r="B130" i="4"/>
  <c r="G130" i="4" s="1"/>
  <c r="A130" i="4"/>
  <c r="A140" i="5" s="1"/>
  <c r="H129" i="4"/>
  <c r="F129" i="4"/>
  <c r="E129" i="4"/>
  <c r="D129" i="4"/>
  <c r="C129" i="4"/>
  <c r="B129" i="4"/>
  <c r="G129" i="4" s="1"/>
  <c r="A129" i="4"/>
  <c r="A139" i="5" s="1"/>
  <c r="H128" i="4"/>
  <c r="F128" i="4"/>
  <c r="E128" i="4"/>
  <c r="D128" i="4"/>
  <c r="C128" i="4"/>
  <c r="B128" i="4"/>
  <c r="G128" i="4" s="1"/>
  <c r="A128" i="4"/>
  <c r="A138" i="5" s="1"/>
  <c r="H127" i="4"/>
  <c r="F127" i="4"/>
  <c r="E127" i="4"/>
  <c r="D127" i="4"/>
  <c r="C127" i="4"/>
  <c r="B127" i="4"/>
  <c r="G127" i="4" s="1"/>
  <c r="A127" i="4"/>
  <c r="A137" i="5" s="1"/>
  <c r="H126" i="4"/>
  <c r="F126" i="4"/>
  <c r="E126" i="4"/>
  <c r="D126" i="4"/>
  <c r="C126" i="4"/>
  <c r="B126" i="4"/>
  <c r="G126" i="4" s="1"/>
  <c r="A126" i="4"/>
  <c r="A136" i="5" s="1"/>
  <c r="H125" i="4"/>
  <c r="F125" i="4"/>
  <c r="E125" i="4"/>
  <c r="D125" i="4"/>
  <c r="C125" i="4"/>
  <c r="B125" i="4"/>
  <c r="G125" i="4" s="1"/>
  <c r="A125" i="4"/>
  <c r="A135" i="5" s="1"/>
  <c r="H124" i="4"/>
  <c r="F124" i="4"/>
  <c r="E124" i="4"/>
  <c r="D124" i="4"/>
  <c r="C124" i="4"/>
  <c r="B124" i="4"/>
  <c r="G124" i="4" s="1"/>
  <c r="A124" i="4"/>
  <c r="A134" i="5" s="1"/>
  <c r="H123" i="4"/>
  <c r="F123" i="4"/>
  <c r="E123" i="4"/>
  <c r="D123" i="4"/>
  <c r="C123" i="4"/>
  <c r="B123" i="4"/>
  <c r="G123" i="4" s="1"/>
  <c r="A123" i="4"/>
  <c r="A133" i="5" s="1"/>
  <c r="H122" i="4"/>
  <c r="F122" i="4"/>
  <c r="E122" i="4"/>
  <c r="D122" i="4"/>
  <c r="C122" i="4"/>
  <c r="B122" i="4"/>
  <c r="G122" i="4" s="1"/>
  <c r="A122" i="4"/>
  <c r="A132" i="5" s="1"/>
  <c r="H121" i="4"/>
  <c r="F121" i="4"/>
  <c r="E121" i="4"/>
  <c r="D121" i="4"/>
  <c r="C121" i="4"/>
  <c r="B121" i="4"/>
  <c r="G121" i="4" s="1"/>
  <c r="A121" i="4"/>
  <c r="A131" i="5" s="1"/>
  <c r="H120" i="4"/>
  <c r="F120" i="4"/>
  <c r="E120" i="4"/>
  <c r="D120" i="4"/>
  <c r="C120" i="4"/>
  <c r="B120" i="4"/>
  <c r="G120" i="4" s="1"/>
  <c r="A120" i="4"/>
  <c r="A130" i="5" s="1"/>
  <c r="H119" i="4"/>
  <c r="F119" i="4"/>
  <c r="E119" i="4"/>
  <c r="D119" i="4"/>
  <c r="C119" i="4"/>
  <c r="B119" i="4"/>
  <c r="G119" i="4" s="1"/>
  <c r="A119" i="4"/>
  <c r="A129" i="5" s="1"/>
  <c r="H118" i="4"/>
  <c r="F118" i="4"/>
  <c r="E118" i="4"/>
  <c r="D118" i="4"/>
  <c r="C118" i="4"/>
  <c r="B118" i="4"/>
  <c r="G118" i="4" s="1"/>
  <c r="A118" i="4"/>
  <c r="A128" i="5" s="1"/>
  <c r="H117" i="4"/>
  <c r="F117" i="4"/>
  <c r="E117" i="4"/>
  <c r="D117" i="4"/>
  <c r="C117" i="4"/>
  <c r="B117" i="4"/>
  <c r="G117" i="4" s="1"/>
  <c r="A117" i="4"/>
  <c r="A127" i="5" s="1"/>
  <c r="H116" i="4"/>
  <c r="F116" i="4"/>
  <c r="E116" i="4"/>
  <c r="D116" i="4"/>
  <c r="C116" i="4"/>
  <c r="B116" i="4"/>
  <c r="G116" i="4" s="1"/>
  <c r="A116" i="4"/>
  <c r="A126" i="5" s="1"/>
  <c r="H115" i="4"/>
  <c r="F115" i="4"/>
  <c r="E115" i="4"/>
  <c r="D115" i="4"/>
  <c r="C115" i="4"/>
  <c r="B115" i="4"/>
  <c r="G115" i="4" s="1"/>
  <c r="A115" i="4"/>
  <c r="A125" i="5" s="1"/>
  <c r="H114" i="4"/>
  <c r="F114" i="4"/>
  <c r="E114" i="4"/>
  <c r="D114" i="4"/>
  <c r="C114" i="4"/>
  <c r="B114" i="4"/>
  <c r="G114" i="4" s="1"/>
  <c r="A114" i="4"/>
  <c r="A124" i="5" s="1"/>
  <c r="H113" i="4"/>
  <c r="F113" i="4"/>
  <c r="E113" i="4"/>
  <c r="D113" i="4"/>
  <c r="C113" i="4"/>
  <c r="B113" i="4"/>
  <c r="G113" i="4" s="1"/>
  <c r="A113" i="4"/>
  <c r="A123" i="5" s="1"/>
  <c r="H112" i="4"/>
  <c r="F112" i="4"/>
  <c r="E112" i="4"/>
  <c r="D112" i="4"/>
  <c r="C112" i="4"/>
  <c r="B112" i="4"/>
  <c r="G112" i="4" s="1"/>
  <c r="A112" i="4"/>
  <c r="A122" i="5" s="1"/>
  <c r="H111" i="4"/>
  <c r="F111" i="4"/>
  <c r="E111" i="4"/>
  <c r="D111" i="4"/>
  <c r="C111" i="4"/>
  <c r="B111" i="4"/>
  <c r="G111" i="4" s="1"/>
  <c r="A111" i="4"/>
  <c r="A121" i="5" s="1"/>
  <c r="H110" i="4"/>
  <c r="F110" i="4"/>
  <c r="E110" i="4"/>
  <c r="D110" i="4"/>
  <c r="C110" i="4"/>
  <c r="B110" i="4"/>
  <c r="G110" i="4" s="1"/>
  <c r="A110" i="4"/>
  <c r="A120" i="5" s="1"/>
  <c r="H109" i="4"/>
  <c r="F109" i="4"/>
  <c r="E109" i="4"/>
  <c r="D109" i="4"/>
  <c r="C109" i="4"/>
  <c r="B109" i="4"/>
  <c r="G109" i="4" s="1"/>
  <c r="A109" i="4"/>
  <c r="A119" i="5" s="1"/>
  <c r="H108" i="4"/>
  <c r="F108" i="4"/>
  <c r="E108" i="4"/>
  <c r="D108" i="4"/>
  <c r="C108" i="4"/>
  <c r="B108" i="4"/>
  <c r="G108" i="4" s="1"/>
  <c r="A108" i="4"/>
  <c r="A118" i="5" s="1"/>
  <c r="H107" i="4"/>
  <c r="F107" i="4"/>
  <c r="E107" i="4"/>
  <c r="D107" i="4"/>
  <c r="C107" i="4"/>
  <c r="B107" i="4"/>
  <c r="G107" i="4" s="1"/>
  <c r="A107" i="4"/>
  <c r="A117" i="5" s="1"/>
  <c r="H106" i="4"/>
  <c r="F106" i="4"/>
  <c r="E106" i="4"/>
  <c r="D106" i="4"/>
  <c r="C106" i="4"/>
  <c r="B106" i="4"/>
  <c r="G106" i="4" s="1"/>
  <c r="A106" i="4"/>
  <c r="A116" i="5" s="1"/>
  <c r="H105" i="4"/>
  <c r="F105" i="4"/>
  <c r="E105" i="4"/>
  <c r="D105" i="4"/>
  <c r="C105" i="4"/>
  <c r="B105" i="4"/>
  <c r="G105" i="4" s="1"/>
  <c r="A105" i="4"/>
  <c r="A115" i="5" s="1"/>
  <c r="H104" i="4"/>
  <c r="F104" i="4"/>
  <c r="E104" i="4"/>
  <c r="D104" i="4"/>
  <c r="C104" i="4"/>
  <c r="B104" i="4"/>
  <c r="G104" i="4" s="1"/>
  <c r="A104" i="4"/>
  <c r="A114" i="5" s="1"/>
  <c r="H103" i="4"/>
  <c r="F103" i="4"/>
  <c r="E103" i="4"/>
  <c r="D103" i="4"/>
  <c r="C103" i="4"/>
  <c r="B103" i="4"/>
  <c r="G103" i="4" s="1"/>
  <c r="A103" i="4"/>
  <c r="A113" i="5" s="1"/>
  <c r="H102" i="4"/>
  <c r="F102" i="4"/>
  <c r="E102" i="4"/>
  <c r="D102" i="4"/>
  <c r="C102" i="4"/>
  <c r="B102" i="4"/>
  <c r="G102" i="4" s="1"/>
  <c r="A102" i="4"/>
  <c r="A112" i="5" s="1"/>
  <c r="H101" i="4"/>
  <c r="F101" i="4"/>
  <c r="E101" i="4"/>
  <c r="D101" i="4"/>
  <c r="C101" i="4"/>
  <c r="B101" i="4"/>
  <c r="G101" i="4" s="1"/>
  <c r="A101" i="4"/>
  <c r="A111" i="5" s="1"/>
  <c r="H100" i="4"/>
  <c r="F100" i="4"/>
  <c r="E100" i="4"/>
  <c r="D100" i="4"/>
  <c r="C100" i="4"/>
  <c r="B100" i="4"/>
  <c r="G100" i="4" s="1"/>
  <c r="A100" i="4"/>
  <c r="A110" i="5" s="1"/>
  <c r="H99" i="4"/>
  <c r="F99" i="4"/>
  <c r="E99" i="4"/>
  <c r="D99" i="4"/>
  <c r="C99" i="4"/>
  <c r="B99" i="4"/>
  <c r="G99" i="4" s="1"/>
  <c r="A99" i="4"/>
  <c r="A109" i="5" s="1"/>
  <c r="H98" i="4"/>
  <c r="F98" i="4"/>
  <c r="E98" i="4"/>
  <c r="D98" i="4"/>
  <c r="C98" i="4"/>
  <c r="B98" i="4"/>
  <c r="G98" i="4" s="1"/>
  <c r="A98" i="4"/>
  <c r="A108" i="5" s="1"/>
  <c r="H97" i="4"/>
  <c r="F97" i="4"/>
  <c r="E97" i="4"/>
  <c r="D97" i="4"/>
  <c r="C97" i="4"/>
  <c r="B97" i="4"/>
  <c r="G97" i="4" s="1"/>
  <c r="A97" i="4"/>
  <c r="A107" i="5" s="1"/>
  <c r="H96" i="4"/>
  <c r="F96" i="4"/>
  <c r="E96" i="4"/>
  <c r="D96" i="4"/>
  <c r="C96" i="4"/>
  <c r="B96" i="4"/>
  <c r="G96" i="4" s="1"/>
  <c r="A96" i="4"/>
  <c r="A106" i="5" s="1"/>
  <c r="H95" i="4"/>
  <c r="F95" i="4"/>
  <c r="E95" i="4"/>
  <c r="D95" i="4"/>
  <c r="C95" i="4"/>
  <c r="B95" i="4"/>
  <c r="G95" i="4" s="1"/>
  <c r="A95" i="4"/>
  <c r="A105" i="5" s="1"/>
  <c r="H94" i="4"/>
  <c r="F94" i="4"/>
  <c r="E94" i="4"/>
  <c r="D94" i="4"/>
  <c r="C94" i="4"/>
  <c r="B94" i="4"/>
  <c r="G94" i="4" s="1"/>
  <c r="A94" i="4"/>
  <c r="A104" i="5" s="1"/>
  <c r="H93" i="4"/>
  <c r="F93" i="4"/>
  <c r="E93" i="4"/>
  <c r="D93" i="4"/>
  <c r="C93" i="4"/>
  <c r="B93" i="4"/>
  <c r="G93" i="4" s="1"/>
  <c r="A93" i="4"/>
  <c r="A103" i="5" s="1"/>
  <c r="H92" i="4"/>
  <c r="F92" i="4"/>
  <c r="E92" i="4"/>
  <c r="D92" i="4"/>
  <c r="C92" i="4"/>
  <c r="B92" i="4"/>
  <c r="G92" i="4" s="1"/>
  <c r="A92" i="4"/>
  <c r="A102" i="5" s="1"/>
  <c r="H91" i="4"/>
  <c r="F91" i="4"/>
  <c r="E91" i="4"/>
  <c r="D91" i="4"/>
  <c r="C91" i="4"/>
  <c r="B91" i="4"/>
  <c r="G91" i="4" s="1"/>
  <c r="A91" i="4"/>
  <c r="A101" i="5" s="1"/>
  <c r="H90" i="4"/>
  <c r="F90" i="4"/>
  <c r="E90" i="4"/>
  <c r="D90" i="4"/>
  <c r="C90" i="4"/>
  <c r="B90" i="4"/>
  <c r="G90" i="4" s="1"/>
  <c r="A90" i="4"/>
  <c r="A100" i="5" s="1"/>
  <c r="H89" i="4"/>
  <c r="F89" i="4"/>
  <c r="E89" i="4"/>
  <c r="D89" i="4"/>
  <c r="C89" i="4"/>
  <c r="B89" i="4"/>
  <c r="G89" i="4" s="1"/>
  <c r="A89" i="4"/>
  <c r="A99" i="5" s="1"/>
  <c r="H88" i="4"/>
  <c r="F88" i="4"/>
  <c r="E88" i="4"/>
  <c r="D88" i="4"/>
  <c r="C88" i="4"/>
  <c r="B88" i="4"/>
  <c r="G88" i="4" s="1"/>
  <c r="A88" i="4"/>
  <c r="A98" i="5" s="1"/>
  <c r="H87" i="4"/>
  <c r="F87" i="4"/>
  <c r="E87" i="4"/>
  <c r="D87" i="4"/>
  <c r="C87" i="4"/>
  <c r="B87" i="4"/>
  <c r="G87" i="4" s="1"/>
  <c r="A87" i="4"/>
  <c r="A97" i="5" s="1"/>
  <c r="H86" i="4"/>
  <c r="F86" i="4"/>
  <c r="E86" i="4"/>
  <c r="D86" i="4"/>
  <c r="C86" i="4"/>
  <c r="B86" i="4"/>
  <c r="G86" i="4" s="1"/>
  <c r="A86" i="4"/>
  <c r="A96" i="5" s="1"/>
  <c r="H85" i="4"/>
  <c r="F85" i="4"/>
  <c r="E85" i="4"/>
  <c r="D85" i="4"/>
  <c r="C85" i="4"/>
  <c r="B85" i="4"/>
  <c r="G85" i="4" s="1"/>
  <c r="A85" i="4"/>
  <c r="A95" i="5" s="1"/>
  <c r="H84" i="4"/>
  <c r="F84" i="4"/>
  <c r="E84" i="4"/>
  <c r="D84" i="4"/>
  <c r="C84" i="4"/>
  <c r="B84" i="4"/>
  <c r="G84" i="4" s="1"/>
  <c r="A84" i="4"/>
  <c r="A94" i="5" s="1"/>
  <c r="H83" i="4"/>
  <c r="F83" i="4"/>
  <c r="E83" i="4"/>
  <c r="D83" i="4"/>
  <c r="C83" i="4"/>
  <c r="B83" i="4"/>
  <c r="G83" i="4" s="1"/>
  <c r="A83" i="4"/>
  <c r="A93" i="5" s="1"/>
  <c r="H82" i="4"/>
  <c r="F82" i="4"/>
  <c r="E82" i="4"/>
  <c r="D82" i="4"/>
  <c r="C82" i="4"/>
  <c r="B82" i="4"/>
  <c r="G82" i="4" s="1"/>
  <c r="A82" i="4"/>
  <c r="A92" i="5" s="1"/>
  <c r="H81" i="4"/>
  <c r="F81" i="4"/>
  <c r="E81" i="4"/>
  <c r="D81" i="4"/>
  <c r="C81" i="4"/>
  <c r="B81" i="4"/>
  <c r="G81" i="4" s="1"/>
  <c r="A81" i="4"/>
  <c r="A91" i="5" s="1"/>
  <c r="H80" i="4"/>
  <c r="F80" i="4"/>
  <c r="E80" i="4"/>
  <c r="D80" i="4"/>
  <c r="C80" i="4"/>
  <c r="B80" i="4"/>
  <c r="G80" i="4" s="1"/>
  <c r="A80" i="4"/>
  <c r="A90" i="5" s="1"/>
  <c r="H79" i="4"/>
  <c r="F79" i="4"/>
  <c r="E79" i="4"/>
  <c r="D79" i="4"/>
  <c r="C79" i="4"/>
  <c r="B79" i="4"/>
  <c r="G79" i="4" s="1"/>
  <c r="A79" i="4"/>
  <c r="A89" i="5" s="1"/>
  <c r="H78" i="4"/>
  <c r="F78" i="4"/>
  <c r="E78" i="4"/>
  <c r="D78" i="4"/>
  <c r="C78" i="4"/>
  <c r="B78" i="4"/>
  <c r="G78" i="4" s="1"/>
  <c r="A78" i="4"/>
  <c r="A88" i="5" s="1"/>
  <c r="H77" i="4"/>
  <c r="F77" i="4"/>
  <c r="E77" i="4"/>
  <c r="D77" i="4"/>
  <c r="C77" i="4"/>
  <c r="B77" i="4"/>
  <c r="G77" i="4" s="1"/>
  <c r="A77" i="4"/>
  <c r="A87" i="5" s="1"/>
  <c r="H76" i="4"/>
  <c r="F76" i="4"/>
  <c r="E76" i="4"/>
  <c r="D76" i="4"/>
  <c r="C76" i="4"/>
  <c r="B76" i="4"/>
  <c r="G76" i="4" s="1"/>
  <c r="A76" i="4"/>
  <c r="A86" i="5" s="1"/>
  <c r="H75" i="4"/>
  <c r="F75" i="4"/>
  <c r="E75" i="4"/>
  <c r="D75" i="4"/>
  <c r="C75" i="4"/>
  <c r="B75" i="4"/>
  <c r="G75" i="4" s="1"/>
  <c r="A75" i="4"/>
  <c r="A85" i="5" s="1"/>
  <c r="H74" i="4"/>
  <c r="F74" i="4"/>
  <c r="E74" i="4"/>
  <c r="D74" i="4"/>
  <c r="C74" i="4"/>
  <c r="B74" i="4"/>
  <c r="G74" i="4" s="1"/>
  <c r="A74" i="4"/>
  <c r="A84" i="5" s="1"/>
  <c r="H73" i="4"/>
  <c r="F73" i="4"/>
  <c r="E73" i="4"/>
  <c r="D73" i="4"/>
  <c r="C73" i="4"/>
  <c r="B73" i="4"/>
  <c r="G73" i="4" s="1"/>
  <c r="A73" i="4"/>
  <c r="A83" i="5" s="1"/>
  <c r="H72" i="4"/>
  <c r="F72" i="4"/>
  <c r="E72" i="4"/>
  <c r="D72" i="4"/>
  <c r="C72" i="4"/>
  <c r="B72" i="4"/>
  <c r="G72" i="4" s="1"/>
  <c r="A72" i="4"/>
  <c r="A82" i="5" s="1"/>
  <c r="H71" i="4"/>
  <c r="F71" i="4"/>
  <c r="E71" i="4"/>
  <c r="D71" i="4"/>
  <c r="C71" i="4"/>
  <c r="B71" i="4"/>
  <c r="G71" i="4" s="1"/>
  <c r="A71" i="4"/>
  <c r="A81" i="5" s="1"/>
  <c r="H70" i="4"/>
  <c r="F70" i="4"/>
  <c r="E70" i="4"/>
  <c r="D70" i="4"/>
  <c r="C70" i="4"/>
  <c r="B70" i="4"/>
  <c r="G70" i="4" s="1"/>
  <c r="A70" i="4"/>
  <c r="A80" i="5" s="1"/>
  <c r="H69" i="4"/>
  <c r="F69" i="4"/>
  <c r="E69" i="4"/>
  <c r="D69" i="4"/>
  <c r="C69" i="4"/>
  <c r="B69" i="4"/>
  <c r="G69" i="4" s="1"/>
  <c r="A69" i="4"/>
  <c r="A79" i="5" s="1"/>
  <c r="H68" i="4"/>
  <c r="F68" i="4"/>
  <c r="E68" i="4"/>
  <c r="D68" i="4"/>
  <c r="C68" i="4"/>
  <c r="B68" i="4"/>
  <c r="G68" i="4" s="1"/>
  <c r="A68" i="4"/>
  <c r="A78" i="5" s="1"/>
  <c r="H67" i="4"/>
  <c r="F67" i="4"/>
  <c r="E67" i="4"/>
  <c r="D67" i="4"/>
  <c r="C67" i="4"/>
  <c r="B67" i="4"/>
  <c r="G67" i="4" s="1"/>
  <c r="A67" i="4"/>
  <c r="A77" i="5" s="1"/>
  <c r="H66" i="4"/>
  <c r="F66" i="4"/>
  <c r="E66" i="4"/>
  <c r="D66" i="4"/>
  <c r="C66" i="4"/>
  <c r="B66" i="4"/>
  <c r="G66" i="4" s="1"/>
  <c r="A66" i="4"/>
  <c r="A76" i="5" s="1"/>
  <c r="H65" i="4"/>
  <c r="F65" i="4"/>
  <c r="E65" i="4"/>
  <c r="D65" i="4"/>
  <c r="C65" i="4"/>
  <c r="B65" i="4"/>
  <c r="G65" i="4" s="1"/>
  <c r="A65" i="4"/>
  <c r="A75" i="5" s="1"/>
  <c r="H64" i="4"/>
  <c r="F64" i="4"/>
  <c r="E64" i="4"/>
  <c r="D64" i="4"/>
  <c r="C64" i="4"/>
  <c r="B64" i="4"/>
  <c r="G64" i="4" s="1"/>
  <c r="A64" i="4"/>
  <c r="A74" i="5" s="1"/>
  <c r="H63" i="4"/>
  <c r="F63" i="4"/>
  <c r="E63" i="4"/>
  <c r="D63" i="4"/>
  <c r="C63" i="4"/>
  <c r="B63" i="4"/>
  <c r="G63" i="4" s="1"/>
  <c r="A63" i="4"/>
  <c r="A73" i="5" s="1"/>
  <c r="H62" i="4"/>
  <c r="F62" i="4"/>
  <c r="E62" i="4"/>
  <c r="D62" i="4"/>
  <c r="C62" i="4"/>
  <c r="B62" i="4"/>
  <c r="G62" i="4" s="1"/>
  <c r="A62" i="4"/>
  <c r="A72" i="5" s="1"/>
  <c r="H61" i="4"/>
  <c r="F61" i="4"/>
  <c r="E61" i="4"/>
  <c r="D61" i="4"/>
  <c r="C61" i="4"/>
  <c r="B61" i="4"/>
  <c r="G61" i="4" s="1"/>
  <c r="A61" i="4"/>
  <c r="A71" i="5" s="1"/>
  <c r="H60" i="4"/>
  <c r="F60" i="4"/>
  <c r="E60" i="4"/>
  <c r="D60" i="4"/>
  <c r="C60" i="4"/>
  <c r="B60" i="4"/>
  <c r="G60" i="4" s="1"/>
  <c r="A60" i="4"/>
  <c r="A70" i="5" s="1"/>
  <c r="H59" i="4"/>
  <c r="F59" i="4"/>
  <c r="E59" i="4"/>
  <c r="D59" i="4"/>
  <c r="C59" i="4"/>
  <c r="B59" i="4"/>
  <c r="G59" i="4" s="1"/>
  <c r="A59" i="4"/>
  <c r="A69" i="5" s="1"/>
  <c r="H58" i="4"/>
  <c r="F58" i="4"/>
  <c r="E58" i="4"/>
  <c r="D58" i="4"/>
  <c r="C58" i="4"/>
  <c r="B58" i="4"/>
  <c r="G58" i="4" s="1"/>
  <c r="A58" i="4"/>
  <c r="A68" i="5" s="1"/>
  <c r="H57" i="4"/>
  <c r="F57" i="4"/>
  <c r="E57" i="4"/>
  <c r="D57" i="4"/>
  <c r="C57" i="4"/>
  <c r="B57" i="4"/>
  <c r="G57" i="4" s="1"/>
  <c r="A57" i="4"/>
  <c r="A67" i="5" s="1"/>
  <c r="H56" i="4"/>
  <c r="F56" i="4"/>
  <c r="E56" i="4"/>
  <c r="D56" i="4"/>
  <c r="C56" i="4"/>
  <c r="B56" i="4"/>
  <c r="G56" i="4" s="1"/>
  <c r="A56" i="4"/>
  <c r="A66" i="5" s="1"/>
  <c r="H55" i="4"/>
  <c r="F55" i="4"/>
  <c r="E55" i="4"/>
  <c r="D55" i="4"/>
  <c r="C55" i="4"/>
  <c r="B55" i="4"/>
  <c r="G55" i="4" s="1"/>
  <c r="A55" i="4"/>
  <c r="A65" i="5" s="1"/>
  <c r="H54" i="4"/>
  <c r="F54" i="4"/>
  <c r="E54" i="4"/>
  <c r="D54" i="4"/>
  <c r="C54" i="4"/>
  <c r="B54" i="4"/>
  <c r="G54" i="4" s="1"/>
  <c r="A54" i="4"/>
  <c r="A64" i="5" s="1"/>
  <c r="H53" i="4"/>
  <c r="F53" i="4"/>
  <c r="E53" i="4"/>
  <c r="D53" i="4"/>
  <c r="C53" i="4"/>
  <c r="B53" i="4"/>
  <c r="G53" i="4" s="1"/>
  <c r="A53" i="4"/>
  <c r="A63" i="5" s="1"/>
  <c r="H52" i="4"/>
  <c r="F52" i="4"/>
  <c r="E52" i="4"/>
  <c r="D52" i="4"/>
  <c r="C52" i="4"/>
  <c r="B52" i="4"/>
  <c r="G52" i="4" s="1"/>
  <c r="A52" i="4"/>
  <c r="A62" i="5" s="1"/>
  <c r="H51" i="4"/>
  <c r="F51" i="4"/>
  <c r="E51" i="4"/>
  <c r="D51" i="4"/>
  <c r="C51" i="4"/>
  <c r="B51" i="4"/>
  <c r="G51" i="4" s="1"/>
  <c r="A51" i="4"/>
  <c r="A61" i="5" s="1"/>
  <c r="H50" i="4"/>
  <c r="F50" i="4"/>
  <c r="E50" i="4"/>
  <c r="D50" i="4"/>
  <c r="C50" i="4"/>
  <c r="B50" i="4"/>
  <c r="G50" i="4" s="1"/>
  <c r="A50" i="4"/>
  <c r="A60" i="5" s="1"/>
  <c r="H49" i="4"/>
  <c r="F49" i="4"/>
  <c r="E49" i="4"/>
  <c r="D49" i="4"/>
  <c r="C49" i="4"/>
  <c r="B49" i="4"/>
  <c r="G49" i="4" s="1"/>
  <c r="A49" i="4"/>
  <c r="A59" i="5" s="1"/>
  <c r="H48" i="4"/>
  <c r="F48" i="4"/>
  <c r="E48" i="4"/>
  <c r="D48" i="4"/>
  <c r="C48" i="4"/>
  <c r="B48" i="4"/>
  <c r="G48" i="4" s="1"/>
  <c r="A48" i="4"/>
  <c r="A58" i="5" s="1"/>
  <c r="H47" i="4"/>
  <c r="F47" i="4"/>
  <c r="E47" i="4"/>
  <c r="D47" i="4"/>
  <c r="C47" i="4"/>
  <c r="B47" i="4"/>
  <c r="G47" i="4" s="1"/>
  <c r="A47" i="4"/>
  <c r="A57" i="5" s="1"/>
  <c r="H46" i="4"/>
  <c r="F46" i="4"/>
  <c r="E46" i="4"/>
  <c r="D46" i="4"/>
  <c r="C46" i="4"/>
  <c r="B46" i="4"/>
  <c r="G46" i="4" s="1"/>
  <c r="A46" i="4"/>
  <c r="A56" i="5" s="1"/>
  <c r="H45" i="4"/>
  <c r="F45" i="4"/>
  <c r="E45" i="4"/>
  <c r="D45" i="4"/>
  <c r="C45" i="4"/>
  <c r="B45" i="4"/>
  <c r="G45" i="4" s="1"/>
  <c r="A45" i="4"/>
  <c r="A55" i="5" s="1"/>
  <c r="H44" i="4"/>
  <c r="F44" i="4"/>
  <c r="E44" i="4"/>
  <c r="D44" i="4"/>
  <c r="C44" i="4"/>
  <c r="B44" i="4"/>
  <c r="G44" i="4" s="1"/>
  <c r="A44" i="4"/>
  <c r="A54" i="5" s="1"/>
  <c r="H43" i="4"/>
  <c r="F43" i="4"/>
  <c r="E43" i="4"/>
  <c r="D43" i="4"/>
  <c r="C43" i="4"/>
  <c r="B43" i="4"/>
  <c r="G43" i="4" s="1"/>
  <c r="A43" i="4"/>
  <c r="A53" i="5" s="1"/>
  <c r="H42" i="4"/>
  <c r="F42" i="4"/>
  <c r="E42" i="4"/>
  <c r="D42" i="4"/>
  <c r="C42" i="4"/>
  <c r="B42" i="4"/>
  <c r="G42" i="4" s="1"/>
  <c r="A42" i="4"/>
  <c r="A52" i="5" s="1"/>
  <c r="H41" i="4"/>
  <c r="F41" i="4"/>
  <c r="E41" i="4"/>
  <c r="D41" i="4"/>
  <c r="C41" i="4"/>
  <c r="B41" i="4"/>
  <c r="G41" i="4" s="1"/>
  <c r="A41" i="4"/>
  <c r="A51" i="5" s="1"/>
  <c r="H40" i="4"/>
  <c r="F40" i="4"/>
  <c r="E40" i="4"/>
  <c r="D40" i="4"/>
  <c r="C40" i="4"/>
  <c r="B40" i="4"/>
  <c r="G40" i="4" s="1"/>
  <c r="A40" i="4"/>
  <c r="A50" i="5" s="1"/>
  <c r="H39" i="4"/>
  <c r="F39" i="4"/>
  <c r="E39" i="4"/>
  <c r="D39" i="4"/>
  <c r="C39" i="4"/>
  <c r="B39" i="4"/>
  <c r="G39" i="4" s="1"/>
  <c r="A39" i="4"/>
  <c r="A49" i="5" s="1"/>
  <c r="H38" i="4"/>
  <c r="F38" i="4"/>
  <c r="E38" i="4"/>
  <c r="D38" i="4"/>
  <c r="C38" i="4"/>
  <c r="B38" i="4"/>
  <c r="G38" i="4" s="1"/>
  <c r="A38" i="4"/>
  <c r="A48" i="5" s="1"/>
  <c r="H37" i="4"/>
  <c r="F37" i="4"/>
  <c r="E37" i="4"/>
  <c r="D37" i="4"/>
  <c r="C37" i="4"/>
  <c r="B37" i="4"/>
  <c r="G37" i="4" s="1"/>
  <c r="A37" i="4"/>
  <c r="A47" i="5" s="1"/>
  <c r="H36" i="4"/>
  <c r="F36" i="4"/>
  <c r="E36" i="4"/>
  <c r="D36" i="4"/>
  <c r="C36" i="4"/>
  <c r="B36" i="4"/>
  <c r="G36" i="4" s="1"/>
  <c r="A36" i="4"/>
  <c r="A46" i="5" s="1"/>
  <c r="H35" i="4"/>
  <c r="F35" i="4"/>
  <c r="E35" i="4"/>
  <c r="D35" i="4"/>
  <c r="C35" i="4"/>
  <c r="B35" i="4"/>
  <c r="G35" i="4" s="1"/>
  <c r="A35" i="4"/>
  <c r="A45" i="5" s="1"/>
  <c r="H34" i="4"/>
  <c r="F34" i="4"/>
  <c r="E34" i="4"/>
  <c r="D34" i="4"/>
  <c r="C34" i="4"/>
  <c r="B34" i="4"/>
  <c r="G34" i="4" s="1"/>
  <c r="A34" i="4"/>
  <c r="A44" i="5" s="1"/>
  <c r="H33" i="4"/>
  <c r="F33" i="4"/>
  <c r="E33" i="4"/>
  <c r="D33" i="4"/>
  <c r="C33" i="4"/>
  <c r="B33" i="4"/>
  <c r="G33" i="4" s="1"/>
  <c r="A33" i="4"/>
  <c r="A43" i="5" s="1"/>
  <c r="H32" i="4"/>
  <c r="F32" i="4"/>
  <c r="E32" i="4"/>
  <c r="D32" i="4"/>
  <c r="C32" i="4"/>
  <c r="B32" i="4"/>
  <c r="G32" i="4" s="1"/>
  <c r="A32" i="4"/>
  <c r="A42" i="5" s="1"/>
  <c r="H31" i="4"/>
  <c r="F31" i="4"/>
  <c r="E31" i="4"/>
  <c r="D31" i="4"/>
  <c r="C31" i="4"/>
  <c r="B31" i="4"/>
  <c r="G31" i="4" s="1"/>
  <c r="A31" i="4"/>
  <c r="A41" i="5" s="1"/>
  <c r="H30" i="4"/>
  <c r="F30" i="4"/>
  <c r="E30" i="4"/>
  <c r="D30" i="4"/>
  <c r="C30" i="4"/>
  <c r="B30" i="4"/>
  <c r="G30" i="4" s="1"/>
  <c r="A30" i="4"/>
  <c r="A40" i="5" s="1"/>
  <c r="H29" i="4"/>
  <c r="F29" i="4"/>
  <c r="E29" i="4"/>
  <c r="D29" i="4"/>
  <c r="C29" i="4"/>
  <c r="B29" i="4"/>
  <c r="G29" i="4" s="1"/>
  <c r="A29" i="4"/>
  <c r="A39" i="5" s="1"/>
  <c r="H28" i="4"/>
  <c r="F28" i="4"/>
  <c r="E28" i="4"/>
  <c r="D28" i="4"/>
  <c r="C28" i="4"/>
  <c r="B28" i="4"/>
  <c r="G28" i="4" s="1"/>
  <c r="A28" i="4"/>
  <c r="A38" i="5" s="1"/>
  <c r="H27" i="4"/>
  <c r="F27" i="4"/>
  <c r="E27" i="4"/>
  <c r="D27" i="4"/>
  <c r="C27" i="4"/>
  <c r="B27" i="4"/>
  <c r="G27" i="4" s="1"/>
  <c r="A27" i="4"/>
  <c r="A37" i="5" s="1"/>
  <c r="H26" i="4"/>
  <c r="F26" i="4"/>
  <c r="E26" i="4"/>
  <c r="D26" i="4"/>
  <c r="C26" i="4"/>
  <c r="B26" i="4"/>
  <c r="G26" i="4" s="1"/>
  <c r="A26" i="4"/>
  <c r="A36" i="5" s="1"/>
  <c r="H25" i="4"/>
  <c r="F25" i="4"/>
  <c r="E25" i="4"/>
  <c r="D25" i="4"/>
  <c r="C25" i="4"/>
  <c r="B25" i="4"/>
  <c r="G25" i="4" s="1"/>
  <c r="A25" i="4"/>
  <c r="A35" i="5" s="1"/>
  <c r="H24" i="4"/>
  <c r="F24" i="4"/>
  <c r="E24" i="4"/>
  <c r="D24" i="4"/>
  <c r="C24" i="4"/>
  <c r="B24" i="4"/>
  <c r="G24" i="4" s="1"/>
  <c r="A24" i="4"/>
  <c r="A34" i="5" s="1"/>
  <c r="H23" i="4"/>
  <c r="F23" i="4"/>
  <c r="E23" i="4"/>
  <c r="D23" i="4"/>
  <c r="C23" i="4"/>
  <c r="B23" i="4"/>
  <c r="G23" i="4" s="1"/>
  <c r="A23" i="4"/>
  <c r="A33" i="5" s="1"/>
  <c r="H22" i="4"/>
  <c r="F22" i="4"/>
  <c r="E22" i="4"/>
  <c r="D22" i="4"/>
  <c r="C22" i="4"/>
  <c r="B22" i="4"/>
  <c r="G22" i="4" s="1"/>
  <c r="A22" i="4"/>
  <c r="A32" i="5" s="1"/>
  <c r="H21" i="4"/>
  <c r="F21" i="4"/>
  <c r="E21" i="4"/>
  <c r="D21" i="4"/>
  <c r="C21" i="4"/>
  <c r="B21" i="4"/>
  <c r="G21" i="4" s="1"/>
  <c r="A21" i="4"/>
  <c r="A31" i="5" s="1"/>
  <c r="H20" i="4"/>
  <c r="F20" i="4"/>
  <c r="E20" i="4"/>
  <c r="D20" i="4"/>
  <c r="C20" i="4"/>
  <c r="B20" i="4"/>
  <c r="G20" i="4" s="1"/>
  <c r="A20" i="4"/>
  <c r="A30" i="5" s="1"/>
  <c r="H19" i="4"/>
  <c r="F19" i="4"/>
  <c r="E19" i="4"/>
  <c r="D19" i="4"/>
  <c r="C19" i="4"/>
  <c r="B19" i="4"/>
  <c r="G19" i="4" s="1"/>
  <c r="A19" i="4"/>
  <c r="A29" i="5" s="1"/>
  <c r="H18" i="4"/>
  <c r="F18" i="4"/>
  <c r="E18" i="4"/>
  <c r="D18" i="4"/>
  <c r="C18" i="4"/>
  <c r="B18" i="4"/>
  <c r="G18" i="4" s="1"/>
  <c r="A18" i="4"/>
  <c r="A28" i="5" s="1"/>
  <c r="H17" i="4"/>
  <c r="F17" i="4"/>
  <c r="E17" i="4"/>
  <c r="D17" i="4"/>
  <c r="C17" i="4"/>
  <c r="B17" i="4"/>
  <c r="G17" i="4" s="1"/>
  <c r="A17" i="4"/>
  <c r="A27" i="5" s="1"/>
  <c r="H16" i="4"/>
  <c r="F16" i="4"/>
  <c r="E16" i="4"/>
  <c r="D16" i="4"/>
  <c r="C16" i="4"/>
  <c r="B16" i="4"/>
  <c r="G16" i="4" s="1"/>
  <c r="A16" i="4"/>
  <c r="A26" i="5" s="1"/>
  <c r="H15" i="4"/>
  <c r="F15" i="4"/>
  <c r="E15" i="4"/>
  <c r="D15" i="4"/>
  <c r="C15" i="4"/>
  <c r="B15" i="4"/>
  <c r="G15" i="4" s="1"/>
  <c r="A15" i="4"/>
  <c r="A25" i="5" s="1"/>
  <c r="H14" i="4"/>
  <c r="F14" i="4"/>
  <c r="E14" i="4"/>
  <c r="D14" i="4"/>
  <c r="C14" i="4"/>
  <c r="B14" i="4"/>
  <c r="G14" i="4" s="1"/>
  <c r="A14" i="4"/>
  <c r="A24" i="5" s="1"/>
  <c r="H13" i="4"/>
  <c r="F13" i="4"/>
  <c r="E13" i="4"/>
  <c r="D13" i="4"/>
  <c r="C13" i="4"/>
  <c r="B13" i="4"/>
  <c r="G13" i="4" s="1"/>
  <c r="A13" i="4"/>
  <c r="A23" i="5" s="1"/>
  <c r="H12" i="4"/>
  <c r="F12" i="4"/>
  <c r="E12" i="4"/>
  <c r="D12" i="4"/>
  <c r="C12" i="4"/>
  <c r="B12" i="4"/>
  <c r="G12" i="4" s="1"/>
  <c r="A12" i="4"/>
  <c r="A22" i="5" s="1"/>
  <c r="H11" i="4"/>
  <c r="F11" i="4"/>
  <c r="E11" i="4"/>
  <c r="D11" i="4"/>
  <c r="C11" i="4"/>
  <c r="B11" i="4"/>
  <c r="G11" i="4" s="1"/>
  <c r="A11" i="4"/>
  <c r="A21" i="5" s="1"/>
  <c r="H10" i="4"/>
  <c r="F10" i="4"/>
  <c r="E10" i="4"/>
  <c r="D10" i="4"/>
  <c r="C10" i="4"/>
  <c r="B10" i="4"/>
  <c r="G10" i="4" s="1"/>
  <c r="A10" i="4"/>
  <c r="A20" i="5" s="1"/>
  <c r="H9" i="4"/>
  <c r="F9" i="4"/>
  <c r="E9" i="4"/>
  <c r="D9" i="4"/>
  <c r="C9" i="4"/>
  <c r="B9" i="4"/>
  <c r="G9" i="4" s="1"/>
  <c r="A9" i="4"/>
  <c r="A19" i="5" s="1"/>
  <c r="H8" i="4"/>
  <c r="F8" i="4"/>
  <c r="E8" i="4"/>
  <c r="D8" i="4"/>
  <c r="C8" i="4"/>
  <c r="B8" i="4"/>
  <c r="G8" i="4" s="1"/>
  <c r="A8" i="4"/>
  <c r="A18" i="5" s="1"/>
  <c r="H7" i="4"/>
  <c r="F7" i="4"/>
  <c r="E7" i="4"/>
  <c r="D7" i="4"/>
  <c r="C7" i="4"/>
  <c r="B7" i="4"/>
  <c r="G7" i="4" s="1"/>
  <c r="A7" i="4"/>
  <c r="A17" i="5" s="1"/>
  <c r="H6" i="4"/>
  <c r="E16" i="5" s="1"/>
  <c r="F6" i="4"/>
  <c r="E6" i="4"/>
  <c r="D6" i="4"/>
  <c r="C6" i="4"/>
  <c r="B6" i="4"/>
  <c r="G6" i="4" s="1"/>
  <c r="B16" i="5" s="1"/>
  <c r="A6" i="4"/>
  <c r="A16" i="5" s="1"/>
  <c r="A5" i="4"/>
  <c r="A15" i="5" s="1"/>
  <c r="E17" i="2"/>
  <c r="F17" i="2" s="1"/>
  <c r="E16" i="2"/>
  <c r="F16" i="2" s="1"/>
  <c r="D10" i="2"/>
  <c r="E15" i="2" s="1"/>
  <c r="F15" i="2" s="1"/>
  <c r="E9" i="2"/>
  <c r="E8" i="2"/>
  <c r="E7" i="2"/>
  <c r="E6" i="2"/>
  <c r="E5" i="2"/>
  <c r="E10" i="2" s="1"/>
  <c r="B17" i="5" l="1"/>
  <c r="C16" i="5"/>
  <c r="E17" i="5"/>
  <c r="F16" i="5"/>
  <c r="Q3" i="6"/>
  <c r="D5" i="5"/>
  <c r="Q4" i="6"/>
  <c r="D6" i="5"/>
  <c r="Q5" i="6"/>
  <c r="D7" i="5"/>
  <c r="Q6" i="6"/>
  <c r="D8" i="5"/>
  <c r="Q7" i="6"/>
  <c r="D9" i="5"/>
  <c r="R8" i="6"/>
  <c r="D5" i="6"/>
  <c r="F17" i="5" l="1"/>
  <c r="G16" i="5"/>
  <c r="E18" i="5"/>
  <c r="G17" i="5"/>
  <c r="C17" i="5"/>
  <c r="D16" i="5"/>
  <c r="B18" i="5"/>
  <c r="D17" i="5"/>
  <c r="B19" i="5" l="1"/>
  <c r="C18" i="5"/>
  <c r="E19" i="5"/>
  <c r="F18" i="5"/>
  <c r="F19" i="5" l="1"/>
  <c r="G18" i="5"/>
  <c r="E20" i="5"/>
  <c r="G19" i="5"/>
  <c r="C19" i="5"/>
  <c r="D18" i="5"/>
  <c r="B20" i="5"/>
  <c r="D19" i="5"/>
  <c r="B21" i="5" l="1"/>
  <c r="C20" i="5"/>
  <c r="E21" i="5"/>
  <c r="F20" i="5"/>
  <c r="F21" i="5" l="1"/>
  <c r="G20" i="5"/>
  <c r="E22" i="5"/>
  <c r="G21" i="5"/>
  <c r="C21" i="5"/>
  <c r="D20" i="5"/>
  <c r="B22" i="5"/>
  <c r="D21" i="5"/>
  <c r="B23" i="5" l="1"/>
  <c r="C22" i="5"/>
  <c r="E23" i="5"/>
  <c r="F22" i="5"/>
  <c r="F23" i="5" l="1"/>
  <c r="G22" i="5"/>
  <c r="E24" i="5"/>
  <c r="G23" i="5"/>
  <c r="C23" i="5"/>
  <c r="D22" i="5"/>
  <c r="B24" i="5"/>
  <c r="D23" i="5"/>
  <c r="B25" i="5" l="1"/>
  <c r="C24" i="5"/>
  <c r="E25" i="5"/>
  <c r="F24" i="5"/>
  <c r="F25" i="5" l="1"/>
  <c r="G24" i="5"/>
  <c r="E26" i="5"/>
  <c r="G25" i="5"/>
  <c r="C25" i="5"/>
  <c r="D24" i="5"/>
  <c r="B26" i="5"/>
  <c r="D25" i="5"/>
  <c r="B27" i="5" l="1"/>
  <c r="C26" i="5"/>
  <c r="E27" i="5"/>
  <c r="F26" i="5"/>
  <c r="F27" i="5" l="1"/>
  <c r="G26" i="5"/>
  <c r="E28" i="5"/>
  <c r="G27" i="5"/>
  <c r="C27" i="5"/>
  <c r="D26" i="5"/>
  <c r="B28" i="5"/>
  <c r="D27" i="5"/>
  <c r="B29" i="5" l="1"/>
  <c r="C28" i="5"/>
  <c r="E29" i="5"/>
  <c r="F28" i="5"/>
  <c r="F29" i="5" l="1"/>
  <c r="G28" i="5"/>
  <c r="E30" i="5"/>
  <c r="G29" i="5"/>
  <c r="C29" i="5"/>
  <c r="D28" i="5"/>
  <c r="B30" i="5"/>
  <c r="D29" i="5"/>
  <c r="B31" i="5" l="1"/>
  <c r="C30" i="5"/>
  <c r="E31" i="5"/>
  <c r="F30" i="5"/>
  <c r="F31" i="5" l="1"/>
  <c r="G30" i="5"/>
  <c r="E32" i="5"/>
  <c r="G31" i="5"/>
  <c r="C31" i="5"/>
  <c r="D30" i="5"/>
  <c r="B32" i="5"/>
  <c r="D31" i="5"/>
  <c r="B33" i="5" l="1"/>
  <c r="C32" i="5"/>
  <c r="E33" i="5"/>
  <c r="F32" i="5"/>
  <c r="F33" i="5" l="1"/>
  <c r="G32" i="5"/>
  <c r="E34" i="5"/>
  <c r="G33" i="5"/>
  <c r="C33" i="5"/>
  <c r="D32" i="5"/>
  <c r="B34" i="5"/>
  <c r="D33" i="5"/>
  <c r="U4" i="6" l="1"/>
  <c r="B35" i="5"/>
  <c r="C34" i="5"/>
  <c r="V4" i="6"/>
  <c r="E35" i="5"/>
  <c r="F34" i="5"/>
  <c r="F35" i="5" l="1"/>
  <c r="G34" i="5"/>
  <c r="E36" i="5"/>
  <c r="G35" i="5"/>
  <c r="C35" i="5"/>
  <c r="D34" i="5"/>
  <c r="B36" i="5"/>
  <c r="D35" i="5"/>
  <c r="B37" i="5" l="1"/>
  <c r="W4" i="6"/>
  <c r="C36" i="5"/>
  <c r="E37" i="5"/>
  <c r="X4" i="6"/>
  <c r="F36" i="5"/>
  <c r="F37" i="5" l="1"/>
  <c r="G36" i="5"/>
  <c r="E38" i="5"/>
  <c r="G37" i="5"/>
  <c r="C37" i="5"/>
  <c r="D36" i="5"/>
  <c r="B38" i="5"/>
  <c r="D37" i="5"/>
  <c r="B39" i="5" l="1"/>
  <c r="C38" i="5"/>
  <c r="E39" i="5"/>
  <c r="F38" i="5"/>
  <c r="F39" i="5" l="1"/>
  <c r="G38" i="5"/>
  <c r="E40" i="5"/>
  <c r="G39" i="5"/>
  <c r="C39" i="5"/>
  <c r="D38" i="5"/>
  <c r="B40" i="5"/>
  <c r="D39" i="5"/>
  <c r="B41" i="5" l="1"/>
  <c r="C40" i="5"/>
  <c r="E41" i="5"/>
  <c r="F40" i="5"/>
  <c r="F41" i="5" l="1"/>
  <c r="G40" i="5"/>
  <c r="E42" i="5"/>
  <c r="G41" i="5"/>
  <c r="C41" i="5"/>
  <c r="D40" i="5"/>
  <c r="B42" i="5"/>
  <c r="D41" i="5"/>
  <c r="B43" i="5" l="1"/>
  <c r="C42" i="5"/>
  <c r="E43" i="5"/>
  <c r="F42" i="5"/>
  <c r="F43" i="5" l="1"/>
  <c r="G42" i="5"/>
  <c r="E44" i="5"/>
  <c r="G43" i="5"/>
  <c r="C43" i="5"/>
  <c r="D42" i="5"/>
  <c r="B44" i="5"/>
  <c r="D43" i="5"/>
  <c r="B45" i="5" l="1"/>
  <c r="C44" i="5"/>
  <c r="E45" i="5"/>
  <c r="F44" i="5"/>
  <c r="F45" i="5" l="1"/>
  <c r="G44" i="5"/>
  <c r="E46" i="5"/>
  <c r="G45" i="5"/>
  <c r="C45" i="5"/>
  <c r="D44" i="5"/>
  <c r="B46" i="5"/>
  <c r="D45" i="5"/>
  <c r="B47" i="5" l="1"/>
  <c r="C46" i="5"/>
  <c r="E47" i="5"/>
  <c r="F46" i="5"/>
  <c r="F47" i="5" l="1"/>
  <c r="G46" i="5"/>
  <c r="E48" i="5"/>
  <c r="G47" i="5"/>
  <c r="C47" i="5"/>
  <c r="D46" i="5"/>
  <c r="B48" i="5"/>
  <c r="D47" i="5"/>
  <c r="B49" i="5" l="1"/>
  <c r="C48" i="5"/>
  <c r="E49" i="5"/>
  <c r="F48" i="5"/>
  <c r="F49" i="5" l="1"/>
  <c r="G48" i="5"/>
  <c r="E50" i="5"/>
  <c r="G49" i="5"/>
  <c r="C49" i="5"/>
  <c r="D48" i="5"/>
  <c r="B50" i="5"/>
  <c r="D49" i="5"/>
  <c r="B51" i="5" l="1"/>
  <c r="C50" i="5"/>
  <c r="E51" i="5"/>
  <c r="F50" i="5"/>
  <c r="F51" i="5" l="1"/>
  <c r="G50" i="5"/>
  <c r="E52" i="5"/>
  <c r="G51" i="5"/>
  <c r="C51" i="5"/>
  <c r="D50" i="5"/>
  <c r="B52" i="5"/>
  <c r="D51" i="5"/>
  <c r="B53" i="5" l="1"/>
  <c r="C52" i="5"/>
  <c r="E53" i="5"/>
  <c r="F52" i="5"/>
  <c r="F53" i="5" l="1"/>
  <c r="G52" i="5"/>
  <c r="E54" i="5"/>
  <c r="G53" i="5"/>
  <c r="C53" i="5"/>
  <c r="D52" i="5"/>
  <c r="B54" i="5"/>
  <c r="D53" i="5"/>
  <c r="U5" i="6" l="1"/>
  <c r="B55" i="5"/>
  <c r="C54" i="5"/>
  <c r="V5" i="6"/>
  <c r="E55" i="5"/>
  <c r="F54" i="5"/>
  <c r="F55" i="5" l="1"/>
  <c r="G54" i="5"/>
  <c r="E56" i="5"/>
  <c r="G55" i="5"/>
  <c r="C55" i="5"/>
  <c r="D54" i="5"/>
  <c r="B56" i="5"/>
  <c r="D55" i="5"/>
  <c r="B57" i="5" l="1"/>
  <c r="W5" i="6"/>
  <c r="C56" i="5"/>
  <c r="E57" i="5"/>
  <c r="X5" i="6"/>
  <c r="F56" i="5"/>
  <c r="F57" i="5" l="1"/>
  <c r="G56" i="5"/>
  <c r="E58" i="5"/>
  <c r="G57" i="5"/>
  <c r="C57" i="5"/>
  <c r="D56" i="5"/>
  <c r="B58" i="5"/>
  <c r="D57" i="5"/>
  <c r="B59" i="5" l="1"/>
  <c r="C58" i="5"/>
  <c r="E59" i="5"/>
  <c r="F58" i="5"/>
  <c r="F59" i="5" l="1"/>
  <c r="G58" i="5"/>
  <c r="E60" i="5"/>
  <c r="G59" i="5"/>
  <c r="C59" i="5"/>
  <c r="D58" i="5"/>
  <c r="B60" i="5"/>
  <c r="D59" i="5"/>
  <c r="B61" i="5" l="1"/>
  <c r="C60" i="5"/>
  <c r="E61" i="5"/>
  <c r="F60" i="5"/>
  <c r="F61" i="5" l="1"/>
  <c r="G60" i="5"/>
  <c r="E62" i="5"/>
  <c r="G61" i="5"/>
  <c r="C61" i="5"/>
  <c r="D60" i="5"/>
  <c r="B62" i="5"/>
  <c r="D61" i="5"/>
  <c r="B63" i="5" l="1"/>
  <c r="C62" i="5"/>
  <c r="E63" i="5"/>
  <c r="F62" i="5"/>
  <c r="F63" i="5" l="1"/>
  <c r="G62" i="5"/>
  <c r="E64" i="5"/>
  <c r="G63" i="5"/>
  <c r="C63" i="5"/>
  <c r="D62" i="5"/>
  <c r="B64" i="5"/>
  <c r="D63" i="5"/>
  <c r="B65" i="5" l="1"/>
  <c r="C64" i="5"/>
  <c r="E65" i="5"/>
  <c r="F64" i="5"/>
  <c r="F65" i="5" l="1"/>
  <c r="G64" i="5"/>
  <c r="E66" i="5"/>
  <c r="G65" i="5"/>
  <c r="C65" i="5"/>
  <c r="D64" i="5"/>
  <c r="B66" i="5"/>
  <c r="D65" i="5"/>
  <c r="B67" i="5" l="1"/>
  <c r="C66" i="5"/>
  <c r="E67" i="5"/>
  <c r="F66" i="5"/>
  <c r="F67" i="5" l="1"/>
  <c r="G66" i="5"/>
  <c r="E68" i="5"/>
  <c r="G67" i="5"/>
  <c r="C67" i="5"/>
  <c r="D66" i="5"/>
  <c r="B68" i="5"/>
  <c r="D67" i="5"/>
  <c r="B69" i="5" l="1"/>
  <c r="C68" i="5"/>
  <c r="E69" i="5"/>
  <c r="F68" i="5"/>
  <c r="F69" i="5" l="1"/>
  <c r="G68" i="5"/>
  <c r="E70" i="5"/>
  <c r="G69" i="5"/>
  <c r="C69" i="5"/>
  <c r="D68" i="5"/>
  <c r="B70" i="5"/>
  <c r="D69" i="5"/>
  <c r="B71" i="5" l="1"/>
  <c r="C70" i="5"/>
  <c r="E71" i="5"/>
  <c r="F70" i="5"/>
  <c r="F71" i="5" l="1"/>
  <c r="G70" i="5"/>
  <c r="E72" i="5"/>
  <c r="G71" i="5"/>
  <c r="C71" i="5"/>
  <c r="D70" i="5"/>
  <c r="B72" i="5"/>
  <c r="D71" i="5"/>
  <c r="B73" i="5" l="1"/>
  <c r="C72" i="5"/>
  <c r="E73" i="5"/>
  <c r="F72" i="5"/>
  <c r="F73" i="5" l="1"/>
  <c r="G72" i="5"/>
  <c r="V6" i="6"/>
  <c r="E74" i="5"/>
  <c r="G73" i="5"/>
  <c r="X6" i="6" s="1"/>
  <c r="C73" i="5"/>
  <c r="D72" i="5"/>
  <c r="U6" i="6"/>
  <c r="B74" i="5"/>
  <c r="D73" i="5"/>
  <c r="W6" i="6" s="1"/>
  <c r="B75" i="5" l="1"/>
  <c r="C74" i="5"/>
  <c r="E75" i="5"/>
  <c r="F74" i="5"/>
  <c r="F75" i="5" l="1"/>
  <c r="G74" i="5"/>
  <c r="E76" i="5"/>
  <c r="G75" i="5"/>
  <c r="C75" i="5"/>
  <c r="D74" i="5"/>
  <c r="B76" i="5"/>
  <c r="D75" i="5"/>
  <c r="B77" i="5" l="1"/>
  <c r="C76" i="5"/>
  <c r="E77" i="5"/>
  <c r="F76" i="5"/>
  <c r="F77" i="5" l="1"/>
  <c r="G76" i="5"/>
  <c r="E78" i="5"/>
  <c r="G77" i="5"/>
  <c r="C77" i="5"/>
  <c r="D76" i="5"/>
  <c r="B78" i="5"/>
  <c r="D77" i="5"/>
  <c r="B79" i="5" l="1"/>
  <c r="C78" i="5"/>
  <c r="E79" i="5"/>
  <c r="F78" i="5"/>
  <c r="F79" i="5" l="1"/>
  <c r="G78" i="5"/>
  <c r="E80" i="5"/>
  <c r="G79" i="5"/>
  <c r="C79" i="5"/>
  <c r="D78" i="5"/>
  <c r="B80" i="5"/>
  <c r="D79" i="5"/>
  <c r="B81" i="5" l="1"/>
  <c r="C80" i="5"/>
  <c r="E81" i="5"/>
  <c r="F80" i="5"/>
  <c r="F81" i="5" l="1"/>
  <c r="G80" i="5"/>
  <c r="E82" i="5"/>
  <c r="G81" i="5"/>
  <c r="C81" i="5"/>
  <c r="D80" i="5"/>
  <c r="B82" i="5"/>
  <c r="D81" i="5"/>
  <c r="B83" i="5" l="1"/>
  <c r="C82" i="5"/>
  <c r="E83" i="5"/>
  <c r="F82" i="5"/>
  <c r="F83" i="5" l="1"/>
  <c r="G82" i="5"/>
  <c r="E84" i="5"/>
  <c r="G83" i="5"/>
  <c r="C83" i="5"/>
  <c r="D82" i="5"/>
  <c r="B84" i="5"/>
  <c r="D83" i="5"/>
  <c r="B85" i="5" l="1"/>
  <c r="C84" i="5"/>
  <c r="E85" i="5"/>
  <c r="F84" i="5"/>
  <c r="F85" i="5" l="1"/>
  <c r="G84" i="5"/>
  <c r="E86" i="5"/>
  <c r="G85" i="5"/>
  <c r="C85" i="5"/>
  <c r="D84" i="5"/>
  <c r="B86" i="5"/>
  <c r="D85" i="5"/>
  <c r="B87" i="5" l="1"/>
  <c r="C86" i="5"/>
  <c r="E87" i="5"/>
  <c r="F86" i="5"/>
  <c r="F87" i="5" l="1"/>
  <c r="G86" i="5"/>
  <c r="E88" i="5"/>
  <c r="G87" i="5"/>
  <c r="C87" i="5"/>
  <c r="D86" i="5"/>
  <c r="B88" i="5"/>
  <c r="D87" i="5"/>
  <c r="B89" i="5" l="1"/>
  <c r="C88" i="5"/>
  <c r="E89" i="5"/>
  <c r="F88" i="5"/>
  <c r="F89" i="5" l="1"/>
  <c r="G88" i="5"/>
  <c r="E90" i="5"/>
  <c r="G89" i="5"/>
  <c r="C89" i="5"/>
  <c r="D88" i="5"/>
  <c r="B90" i="5"/>
  <c r="D89" i="5"/>
  <c r="B91" i="5" l="1"/>
  <c r="C90" i="5"/>
  <c r="E91" i="5"/>
  <c r="F90" i="5"/>
  <c r="F91" i="5" l="1"/>
  <c r="G90" i="5"/>
  <c r="E92" i="5"/>
  <c r="G91" i="5"/>
  <c r="C91" i="5"/>
  <c r="D90" i="5"/>
  <c r="B92" i="5"/>
  <c r="D91" i="5"/>
  <c r="B93" i="5" l="1"/>
  <c r="C92" i="5"/>
  <c r="E93" i="5"/>
  <c r="F92" i="5"/>
  <c r="F93" i="5" l="1"/>
  <c r="G92" i="5"/>
  <c r="V7" i="6"/>
  <c r="E94" i="5"/>
  <c r="G93" i="5"/>
  <c r="X7" i="6" s="1"/>
  <c r="C93" i="5"/>
  <c r="D92" i="5"/>
  <c r="U7" i="6"/>
  <c r="B94" i="5"/>
  <c r="D93" i="5"/>
  <c r="W7" i="6" s="1"/>
  <c r="B95" i="5" l="1"/>
  <c r="C94" i="5"/>
  <c r="E95" i="5"/>
  <c r="F94" i="5"/>
  <c r="F95" i="5" l="1"/>
  <c r="G94" i="5"/>
  <c r="E96" i="5"/>
  <c r="G95" i="5"/>
  <c r="C95" i="5"/>
  <c r="D94" i="5"/>
  <c r="B96" i="5"/>
  <c r="D95" i="5"/>
  <c r="B97" i="5" l="1"/>
  <c r="C96" i="5"/>
  <c r="E97" i="5"/>
  <c r="F96" i="5"/>
  <c r="F97" i="5" l="1"/>
  <c r="G96" i="5"/>
  <c r="E98" i="5"/>
  <c r="G97" i="5"/>
  <c r="C97" i="5"/>
  <c r="D96" i="5"/>
  <c r="B98" i="5"/>
  <c r="D97" i="5"/>
  <c r="B99" i="5" l="1"/>
  <c r="C98" i="5"/>
  <c r="E99" i="5"/>
  <c r="F98" i="5"/>
  <c r="F99" i="5" l="1"/>
  <c r="G98" i="5"/>
  <c r="E100" i="5"/>
  <c r="G99" i="5"/>
  <c r="C99" i="5"/>
  <c r="D98" i="5"/>
  <c r="B100" i="5"/>
  <c r="D99" i="5"/>
  <c r="B101" i="5" l="1"/>
  <c r="C100" i="5"/>
  <c r="E101" i="5"/>
  <c r="F100" i="5"/>
  <c r="F101" i="5" l="1"/>
  <c r="G100" i="5"/>
  <c r="E102" i="5"/>
  <c r="G101" i="5"/>
  <c r="C101" i="5"/>
  <c r="D100" i="5"/>
  <c r="B102" i="5"/>
  <c r="D101" i="5"/>
  <c r="B103" i="5" l="1"/>
  <c r="C102" i="5"/>
  <c r="E103" i="5"/>
  <c r="F102" i="5"/>
  <c r="F103" i="5" l="1"/>
  <c r="G102" i="5"/>
  <c r="E104" i="5"/>
  <c r="G103" i="5"/>
  <c r="C103" i="5"/>
  <c r="D102" i="5"/>
  <c r="B104" i="5"/>
  <c r="D103" i="5"/>
  <c r="B105" i="5" l="1"/>
  <c r="C104" i="5"/>
  <c r="E105" i="5"/>
  <c r="F104" i="5"/>
  <c r="F105" i="5" l="1"/>
  <c r="G104" i="5"/>
  <c r="E106" i="5"/>
  <c r="G105" i="5"/>
  <c r="C105" i="5"/>
  <c r="D104" i="5"/>
  <c r="B106" i="5"/>
  <c r="D105" i="5"/>
  <c r="B107" i="5" l="1"/>
  <c r="C106" i="5"/>
  <c r="E107" i="5"/>
  <c r="F106" i="5"/>
  <c r="F107" i="5" l="1"/>
  <c r="G106" i="5"/>
  <c r="E108" i="5"/>
  <c r="G107" i="5"/>
  <c r="C107" i="5"/>
  <c r="D106" i="5"/>
  <c r="B108" i="5"/>
  <c r="D107" i="5"/>
  <c r="B109" i="5" l="1"/>
  <c r="C108" i="5"/>
  <c r="E109" i="5"/>
  <c r="F108" i="5"/>
  <c r="F109" i="5" l="1"/>
  <c r="G108" i="5"/>
  <c r="E110" i="5"/>
  <c r="G109" i="5"/>
  <c r="C109" i="5"/>
  <c r="D108" i="5"/>
  <c r="B110" i="5"/>
  <c r="D109" i="5"/>
  <c r="B111" i="5" l="1"/>
  <c r="C110" i="5"/>
  <c r="E111" i="5"/>
  <c r="F110" i="5"/>
  <c r="F111" i="5" l="1"/>
  <c r="G110" i="5"/>
  <c r="E112" i="5"/>
  <c r="G111" i="5"/>
  <c r="C111" i="5"/>
  <c r="D110" i="5"/>
  <c r="B112" i="5"/>
  <c r="D111" i="5"/>
  <c r="U8" i="6" l="1"/>
  <c r="B113" i="5"/>
  <c r="C112" i="5"/>
  <c r="V8" i="6"/>
  <c r="E113" i="5"/>
  <c r="F112" i="5"/>
  <c r="F113" i="5" l="1"/>
  <c r="G112" i="5"/>
  <c r="E114" i="5"/>
  <c r="G113" i="5"/>
  <c r="C113" i="5"/>
  <c r="D112" i="5"/>
  <c r="B114" i="5"/>
  <c r="D113" i="5"/>
  <c r="B115" i="5" l="1"/>
  <c r="W8" i="6"/>
  <c r="C114" i="5"/>
  <c r="E115" i="5"/>
  <c r="X8" i="6"/>
  <c r="F114" i="5"/>
  <c r="F115" i="5" l="1"/>
  <c r="G114" i="5"/>
  <c r="E116" i="5"/>
  <c r="G115" i="5"/>
  <c r="C115" i="5"/>
  <c r="D114" i="5"/>
  <c r="B116" i="5"/>
  <c r="D115" i="5"/>
  <c r="B117" i="5" l="1"/>
  <c r="C116" i="5"/>
  <c r="E117" i="5"/>
  <c r="F116" i="5"/>
  <c r="F117" i="5" l="1"/>
  <c r="G116" i="5"/>
  <c r="E118" i="5"/>
  <c r="G117" i="5"/>
  <c r="C117" i="5"/>
  <c r="D116" i="5"/>
  <c r="B118" i="5"/>
  <c r="D117" i="5"/>
  <c r="B119" i="5" l="1"/>
  <c r="C118" i="5"/>
  <c r="E119" i="5"/>
  <c r="F118" i="5"/>
  <c r="F119" i="5" l="1"/>
  <c r="G118" i="5"/>
  <c r="E120" i="5"/>
  <c r="G119" i="5"/>
  <c r="C119" i="5"/>
  <c r="D118" i="5"/>
  <c r="B120" i="5"/>
  <c r="D119" i="5"/>
  <c r="B121" i="5" l="1"/>
  <c r="C120" i="5"/>
  <c r="E121" i="5"/>
  <c r="F120" i="5"/>
  <c r="F121" i="5" l="1"/>
  <c r="G120" i="5"/>
  <c r="E122" i="5"/>
  <c r="G121" i="5"/>
  <c r="C121" i="5"/>
  <c r="D120" i="5"/>
  <c r="B122" i="5"/>
  <c r="D121" i="5"/>
  <c r="B123" i="5" l="1"/>
  <c r="C122" i="5"/>
  <c r="E123" i="5"/>
  <c r="F122" i="5"/>
  <c r="F123" i="5" l="1"/>
  <c r="G122" i="5"/>
  <c r="E124" i="5"/>
  <c r="G123" i="5"/>
  <c r="C123" i="5"/>
  <c r="D122" i="5"/>
  <c r="B124" i="5"/>
  <c r="D123" i="5"/>
  <c r="B125" i="5" l="1"/>
  <c r="C124" i="5"/>
  <c r="E125" i="5"/>
  <c r="F124" i="5"/>
  <c r="F125" i="5" l="1"/>
  <c r="G124" i="5"/>
  <c r="E126" i="5"/>
  <c r="G125" i="5"/>
  <c r="C125" i="5"/>
  <c r="D124" i="5"/>
  <c r="B126" i="5"/>
  <c r="D125" i="5"/>
  <c r="B127" i="5" l="1"/>
  <c r="C126" i="5"/>
  <c r="E127" i="5"/>
  <c r="F126" i="5"/>
  <c r="F127" i="5" l="1"/>
  <c r="G126" i="5"/>
  <c r="E128" i="5"/>
  <c r="G127" i="5"/>
  <c r="C127" i="5"/>
  <c r="D126" i="5"/>
  <c r="B128" i="5"/>
  <c r="D127" i="5"/>
  <c r="B129" i="5" l="1"/>
  <c r="C128" i="5"/>
  <c r="E129" i="5"/>
  <c r="F128" i="5"/>
  <c r="F129" i="5" l="1"/>
  <c r="G128" i="5"/>
  <c r="E130" i="5"/>
  <c r="G129" i="5"/>
  <c r="C129" i="5"/>
  <c r="D128" i="5"/>
  <c r="B130" i="5"/>
  <c r="D129" i="5"/>
  <c r="B131" i="5" l="1"/>
  <c r="C130" i="5"/>
  <c r="E131" i="5"/>
  <c r="F130" i="5"/>
  <c r="F131" i="5" l="1"/>
  <c r="G130" i="5"/>
  <c r="E132" i="5"/>
  <c r="G131" i="5"/>
  <c r="C131" i="5"/>
  <c r="D130" i="5"/>
  <c r="B132" i="5"/>
  <c r="D131" i="5"/>
  <c r="U9" i="6" l="1"/>
  <c r="B133" i="5"/>
  <c r="C132" i="5"/>
  <c r="V9" i="6"/>
  <c r="E133" i="5"/>
  <c r="F132" i="5"/>
  <c r="F133" i="5" l="1"/>
  <c r="G132" i="5"/>
  <c r="E134" i="5"/>
  <c r="G133" i="5"/>
  <c r="C133" i="5"/>
  <c r="D132" i="5"/>
  <c r="B134" i="5"/>
  <c r="D133" i="5"/>
  <c r="B135" i="5" l="1"/>
  <c r="W9" i="6"/>
  <c r="C134" i="5"/>
  <c r="E135" i="5"/>
  <c r="X9" i="6"/>
  <c r="F134" i="5"/>
  <c r="F135" i="5" l="1"/>
  <c r="G134" i="5"/>
  <c r="E136" i="5"/>
  <c r="G135" i="5"/>
  <c r="C135" i="5"/>
  <c r="D134" i="5"/>
  <c r="B136" i="5"/>
  <c r="D135" i="5"/>
  <c r="B137" i="5" l="1"/>
  <c r="C136" i="5"/>
  <c r="E137" i="5"/>
  <c r="F136" i="5"/>
  <c r="F137" i="5" l="1"/>
  <c r="G136" i="5"/>
  <c r="E138" i="5"/>
  <c r="G137" i="5"/>
  <c r="C137" i="5"/>
  <c r="D136" i="5"/>
  <c r="B138" i="5"/>
  <c r="D137" i="5"/>
  <c r="B139" i="5" l="1"/>
  <c r="C138" i="5"/>
  <c r="E139" i="5"/>
  <c r="F138" i="5"/>
  <c r="F139" i="5" l="1"/>
  <c r="G138" i="5"/>
  <c r="E140" i="5"/>
  <c r="G139" i="5"/>
  <c r="C139" i="5"/>
  <c r="D138" i="5"/>
  <c r="B140" i="5"/>
  <c r="D139" i="5"/>
  <c r="B141" i="5" l="1"/>
  <c r="C140" i="5"/>
  <c r="E141" i="5"/>
  <c r="F140" i="5"/>
  <c r="F141" i="5" l="1"/>
  <c r="G140" i="5"/>
  <c r="E142" i="5"/>
  <c r="G141" i="5"/>
  <c r="C141" i="5"/>
  <c r="D140" i="5"/>
  <c r="B142" i="5"/>
  <c r="D141" i="5"/>
  <c r="B143" i="5" l="1"/>
  <c r="C142" i="5"/>
  <c r="E143" i="5"/>
  <c r="F142" i="5"/>
  <c r="F143" i="5" l="1"/>
  <c r="G142" i="5"/>
  <c r="E144" i="5"/>
  <c r="G143" i="5"/>
  <c r="C143" i="5"/>
  <c r="D142" i="5"/>
  <c r="B144" i="5"/>
  <c r="D143" i="5"/>
  <c r="B145" i="5" l="1"/>
  <c r="C144" i="5"/>
  <c r="E145" i="5"/>
  <c r="F144" i="5"/>
  <c r="F145" i="5" l="1"/>
  <c r="G144" i="5"/>
  <c r="E146" i="5"/>
  <c r="G145" i="5"/>
  <c r="C145" i="5"/>
  <c r="D144" i="5"/>
  <c r="B146" i="5"/>
  <c r="D145" i="5"/>
  <c r="B147" i="5" l="1"/>
  <c r="C146" i="5"/>
  <c r="E147" i="5"/>
  <c r="F146" i="5"/>
  <c r="F147" i="5" l="1"/>
  <c r="G146" i="5"/>
  <c r="E148" i="5"/>
  <c r="G147" i="5"/>
  <c r="C147" i="5"/>
  <c r="D146" i="5"/>
  <c r="B148" i="5"/>
  <c r="D147" i="5"/>
  <c r="B149" i="5" l="1"/>
  <c r="C148" i="5"/>
  <c r="E149" i="5"/>
  <c r="F148" i="5"/>
  <c r="F149" i="5" l="1"/>
  <c r="G148" i="5"/>
  <c r="E150" i="5"/>
  <c r="G149" i="5"/>
  <c r="C149" i="5"/>
  <c r="D148" i="5"/>
  <c r="B150" i="5"/>
  <c r="D149" i="5"/>
  <c r="B151" i="5" l="1"/>
  <c r="C150" i="5"/>
  <c r="E151" i="5"/>
  <c r="F150" i="5"/>
  <c r="F151" i="5" l="1"/>
  <c r="G150" i="5"/>
  <c r="V10" i="6"/>
  <c r="E152" i="5"/>
  <c r="G151" i="5"/>
  <c r="X10" i="6" s="1"/>
  <c r="C151" i="5"/>
  <c r="D150" i="5"/>
  <c r="U10" i="6"/>
  <c r="B152" i="5"/>
  <c r="D151" i="5"/>
  <c r="W10" i="6" s="1"/>
  <c r="B153" i="5" l="1"/>
  <c r="C152" i="5"/>
  <c r="E153" i="5"/>
  <c r="F152" i="5"/>
  <c r="F153" i="5" l="1"/>
  <c r="G152" i="5"/>
  <c r="E154" i="5"/>
  <c r="G153" i="5"/>
  <c r="C153" i="5"/>
  <c r="D152" i="5"/>
  <c r="B154" i="5"/>
  <c r="D153" i="5"/>
  <c r="B155" i="5" l="1"/>
  <c r="C154" i="5"/>
  <c r="E155" i="5"/>
  <c r="F154" i="5"/>
  <c r="F155" i="5" l="1"/>
  <c r="G154" i="5"/>
  <c r="E156" i="5"/>
  <c r="G155" i="5"/>
  <c r="C155" i="5"/>
  <c r="D154" i="5"/>
  <c r="B156" i="5"/>
  <c r="D155" i="5"/>
  <c r="B157" i="5" l="1"/>
  <c r="C156" i="5"/>
  <c r="E157" i="5"/>
  <c r="F156" i="5"/>
  <c r="F157" i="5" l="1"/>
  <c r="G156" i="5"/>
  <c r="E158" i="5"/>
  <c r="G157" i="5"/>
  <c r="C157" i="5"/>
  <c r="D156" i="5"/>
  <c r="B158" i="5"/>
  <c r="D157" i="5"/>
  <c r="B159" i="5" l="1"/>
  <c r="C158" i="5"/>
  <c r="E159" i="5"/>
  <c r="F158" i="5"/>
  <c r="F159" i="5" l="1"/>
  <c r="G158" i="5"/>
  <c r="E160" i="5"/>
  <c r="G159" i="5"/>
  <c r="C159" i="5"/>
  <c r="D158" i="5"/>
  <c r="B160" i="5"/>
  <c r="D159" i="5"/>
  <c r="B161" i="5" l="1"/>
  <c r="C160" i="5"/>
  <c r="E161" i="5"/>
  <c r="F160" i="5"/>
  <c r="F161" i="5" l="1"/>
  <c r="G160" i="5"/>
  <c r="E162" i="5"/>
  <c r="G161" i="5"/>
  <c r="C161" i="5"/>
  <c r="D160" i="5"/>
  <c r="B162" i="5"/>
  <c r="D161" i="5"/>
  <c r="B163" i="5" l="1"/>
  <c r="C162" i="5"/>
  <c r="E163" i="5"/>
  <c r="F162" i="5"/>
  <c r="F163" i="5" l="1"/>
  <c r="G162" i="5"/>
  <c r="E164" i="5"/>
  <c r="G163" i="5"/>
  <c r="C163" i="5"/>
  <c r="D162" i="5"/>
  <c r="B164" i="5"/>
  <c r="D163" i="5"/>
  <c r="B165" i="5" l="1"/>
  <c r="C164" i="5"/>
  <c r="E165" i="5"/>
  <c r="F164" i="5"/>
  <c r="F165" i="5" l="1"/>
  <c r="G164" i="5"/>
  <c r="E166" i="5"/>
  <c r="G165" i="5"/>
  <c r="C165" i="5"/>
  <c r="D164" i="5"/>
  <c r="B166" i="5"/>
  <c r="D165" i="5"/>
  <c r="B167" i="5" l="1"/>
  <c r="C166" i="5"/>
  <c r="E167" i="5"/>
  <c r="F166" i="5"/>
  <c r="F167" i="5" l="1"/>
  <c r="G166" i="5"/>
  <c r="E168" i="5"/>
  <c r="G167" i="5"/>
  <c r="C167" i="5"/>
  <c r="D166" i="5"/>
  <c r="B168" i="5"/>
  <c r="D167" i="5"/>
  <c r="B169" i="5" l="1"/>
  <c r="C168" i="5"/>
  <c r="E169" i="5"/>
  <c r="F168" i="5"/>
  <c r="F169" i="5" l="1"/>
  <c r="G168" i="5"/>
  <c r="E170" i="5"/>
  <c r="G169" i="5"/>
  <c r="C169" i="5"/>
  <c r="D168" i="5"/>
  <c r="B170" i="5"/>
  <c r="D169" i="5"/>
  <c r="B171" i="5" l="1"/>
  <c r="C170" i="5"/>
  <c r="E171" i="5"/>
  <c r="F170" i="5"/>
  <c r="F171" i="5" l="1"/>
  <c r="G170" i="5"/>
  <c r="V11" i="6"/>
  <c r="E172" i="5"/>
  <c r="G171" i="5"/>
  <c r="X11" i="6" s="1"/>
  <c r="C171" i="5"/>
  <c r="D170" i="5"/>
  <c r="U11" i="6"/>
  <c r="B172" i="5"/>
  <c r="D171" i="5"/>
  <c r="W11" i="6" s="1"/>
  <c r="B173" i="5" l="1"/>
  <c r="C172" i="5"/>
  <c r="E173" i="5"/>
  <c r="F172" i="5"/>
  <c r="F173" i="5" l="1"/>
  <c r="G172" i="5"/>
  <c r="E174" i="5"/>
  <c r="G173" i="5"/>
  <c r="C173" i="5"/>
  <c r="D172" i="5"/>
  <c r="B174" i="5"/>
  <c r="D173" i="5"/>
  <c r="B175" i="5" l="1"/>
  <c r="C174" i="5"/>
  <c r="E175" i="5"/>
  <c r="F174" i="5"/>
  <c r="F175" i="5" l="1"/>
  <c r="G174" i="5"/>
  <c r="E176" i="5"/>
  <c r="G175" i="5"/>
  <c r="C175" i="5"/>
  <c r="D174" i="5"/>
  <c r="B176" i="5"/>
  <c r="D175" i="5"/>
  <c r="B177" i="5" l="1"/>
  <c r="C176" i="5"/>
  <c r="E177" i="5"/>
  <c r="F176" i="5"/>
  <c r="F177" i="5" l="1"/>
  <c r="G176" i="5"/>
  <c r="E178" i="5"/>
  <c r="G177" i="5"/>
  <c r="C177" i="5"/>
  <c r="D176" i="5"/>
  <c r="B178" i="5"/>
  <c r="D177" i="5"/>
  <c r="B179" i="5" l="1"/>
  <c r="C178" i="5"/>
  <c r="E179" i="5"/>
  <c r="F178" i="5"/>
  <c r="F179" i="5" l="1"/>
  <c r="G178" i="5"/>
  <c r="E180" i="5"/>
  <c r="G179" i="5"/>
  <c r="C179" i="5"/>
  <c r="D178" i="5"/>
  <c r="B180" i="5"/>
  <c r="D179" i="5"/>
  <c r="B181" i="5" l="1"/>
  <c r="C180" i="5"/>
  <c r="E181" i="5"/>
  <c r="F180" i="5"/>
  <c r="F181" i="5" l="1"/>
  <c r="G180" i="5"/>
  <c r="E182" i="5"/>
  <c r="G181" i="5"/>
  <c r="C181" i="5"/>
  <c r="D180" i="5"/>
  <c r="B182" i="5"/>
  <c r="D181" i="5"/>
  <c r="B183" i="5" l="1"/>
  <c r="C182" i="5"/>
  <c r="E183" i="5"/>
  <c r="F182" i="5"/>
  <c r="F183" i="5" l="1"/>
  <c r="G182" i="5"/>
  <c r="E184" i="5"/>
  <c r="G183" i="5"/>
  <c r="C183" i="5"/>
  <c r="D182" i="5"/>
  <c r="B184" i="5"/>
  <c r="D183" i="5"/>
  <c r="B185" i="5" l="1"/>
  <c r="C184" i="5"/>
  <c r="E185" i="5"/>
  <c r="F184" i="5"/>
  <c r="F185" i="5" l="1"/>
  <c r="G184" i="5"/>
  <c r="E186" i="5"/>
  <c r="G185" i="5"/>
  <c r="C185" i="5"/>
  <c r="D184" i="5"/>
  <c r="B186" i="5"/>
  <c r="D185" i="5"/>
  <c r="B187" i="5" l="1"/>
  <c r="C186" i="5"/>
  <c r="E187" i="5"/>
  <c r="F186" i="5"/>
  <c r="F187" i="5" l="1"/>
  <c r="G186" i="5"/>
  <c r="E188" i="5"/>
  <c r="G187" i="5"/>
  <c r="C187" i="5"/>
  <c r="D186" i="5"/>
  <c r="B188" i="5"/>
  <c r="D187" i="5"/>
  <c r="B189" i="5" l="1"/>
  <c r="C188" i="5"/>
  <c r="E189" i="5"/>
  <c r="F188" i="5"/>
  <c r="F189" i="5" l="1"/>
  <c r="G188" i="5"/>
  <c r="E190" i="5"/>
  <c r="G189" i="5"/>
  <c r="C189" i="5"/>
  <c r="D188" i="5"/>
  <c r="B190" i="5"/>
  <c r="D189" i="5"/>
  <c r="U12" i="6" l="1"/>
  <c r="B191" i="5"/>
  <c r="C190" i="5"/>
  <c r="V12" i="6"/>
  <c r="E191" i="5"/>
  <c r="F190" i="5"/>
  <c r="F191" i="5" l="1"/>
  <c r="G190" i="5"/>
  <c r="E192" i="5"/>
  <c r="G191" i="5"/>
  <c r="C191" i="5"/>
  <c r="D190" i="5"/>
  <c r="B192" i="5"/>
  <c r="D191" i="5"/>
  <c r="B193" i="5" l="1"/>
  <c r="W12" i="6"/>
  <c r="C192" i="5"/>
  <c r="E193" i="5"/>
  <c r="X12" i="6"/>
  <c r="F192" i="5"/>
  <c r="F193" i="5" l="1"/>
  <c r="G192" i="5"/>
  <c r="E194" i="5"/>
  <c r="G193" i="5"/>
  <c r="C193" i="5"/>
  <c r="D192" i="5"/>
  <c r="B194" i="5"/>
  <c r="D193" i="5"/>
  <c r="B195" i="5" l="1"/>
  <c r="C194" i="5"/>
  <c r="E195" i="5"/>
  <c r="F194" i="5"/>
  <c r="F195" i="5" l="1"/>
  <c r="G194" i="5"/>
  <c r="E196" i="5"/>
  <c r="G195" i="5"/>
  <c r="C195" i="5"/>
  <c r="D194" i="5"/>
  <c r="B196" i="5"/>
  <c r="D195" i="5"/>
  <c r="B197" i="5" l="1"/>
  <c r="C196" i="5"/>
  <c r="E197" i="5"/>
  <c r="F196" i="5"/>
  <c r="F197" i="5" l="1"/>
  <c r="G196" i="5"/>
  <c r="E198" i="5"/>
  <c r="G197" i="5"/>
  <c r="C197" i="5"/>
  <c r="D196" i="5"/>
  <c r="B198" i="5"/>
  <c r="D197" i="5"/>
  <c r="B199" i="5" l="1"/>
  <c r="C198" i="5"/>
  <c r="E199" i="5"/>
  <c r="F198" i="5"/>
  <c r="F199" i="5" l="1"/>
  <c r="G198" i="5"/>
  <c r="E200" i="5"/>
  <c r="G199" i="5"/>
  <c r="C199" i="5"/>
  <c r="D198" i="5"/>
  <c r="B200" i="5"/>
  <c r="D199" i="5"/>
  <c r="B201" i="5" l="1"/>
  <c r="C200" i="5"/>
  <c r="E201" i="5"/>
  <c r="F200" i="5"/>
  <c r="F201" i="5" l="1"/>
  <c r="G200" i="5"/>
  <c r="E202" i="5"/>
  <c r="G201" i="5"/>
  <c r="C201" i="5"/>
  <c r="D200" i="5"/>
  <c r="B202" i="5"/>
  <c r="D201" i="5"/>
  <c r="B203" i="5" l="1"/>
  <c r="C202" i="5"/>
  <c r="E203" i="5"/>
  <c r="F202" i="5"/>
  <c r="F203" i="5" l="1"/>
  <c r="G202" i="5"/>
  <c r="E204" i="5"/>
  <c r="G203" i="5"/>
  <c r="C203" i="5"/>
  <c r="D202" i="5"/>
  <c r="B204" i="5"/>
  <c r="D203" i="5"/>
  <c r="B205" i="5" l="1"/>
  <c r="C204" i="5"/>
  <c r="E205" i="5"/>
  <c r="F204" i="5"/>
  <c r="F205" i="5" l="1"/>
  <c r="G204" i="5"/>
  <c r="E206" i="5"/>
  <c r="G205" i="5"/>
  <c r="C205" i="5"/>
  <c r="D204" i="5"/>
  <c r="B206" i="5"/>
  <c r="D205" i="5"/>
  <c r="B207" i="5" l="1"/>
  <c r="C206" i="5"/>
  <c r="E207" i="5"/>
  <c r="F206" i="5"/>
  <c r="F207" i="5" l="1"/>
  <c r="G206" i="5"/>
  <c r="E208" i="5"/>
  <c r="G207" i="5"/>
  <c r="C207" i="5"/>
  <c r="D206" i="5"/>
  <c r="B208" i="5"/>
  <c r="D207" i="5"/>
  <c r="B209" i="5" l="1"/>
  <c r="C208" i="5"/>
  <c r="E209" i="5"/>
  <c r="F208" i="5"/>
  <c r="F209" i="5" l="1"/>
  <c r="G208" i="5"/>
  <c r="V13" i="6"/>
  <c r="E210" i="5"/>
  <c r="G209" i="5"/>
  <c r="X13" i="6" s="1"/>
  <c r="C209" i="5"/>
  <c r="D208" i="5"/>
  <c r="U13" i="6"/>
  <c r="B210" i="5"/>
  <c r="D209" i="5"/>
  <c r="W13" i="6" s="1"/>
  <c r="B211" i="5" l="1"/>
  <c r="C210" i="5"/>
  <c r="E211" i="5"/>
  <c r="F210" i="5"/>
  <c r="F211" i="5" l="1"/>
  <c r="G210" i="5"/>
  <c r="E212" i="5"/>
  <c r="G211" i="5"/>
  <c r="C211" i="5"/>
  <c r="D210" i="5"/>
  <c r="B212" i="5"/>
  <c r="D211" i="5"/>
  <c r="B213" i="5" l="1"/>
  <c r="C212" i="5"/>
  <c r="E213" i="5"/>
  <c r="F212" i="5"/>
  <c r="F213" i="5" l="1"/>
  <c r="G212" i="5"/>
  <c r="E214" i="5"/>
  <c r="G213" i="5"/>
  <c r="C213" i="5"/>
  <c r="D212" i="5"/>
  <c r="B214" i="5"/>
  <c r="D213" i="5"/>
  <c r="B215" i="5" l="1"/>
  <c r="C214" i="5"/>
  <c r="E215" i="5"/>
  <c r="F214" i="5"/>
  <c r="F215" i="5" l="1"/>
  <c r="G214" i="5"/>
  <c r="E216" i="5"/>
  <c r="G215" i="5"/>
  <c r="C215" i="5"/>
  <c r="D214" i="5"/>
  <c r="B216" i="5"/>
  <c r="D215" i="5"/>
  <c r="B217" i="5" l="1"/>
  <c r="C216" i="5"/>
  <c r="E217" i="5"/>
  <c r="F216" i="5"/>
  <c r="F217" i="5" l="1"/>
  <c r="G216" i="5"/>
  <c r="E218" i="5"/>
  <c r="G217" i="5"/>
  <c r="C217" i="5"/>
  <c r="D216" i="5"/>
  <c r="B218" i="5"/>
  <c r="D217" i="5"/>
  <c r="B219" i="5" l="1"/>
  <c r="C218" i="5"/>
  <c r="E219" i="5"/>
  <c r="F218" i="5"/>
  <c r="F219" i="5" l="1"/>
  <c r="G218" i="5"/>
  <c r="E220" i="5"/>
  <c r="G219" i="5"/>
  <c r="C219" i="5"/>
  <c r="D218" i="5"/>
  <c r="B220" i="5"/>
  <c r="D219" i="5"/>
  <c r="B221" i="5" l="1"/>
  <c r="C220" i="5"/>
  <c r="E221" i="5"/>
  <c r="F220" i="5"/>
  <c r="F221" i="5" l="1"/>
  <c r="G220" i="5"/>
  <c r="E222" i="5"/>
  <c r="G221" i="5"/>
  <c r="C221" i="5"/>
  <c r="D220" i="5"/>
  <c r="B222" i="5"/>
  <c r="D221" i="5"/>
  <c r="B223" i="5" l="1"/>
  <c r="C222" i="5"/>
  <c r="E223" i="5"/>
  <c r="F222" i="5"/>
  <c r="F223" i="5" l="1"/>
  <c r="G222" i="5"/>
  <c r="E224" i="5"/>
  <c r="G223" i="5"/>
  <c r="C223" i="5"/>
  <c r="D222" i="5"/>
  <c r="B224" i="5"/>
  <c r="D223" i="5"/>
  <c r="B225" i="5" l="1"/>
  <c r="C224" i="5"/>
  <c r="E225" i="5"/>
  <c r="F224" i="5"/>
  <c r="F225" i="5" l="1"/>
  <c r="G224" i="5"/>
  <c r="E226" i="5"/>
  <c r="G225" i="5"/>
  <c r="C225" i="5"/>
  <c r="D224" i="5"/>
  <c r="B226" i="5"/>
  <c r="D225" i="5"/>
  <c r="B227" i="5" l="1"/>
  <c r="C226" i="5"/>
  <c r="E227" i="5"/>
  <c r="F226" i="5"/>
  <c r="F227" i="5" l="1"/>
  <c r="G226" i="5"/>
  <c r="E228" i="5"/>
  <c r="G227" i="5"/>
  <c r="C227" i="5"/>
  <c r="D226" i="5"/>
  <c r="B228" i="5"/>
  <c r="D227" i="5"/>
  <c r="B229" i="5" l="1"/>
  <c r="C228" i="5"/>
  <c r="E229" i="5"/>
  <c r="F228" i="5"/>
  <c r="F229" i="5" l="1"/>
  <c r="G228" i="5"/>
  <c r="V14" i="6"/>
  <c r="E230" i="5"/>
  <c r="G229" i="5"/>
  <c r="X14" i="6" s="1"/>
  <c r="C229" i="5"/>
  <c r="D228" i="5"/>
  <c r="U14" i="6"/>
  <c r="B230" i="5"/>
  <c r="D229" i="5"/>
  <c r="W14" i="6" s="1"/>
  <c r="B231" i="5" l="1"/>
  <c r="C230" i="5"/>
  <c r="E231" i="5"/>
  <c r="F230" i="5"/>
  <c r="F231" i="5" l="1"/>
  <c r="G230" i="5"/>
  <c r="E232" i="5"/>
  <c r="G231" i="5"/>
  <c r="C231" i="5"/>
  <c r="D230" i="5"/>
  <c r="B232" i="5"/>
  <c r="D231" i="5"/>
  <c r="B233" i="5" l="1"/>
  <c r="C232" i="5"/>
  <c r="E233" i="5"/>
  <c r="F232" i="5"/>
  <c r="F233" i="5" l="1"/>
  <c r="G232" i="5"/>
  <c r="E234" i="5"/>
  <c r="G233" i="5"/>
  <c r="C233" i="5"/>
  <c r="D232" i="5"/>
  <c r="B234" i="5"/>
  <c r="D233" i="5"/>
  <c r="B235" i="5" l="1"/>
  <c r="C234" i="5"/>
  <c r="E235" i="5"/>
  <c r="F234" i="5"/>
  <c r="F235" i="5" l="1"/>
  <c r="G234" i="5"/>
  <c r="E236" i="5"/>
  <c r="G235" i="5"/>
  <c r="C235" i="5"/>
  <c r="D234" i="5"/>
  <c r="B236" i="5"/>
  <c r="D235" i="5"/>
  <c r="B237" i="5" l="1"/>
  <c r="C236" i="5"/>
  <c r="E237" i="5"/>
  <c r="F236" i="5"/>
  <c r="F237" i="5" l="1"/>
  <c r="G236" i="5"/>
  <c r="E238" i="5"/>
  <c r="G237" i="5"/>
  <c r="C237" i="5"/>
  <c r="D236" i="5"/>
  <c r="B238" i="5"/>
  <c r="D237" i="5"/>
  <c r="B239" i="5" l="1"/>
  <c r="C238" i="5"/>
  <c r="E239" i="5"/>
  <c r="F238" i="5"/>
  <c r="F239" i="5" l="1"/>
  <c r="G238" i="5"/>
  <c r="E240" i="5"/>
  <c r="G239" i="5"/>
  <c r="C239" i="5"/>
  <c r="D238" i="5"/>
  <c r="B240" i="5"/>
  <c r="D239" i="5"/>
  <c r="B241" i="5" l="1"/>
  <c r="C240" i="5"/>
  <c r="E241" i="5"/>
  <c r="F240" i="5"/>
  <c r="F241" i="5" l="1"/>
  <c r="G240" i="5"/>
  <c r="E242" i="5"/>
  <c r="G241" i="5"/>
  <c r="C241" i="5"/>
  <c r="D240" i="5"/>
  <c r="B242" i="5"/>
  <c r="D241" i="5"/>
  <c r="B243" i="5" l="1"/>
  <c r="C242" i="5"/>
  <c r="E243" i="5"/>
  <c r="F242" i="5"/>
  <c r="F243" i="5" l="1"/>
  <c r="G242" i="5"/>
  <c r="E244" i="5"/>
  <c r="G243" i="5"/>
  <c r="C243" i="5"/>
  <c r="D242" i="5"/>
  <c r="B244" i="5"/>
  <c r="D243" i="5"/>
  <c r="B245" i="5" l="1"/>
  <c r="C244" i="5"/>
  <c r="E245" i="5"/>
  <c r="F244" i="5"/>
  <c r="F245" i="5" l="1"/>
  <c r="G244" i="5"/>
  <c r="E246" i="5"/>
  <c r="G245" i="5"/>
  <c r="C245" i="5"/>
  <c r="D244" i="5"/>
  <c r="B246" i="5"/>
  <c r="D245" i="5"/>
  <c r="B247" i="5" l="1"/>
  <c r="C246" i="5"/>
  <c r="E247" i="5"/>
  <c r="F246" i="5"/>
  <c r="F247" i="5" l="1"/>
  <c r="G246" i="5"/>
  <c r="E248" i="5"/>
  <c r="G247" i="5"/>
  <c r="C247" i="5"/>
  <c r="D246" i="5"/>
  <c r="B248" i="5"/>
  <c r="D247" i="5"/>
  <c r="U15" i="6" l="1"/>
  <c r="B249" i="5"/>
  <c r="C248" i="5"/>
  <c r="V15" i="6"/>
  <c r="E249" i="5"/>
  <c r="F248" i="5"/>
  <c r="F249" i="5" l="1"/>
  <c r="G248" i="5"/>
  <c r="E250" i="5"/>
  <c r="G249" i="5"/>
  <c r="C249" i="5"/>
  <c r="D248" i="5"/>
  <c r="B250" i="5"/>
  <c r="D249" i="5"/>
  <c r="B251" i="5" l="1"/>
  <c r="W15" i="6"/>
  <c r="C250" i="5"/>
  <c r="E251" i="5"/>
  <c r="X15" i="6"/>
  <c r="F250" i="5"/>
  <c r="F251" i="5" l="1"/>
  <c r="G250" i="5"/>
  <c r="E252" i="5"/>
  <c r="G251" i="5"/>
  <c r="C251" i="5"/>
  <c r="D250" i="5"/>
  <c r="B252" i="5"/>
  <c r="D251" i="5"/>
  <c r="B253" i="5" l="1"/>
  <c r="C252" i="5"/>
  <c r="E253" i="5"/>
  <c r="F252" i="5"/>
  <c r="F253" i="5" l="1"/>
  <c r="G252" i="5"/>
  <c r="E254" i="5"/>
  <c r="G253" i="5"/>
  <c r="C253" i="5"/>
  <c r="D252" i="5"/>
  <c r="B254" i="5"/>
  <c r="D253" i="5"/>
  <c r="B255" i="5" l="1"/>
  <c r="C254" i="5"/>
  <c r="E255" i="5"/>
  <c r="F254" i="5"/>
  <c r="F255" i="5" l="1"/>
  <c r="G254" i="5"/>
  <c r="E256" i="5"/>
  <c r="G255" i="5"/>
  <c r="C255" i="5"/>
  <c r="D254" i="5"/>
  <c r="B256" i="5"/>
  <c r="D255" i="5"/>
  <c r="B257" i="5" l="1"/>
  <c r="C256" i="5"/>
  <c r="E257" i="5"/>
  <c r="F256" i="5"/>
  <c r="F257" i="5" l="1"/>
  <c r="G256" i="5"/>
  <c r="E258" i="5"/>
  <c r="G257" i="5"/>
  <c r="C257" i="5"/>
  <c r="D256" i="5"/>
  <c r="B258" i="5"/>
  <c r="D257" i="5"/>
  <c r="B259" i="5" l="1"/>
  <c r="C258" i="5"/>
  <c r="E259" i="5"/>
  <c r="F258" i="5"/>
  <c r="F259" i="5" l="1"/>
  <c r="G258" i="5"/>
  <c r="E260" i="5"/>
  <c r="G259" i="5"/>
  <c r="C259" i="5"/>
  <c r="D258" i="5"/>
  <c r="B260" i="5"/>
  <c r="D259" i="5"/>
  <c r="B261" i="5" l="1"/>
  <c r="C260" i="5"/>
  <c r="E261" i="5"/>
  <c r="F260" i="5"/>
  <c r="F261" i="5" l="1"/>
  <c r="G260" i="5"/>
  <c r="E262" i="5"/>
  <c r="G261" i="5"/>
  <c r="C261" i="5"/>
  <c r="D260" i="5"/>
  <c r="B262" i="5"/>
  <c r="D261" i="5"/>
  <c r="B263" i="5" l="1"/>
  <c r="C262" i="5"/>
  <c r="E263" i="5"/>
  <c r="F262" i="5"/>
  <c r="F263" i="5" l="1"/>
  <c r="G262" i="5"/>
  <c r="E264" i="5"/>
  <c r="G263" i="5"/>
  <c r="C263" i="5"/>
  <c r="D262" i="5"/>
  <c r="B264" i="5"/>
  <c r="D263" i="5"/>
  <c r="B265" i="5" l="1"/>
  <c r="C264" i="5"/>
  <c r="E265" i="5"/>
  <c r="F264" i="5"/>
  <c r="F265" i="5" l="1"/>
  <c r="G264" i="5"/>
  <c r="E266" i="5"/>
  <c r="G265" i="5"/>
  <c r="C265" i="5"/>
  <c r="D264" i="5"/>
  <c r="B266" i="5"/>
  <c r="D265" i="5"/>
  <c r="B267" i="5" l="1"/>
  <c r="C266" i="5"/>
  <c r="E267" i="5"/>
  <c r="F266" i="5"/>
  <c r="F267" i="5" l="1"/>
  <c r="G266" i="5"/>
  <c r="E268" i="5"/>
  <c r="G267" i="5"/>
  <c r="C267" i="5"/>
  <c r="D266" i="5"/>
  <c r="B268" i="5"/>
  <c r="D267" i="5"/>
  <c r="U16" i="6" l="1"/>
  <c r="B269" i="5"/>
  <c r="C268" i="5"/>
  <c r="V16" i="6"/>
  <c r="E269" i="5"/>
  <c r="F268" i="5"/>
  <c r="F269" i="5" l="1"/>
  <c r="G268" i="5"/>
  <c r="E270" i="5"/>
  <c r="G269" i="5"/>
  <c r="C269" i="5"/>
  <c r="D268" i="5"/>
  <c r="B270" i="5"/>
  <c r="D269" i="5"/>
  <c r="B271" i="5" l="1"/>
  <c r="W16" i="6"/>
  <c r="C270" i="5"/>
  <c r="E271" i="5"/>
  <c r="X16" i="6"/>
  <c r="F270" i="5"/>
  <c r="F271" i="5" l="1"/>
  <c r="G270" i="5"/>
  <c r="E272" i="5"/>
  <c r="G271" i="5"/>
  <c r="C271" i="5"/>
  <c r="D270" i="5"/>
  <c r="B272" i="5"/>
  <c r="D271" i="5"/>
  <c r="B273" i="5" l="1"/>
  <c r="C272" i="5"/>
  <c r="E273" i="5"/>
  <c r="F272" i="5"/>
  <c r="F273" i="5" l="1"/>
  <c r="G272" i="5"/>
  <c r="E274" i="5"/>
  <c r="G273" i="5"/>
  <c r="C273" i="5"/>
  <c r="D272" i="5"/>
  <c r="B274" i="5"/>
  <c r="D273" i="5"/>
  <c r="B275" i="5" l="1"/>
  <c r="C274" i="5"/>
  <c r="E275" i="5"/>
  <c r="F274" i="5"/>
  <c r="F275" i="5" l="1"/>
  <c r="G274" i="5"/>
  <c r="E276" i="5"/>
  <c r="G275" i="5"/>
  <c r="C275" i="5"/>
  <c r="D274" i="5"/>
  <c r="B276" i="5"/>
  <c r="D275" i="5"/>
  <c r="B277" i="5" l="1"/>
  <c r="C276" i="5"/>
  <c r="E277" i="5"/>
  <c r="F276" i="5"/>
  <c r="F277" i="5" l="1"/>
  <c r="G276" i="5"/>
  <c r="E278" i="5"/>
  <c r="G277" i="5"/>
  <c r="C277" i="5"/>
  <c r="D276" i="5"/>
  <c r="B278" i="5"/>
  <c r="D277" i="5"/>
  <c r="B279" i="5" l="1"/>
  <c r="C278" i="5"/>
  <c r="E279" i="5"/>
  <c r="F278" i="5"/>
  <c r="F279" i="5" l="1"/>
  <c r="G278" i="5"/>
  <c r="E280" i="5"/>
  <c r="G279" i="5"/>
  <c r="C279" i="5"/>
  <c r="D278" i="5"/>
  <c r="B280" i="5"/>
  <c r="D279" i="5"/>
  <c r="B281" i="5" l="1"/>
  <c r="C280" i="5"/>
  <c r="E281" i="5"/>
  <c r="F280" i="5"/>
  <c r="F281" i="5" l="1"/>
  <c r="G280" i="5"/>
  <c r="E282" i="5"/>
  <c r="G281" i="5"/>
  <c r="C281" i="5"/>
  <c r="D280" i="5"/>
  <c r="B282" i="5"/>
  <c r="D281" i="5"/>
  <c r="B283" i="5" l="1"/>
  <c r="C282" i="5"/>
  <c r="E283" i="5"/>
  <c r="F282" i="5"/>
  <c r="F283" i="5" l="1"/>
  <c r="G282" i="5"/>
  <c r="E284" i="5"/>
  <c r="G283" i="5"/>
  <c r="C283" i="5"/>
  <c r="D282" i="5"/>
  <c r="B284" i="5"/>
  <c r="D283" i="5"/>
  <c r="B285" i="5" l="1"/>
  <c r="C284" i="5"/>
  <c r="E285" i="5"/>
  <c r="F284" i="5"/>
  <c r="F285" i="5" l="1"/>
  <c r="G284" i="5"/>
  <c r="E286" i="5"/>
  <c r="G285" i="5"/>
  <c r="C285" i="5"/>
  <c r="D284" i="5"/>
  <c r="B286" i="5"/>
  <c r="D285" i="5"/>
  <c r="B287" i="5" l="1"/>
  <c r="C286" i="5"/>
  <c r="E287" i="5"/>
  <c r="F286" i="5"/>
  <c r="F287" i="5" l="1"/>
  <c r="G286" i="5"/>
  <c r="V17" i="6"/>
  <c r="E288" i="5"/>
  <c r="G287" i="5"/>
  <c r="X17" i="6" s="1"/>
  <c r="C287" i="5"/>
  <c r="D286" i="5"/>
  <c r="U17" i="6"/>
  <c r="B288" i="5"/>
  <c r="D287" i="5"/>
  <c r="W17" i="6" s="1"/>
  <c r="B289" i="5" l="1"/>
  <c r="C288" i="5"/>
  <c r="E289" i="5"/>
  <c r="F288" i="5"/>
  <c r="F289" i="5" l="1"/>
  <c r="G288" i="5"/>
  <c r="E290" i="5"/>
  <c r="G289" i="5"/>
  <c r="C289" i="5"/>
  <c r="D288" i="5"/>
  <c r="B290" i="5"/>
  <c r="D289" i="5"/>
  <c r="B291" i="5" l="1"/>
  <c r="C290" i="5"/>
  <c r="E291" i="5"/>
  <c r="F290" i="5"/>
  <c r="F291" i="5" l="1"/>
  <c r="G290" i="5"/>
  <c r="E292" i="5"/>
  <c r="G291" i="5"/>
  <c r="C291" i="5"/>
  <c r="D290" i="5"/>
  <c r="B292" i="5"/>
  <c r="D291" i="5"/>
  <c r="B293" i="5" l="1"/>
  <c r="C292" i="5"/>
  <c r="E293" i="5"/>
  <c r="F292" i="5"/>
  <c r="F293" i="5" l="1"/>
  <c r="G292" i="5"/>
  <c r="E294" i="5"/>
  <c r="G293" i="5"/>
  <c r="C293" i="5"/>
  <c r="D292" i="5"/>
  <c r="B294" i="5"/>
  <c r="D293" i="5"/>
  <c r="B295" i="5" l="1"/>
  <c r="C294" i="5"/>
  <c r="E295" i="5"/>
  <c r="F294" i="5"/>
  <c r="F295" i="5" l="1"/>
  <c r="G294" i="5"/>
  <c r="E296" i="5"/>
  <c r="G295" i="5"/>
  <c r="C295" i="5"/>
  <c r="D294" i="5"/>
  <c r="B296" i="5"/>
  <c r="D295" i="5"/>
  <c r="B297" i="5" l="1"/>
  <c r="C296" i="5"/>
  <c r="E297" i="5"/>
  <c r="F296" i="5"/>
  <c r="F297" i="5" l="1"/>
  <c r="G296" i="5"/>
  <c r="E298" i="5"/>
  <c r="G297" i="5"/>
  <c r="C297" i="5"/>
  <c r="D296" i="5"/>
  <c r="B298" i="5"/>
  <c r="D297" i="5"/>
  <c r="B299" i="5" l="1"/>
  <c r="C298" i="5"/>
  <c r="E299" i="5"/>
  <c r="F298" i="5"/>
  <c r="F299" i="5" l="1"/>
  <c r="G298" i="5"/>
  <c r="E300" i="5"/>
  <c r="G299" i="5"/>
  <c r="C299" i="5"/>
  <c r="D298" i="5"/>
  <c r="B300" i="5"/>
  <c r="D299" i="5"/>
  <c r="B301" i="5" l="1"/>
  <c r="C300" i="5"/>
  <c r="E301" i="5"/>
  <c r="F300" i="5"/>
  <c r="F301" i="5" l="1"/>
  <c r="G300" i="5"/>
  <c r="E302" i="5"/>
  <c r="G301" i="5"/>
  <c r="C301" i="5"/>
  <c r="D300" i="5"/>
  <c r="B302" i="5"/>
  <c r="D301" i="5"/>
  <c r="B303" i="5" l="1"/>
  <c r="C302" i="5"/>
  <c r="E303" i="5"/>
  <c r="F302" i="5"/>
  <c r="F303" i="5" l="1"/>
  <c r="G302" i="5"/>
  <c r="E304" i="5"/>
  <c r="G303" i="5"/>
  <c r="C303" i="5"/>
  <c r="D302" i="5"/>
  <c r="B304" i="5"/>
  <c r="D303" i="5"/>
  <c r="B305" i="5" l="1"/>
  <c r="C304" i="5"/>
  <c r="E305" i="5"/>
  <c r="F304" i="5"/>
  <c r="F305" i="5" l="1"/>
  <c r="G304" i="5"/>
  <c r="E306" i="5"/>
  <c r="G305" i="5"/>
  <c r="C305" i="5"/>
  <c r="D304" i="5"/>
  <c r="B306" i="5"/>
  <c r="D305" i="5"/>
  <c r="B307" i="5" l="1"/>
  <c r="C306" i="5"/>
  <c r="E307" i="5"/>
  <c r="F306" i="5"/>
  <c r="F307" i="5" l="1"/>
  <c r="G306" i="5"/>
  <c r="V18" i="6"/>
  <c r="E308" i="5"/>
  <c r="G307" i="5"/>
  <c r="X18" i="6" s="1"/>
  <c r="C307" i="5"/>
  <c r="D306" i="5"/>
  <c r="U18" i="6"/>
  <c r="B308" i="5"/>
  <c r="D307" i="5"/>
  <c r="W18" i="6" s="1"/>
  <c r="B309" i="5" l="1"/>
  <c r="C308" i="5"/>
  <c r="E309" i="5"/>
  <c r="F308" i="5"/>
  <c r="F309" i="5" l="1"/>
  <c r="G308" i="5"/>
  <c r="E310" i="5"/>
  <c r="G309" i="5"/>
  <c r="C309" i="5"/>
  <c r="D308" i="5"/>
  <c r="B310" i="5"/>
  <c r="D309" i="5"/>
  <c r="B311" i="5" l="1"/>
  <c r="C310" i="5"/>
  <c r="E311" i="5"/>
  <c r="F310" i="5"/>
  <c r="F311" i="5" l="1"/>
  <c r="G310" i="5"/>
  <c r="E312" i="5"/>
  <c r="G311" i="5"/>
  <c r="C311" i="5"/>
  <c r="D310" i="5"/>
  <c r="B312" i="5"/>
  <c r="D311" i="5"/>
  <c r="B313" i="5" l="1"/>
  <c r="C312" i="5"/>
  <c r="E313" i="5"/>
  <c r="F312" i="5"/>
  <c r="F313" i="5" l="1"/>
  <c r="G312" i="5"/>
  <c r="E314" i="5"/>
  <c r="G313" i="5"/>
  <c r="C313" i="5"/>
  <c r="D312" i="5"/>
  <c r="B314" i="5"/>
  <c r="D313" i="5"/>
  <c r="B315" i="5" l="1"/>
  <c r="C314" i="5"/>
  <c r="E315" i="5"/>
  <c r="F314" i="5"/>
  <c r="F315" i="5" l="1"/>
  <c r="G314" i="5"/>
  <c r="E316" i="5"/>
  <c r="G315" i="5"/>
  <c r="C315" i="5"/>
  <c r="D314" i="5"/>
  <c r="B316" i="5"/>
  <c r="D315" i="5"/>
  <c r="B317" i="5" l="1"/>
  <c r="C316" i="5"/>
  <c r="E317" i="5"/>
  <c r="F316" i="5"/>
  <c r="F317" i="5" l="1"/>
  <c r="G316" i="5"/>
  <c r="E318" i="5"/>
  <c r="G317" i="5"/>
  <c r="C317" i="5"/>
  <c r="D316" i="5"/>
  <c r="B318" i="5"/>
  <c r="D317" i="5"/>
  <c r="B319" i="5" l="1"/>
  <c r="C318" i="5"/>
  <c r="E319" i="5"/>
  <c r="F318" i="5"/>
  <c r="F319" i="5" l="1"/>
  <c r="G318" i="5"/>
  <c r="E320" i="5"/>
  <c r="G319" i="5"/>
  <c r="C319" i="5"/>
  <c r="D318" i="5"/>
  <c r="B320" i="5"/>
  <c r="D319" i="5"/>
  <c r="B321" i="5" l="1"/>
  <c r="C320" i="5"/>
  <c r="E321" i="5"/>
  <c r="F320" i="5"/>
  <c r="F321" i="5" l="1"/>
  <c r="G320" i="5"/>
  <c r="E322" i="5"/>
  <c r="G321" i="5"/>
  <c r="C321" i="5"/>
  <c r="D320" i="5"/>
  <c r="B322" i="5"/>
  <c r="D321" i="5"/>
  <c r="B323" i="5" l="1"/>
  <c r="C322" i="5"/>
  <c r="E323" i="5"/>
  <c r="F322" i="5"/>
  <c r="F323" i="5" l="1"/>
  <c r="G322" i="5"/>
  <c r="E324" i="5"/>
  <c r="G323" i="5"/>
  <c r="C323" i="5"/>
  <c r="D322" i="5"/>
  <c r="B324" i="5"/>
  <c r="D323" i="5"/>
  <c r="B325" i="5" l="1"/>
  <c r="C324" i="5"/>
  <c r="E325" i="5"/>
  <c r="F324" i="5"/>
  <c r="F325" i="5" l="1"/>
  <c r="G324" i="5"/>
  <c r="E326" i="5"/>
  <c r="G325" i="5"/>
  <c r="C325" i="5"/>
  <c r="D324" i="5"/>
  <c r="B326" i="5"/>
  <c r="D325" i="5"/>
  <c r="U19" i="6" l="1"/>
  <c r="B327" i="5"/>
  <c r="C326" i="5"/>
  <c r="V19" i="6"/>
  <c r="E327" i="5"/>
  <c r="F326" i="5"/>
  <c r="F327" i="5" l="1"/>
  <c r="G326" i="5"/>
  <c r="E328" i="5"/>
  <c r="G327" i="5"/>
  <c r="C327" i="5"/>
  <c r="D326" i="5"/>
  <c r="B328" i="5"/>
  <c r="D327" i="5"/>
  <c r="B329" i="5" l="1"/>
  <c r="W19" i="6"/>
  <c r="C328" i="5"/>
  <c r="E329" i="5"/>
  <c r="X19" i="6"/>
  <c r="F328" i="5"/>
  <c r="F329" i="5" l="1"/>
  <c r="G328" i="5"/>
  <c r="E330" i="5"/>
  <c r="G329" i="5"/>
  <c r="C329" i="5"/>
  <c r="D328" i="5"/>
  <c r="B330" i="5"/>
  <c r="D329" i="5"/>
  <c r="B331" i="5" l="1"/>
  <c r="C330" i="5"/>
  <c r="E331" i="5"/>
  <c r="F330" i="5"/>
  <c r="F331" i="5" l="1"/>
  <c r="G330" i="5"/>
  <c r="E332" i="5"/>
  <c r="G331" i="5"/>
  <c r="C331" i="5"/>
  <c r="D330" i="5"/>
  <c r="B332" i="5"/>
  <c r="D331" i="5"/>
  <c r="B333" i="5" l="1"/>
  <c r="C332" i="5"/>
  <c r="E333" i="5"/>
  <c r="F332" i="5"/>
  <c r="F333" i="5" l="1"/>
  <c r="G332" i="5"/>
  <c r="E334" i="5"/>
  <c r="G333" i="5"/>
  <c r="C333" i="5"/>
  <c r="D332" i="5"/>
  <c r="B334" i="5"/>
  <c r="D333" i="5"/>
  <c r="B335" i="5" l="1"/>
  <c r="C334" i="5"/>
  <c r="E335" i="5"/>
  <c r="F334" i="5"/>
  <c r="F335" i="5" l="1"/>
  <c r="G334" i="5"/>
  <c r="E336" i="5"/>
  <c r="G335" i="5"/>
  <c r="C335" i="5"/>
  <c r="D334" i="5"/>
  <c r="B336" i="5"/>
  <c r="D335" i="5"/>
  <c r="B337" i="5" l="1"/>
  <c r="C336" i="5"/>
  <c r="E337" i="5"/>
  <c r="F336" i="5"/>
  <c r="F337" i="5" l="1"/>
  <c r="G336" i="5"/>
  <c r="E338" i="5"/>
  <c r="G337" i="5"/>
  <c r="C337" i="5"/>
  <c r="D336" i="5"/>
  <c r="B338" i="5"/>
  <c r="D337" i="5"/>
  <c r="B339" i="5" l="1"/>
  <c r="C338" i="5"/>
  <c r="E339" i="5"/>
  <c r="F338" i="5"/>
  <c r="F339" i="5" l="1"/>
  <c r="G338" i="5"/>
  <c r="E340" i="5"/>
  <c r="G339" i="5"/>
  <c r="C339" i="5"/>
  <c r="D338" i="5"/>
  <c r="B340" i="5"/>
  <c r="D339" i="5"/>
  <c r="B341" i="5" l="1"/>
  <c r="C340" i="5"/>
  <c r="E341" i="5"/>
  <c r="F340" i="5"/>
  <c r="F341" i="5" l="1"/>
  <c r="G340" i="5"/>
  <c r="E342" i="5"/>
  <c r="G341" i="5"/>
  <c r="C341" i="5"/>
  <c r="D340" i="5"/>
  <c r="B342" i="5"/>
  <c r="D341" i="5"/>
  <c r="B343" i="5" l="1"/>
  <c r="C342" i="5"/>
  <c r="E343" i="5"/>
  <c r="F342" i="5"/>
  <c r="F343" i="5" l="1"/>
  <c r="G342" i="5"/>
  <c r="E344" i="5"/>
  <c r="G343" i="5"/>
  <c r="C343" i="5"/>
  <c r="D342" i="5"/>
  <c r="B344" i="5"/>
  <c r="D343" i="5"/>
  <c r="B345" i="5" l="1"/>
  <c r="C344" i="5"/>
  <c r="E345" i="5"/>
  <c r="F344" i="5"/>
  <c r="F345" i="5" l="1"/>
  <c r="G344" i="5"/>
  <c r="E346" i="5"/>
  <c r="G345" i="5"/>
  <c r="C345" i="5"/>
  <c r="D344" i="5"/>
  <c r="B346" i="5"/>
  <c r="D345" i="5"/>
  <c r="U20" i="6" l="1"/>
  <c r="B347" i="5"/>
  <c r="C346" i="5"/>
  <c r="V20" i="6"/>
  <c r="E347" i="5"/>
  <c r="F346" i="5"/>
  <c r="F347" i="5" l="1"/>
  <c r="G346" i="5"/>
  <c r="E348" i="5"/>
  <c r="G347" i="5"/>
  <c r="C347" i="5"/>
  <c r="D346" i="5"/>
  <c r="B348" i="5"/>
  <c r="D347" i="5"/>
  <c r="B349" i="5" l="1"/>
  <c r="W20" i="6"/>
  <c r="C348" i="5"/>
  <c r="E349" i="5"/>
  <c r="X20" i="6"/>
  <c r="F348" i="5"/>
  <c r="F349" i="5" l="1"/>
  <c r="G348" i="5"/>
  <c r="E350" i="5"/>
  <c r="G349" i="5"/>
  <c r="C349" i="5"/>
  <c r="D348" i="5"/>
  <c r="B350" i="5"/>
  <c r="D349" i="5"/>
  <c r="B351" i="5" l="1"/>
  <c r="C350" i="5"/>
  <c r="E351" i="5"/>
  <c r="F350" i="5"/>
  <c r="F351" i="5" l="1"/>
  <c r="G350" i="5"/>
  <c r="E352" i="5"/>
  <c r="G351" i="5"/>
  <c r="C351" i="5"/>
  <c r="D350" i="5"/>
  <c r="B352" i="5"/>
  <c r="D351" i="5"/>
  <c r="B353" i="5" l="1"/>
  <c r="C352" i="5"/>
  <c r="E353" i="5"/>
  <c r="F352" i="5"/>
  <c r="F353" i="5" l="1"/>
  <c r="G352" i="5"/>
  <c r="E354" i="5"/>
  <c r="G353" i="5"/>
  <c r="C353" i="5"/>
  <c r="D352" i="5"/>
  <c r="B354" i="5"/>
  <c r="D353" i="5"/>
  <c r="B355" i="5" l="1"/>
  <c r="C354" i="5"/>
  <c r="E355" i="5"/>
  <c r="F354" i="5"/>
  <c r="F355" i="5" l="1"/>
  <c r="G354" i="5"/>
  <c r="E356" i="5"/>
  <c r="G355" i="5"/>
  <c r="C355" i="5"/>
  <c r="D354" i="5"/>
  <c r="B356" i="5"/>
  <c r="D355" i="5"/>
  <c r="B357" i="5" l="1"/>
  <c r="C356" i="5"/>
  <c r="E357" i="5"/>
  <c r="F356" i="5"/>
  <c r="F357" i="5" l="1"/>
  <c r="G356" i="5"/>
  <c r="E358" i="5"/>
  <c r="G357" i="5"/>
  <c r="C357" i="5"/>
  <c r="D356" i="5"/>
  <c r="B358" i="5"/>
  <c r="D357" i="5"/>
  <c r="B359" i="5" l="1"/>
  <c r="C358" i="5"/>
  <c r="E359" i="5"/>
  <c r="F358" i="5"/>
  <c r="F359" i="5" l="1"/>
  <c r="G358" i="5"/>
  <c r="E360" i="5"/>
  <c r="G359" i="5"/>
  <c r="C359" i="5"/>
  <c r="D358" i="5"/>
  <c r="B360" i="5"/>
  <c r="D359" i="5"/>
  <c r="B361" i="5" l="1"/>
  <c r="C360" i="5"/>
  <c r="E361" i="5"/>
  <c r="F360" i="5"/>
  <c r="F361" i="5" l="1"/>
  <c r="G360" i="5"/>
  <c r="E362" i="5"/>
  <c r="G361" i="5"/>
  <c r="C361" i="5"/>
  <c r="D360" i="5"/>
  <c r="B362" i="5"/>
  <c r="D361" i="5"/>
  <c r="B363" i="5" l="1"/>
  <c r="C362" i="5"/>
  <c r="E363" i="5"/>
  <c r="F362" i="5"/>
  <c r="F363" i="5" l="1"/>
  <c r="G362" i="5"/>
  <c r="E364" i="5"/>
  <c r="G363" i="5"/>
  <c r="C363" i="5"/>
  <c r="D362" i="5"/>
  <c r="B364" i="5"/>
  <c r="D363" i="5"/>
  <c r="B365" i="5" l="1"/>
  <c r="C364" i="5"/>
  <c r="E365" i="5"/>
  <c r="F364" i="5"/>
  <c r="F365" i="5" l="1"/>
  <c r="G364" i="5"/>
  <c r="V21" i="6"/>
  <c r="E366" i="5"/>
  <c r="G365" i="5"/>
  <c r="X21" i="6" s="1"/>
  <c r="C365" i="5"/>
  <c r="D364" i="5"/>
  <c r="U21" i="6"/>
  <c r="B366" i="5"/>
  <c r="D365" i="5"/>
  <c r="W21" i="6" s="1"/>
  <c r="B367" i="5" l="1"/>
  <c r="C366" i="5"/>
  <c r="E367" i="5"/>
  <c r="F366" i="5"/>
  <c r="F367" i="5" l="1"/>
  <c r="G366" i="5"/>
  <c r="E368" i="5"/>
  <c r="G367" i="5"/>
  <c r="C367" i="5"/>
  <c r="D366" i="5"/>
  <c r="B368" i="5"/>
  <c r="D367" i="5"/>
  <c r="B369" i="5" l="1"/>
  <c r="C368" i="5"/>
  <c r="E369" i="5"/>
  <c r="F368" i="5"/>
  <c r="F369" i="5" l="1"/>
  <c r="G368" i="5"/>
  <c r="E370" i="5"/>
  <c r="G369" i="5"/>
  <c r="C369" i="5"/>
  <c r="D368" i="5"/>
  <c r="B370" i="5"/>
  <c r="D369" i="5"/>
  <c r="B371" i="5" l="1"/>
  <c r="C370" i="5"/>
  <c r="E371" i="5"/>
  <c r="F370" i="5"/>
  <c r="F371" i="5" l="1"/>
  <c r="G370" i="5"/>
  <c r="E372" i="5"/>
  <c r="G371" i="5"/>
  <c r="C371" i="5"/>
  <c r="D370" i="5"/>
  <c r="B372" i="5"/>
  <c r="D371" i="5"/>
  <c r="B373" i="5" l="1"/>
  <c r="C372" i="5"/>
  <c r="E373" i="5"/>
  <c r="F372" i="5"/>
  <c r="F373" i="5" l="1"/>
  <c r="G372" i="5"/>
  <c r="E374" i="5"/>
  <c r="G373" i="5"/>
  <c r="C373" i="5"/>
  <c r="D372" i="5"/>
  <c r="B374" i="5"/>
  <c r="D373" i="5"/>
  <c r="B375" i="5" l="1"/>
  <c r="C374" i="5"/>
  <c r="E375" i="5"/>
  <c r="F374" i="5"/>
  <c r="F375" i="5" l="1"/>
  <c r="G374" i="5"/>
  <c r="E376" i="5"/>
  <c r="G375" i="5"/>
  <c r="C375" i="5"/>
  <c r="D374" i="5"/>
  <c r="B376" i="5"/>
  <c r="D375" i="5"/>
  <c r="B377" i="5" l="1"/>
  <c r="C376" i="5"/>
  <c r="E377" i="5"/>
  <c r="F376" i="5"/>
  <c r="F377" i="5" l="1"/>
  <c r="G376" i="5"/>
  <c r="E378" i="5"/>
  <c r="G377" i="5"/>
  <c r="C377" i="5"/>
  <c r="D376" i="5"/>
  <c r="B378" i="5"/>
  <c r="D377" i="5"/>
  <c r="B379" i="5" l="1"/>
  <c r="C378" i="5"/>
  <c r="E379" i="5"/>
  <c r="F378" i="5"/>
  <c r="F379" i="5" l="1"/>
  <c r="G378" i="5"/>
  <c r="E380" i="5"/>
  <c r="G379" i="5"/>
  <c r="C379" i="5"/>
  <c r="D378" i="5"/>
  <c r="B380" i="5"/>
  <c r="D379" i="5"/>
  <c r="B381" i="5" l="1"/>
  <c r="C380" i="5"/>
  <c r="E381" i="5"/>
  <c r="F380" i="5"/>
  <c r="F381" i="5" l="1"/>
  <c r="G380" i="5"/>
  <c r="E382" i="5"/>
  <c r="G381" i="5"/>
  <c r="C381" i="5"/>
  <c r="D380" i="5"/>
  <c r="B382" i="5"/>
  <c r="D381" i="5"/>
  <c r="B383" i="5" l="1"/>
  <c r="C382" i="5"/>
  <c r="E383" i="5"/>
  <c r="F382" i="5"/>
  <c r="F383" i="5" l="1"/>
  <c r="G382" i="5"/>
  <c r="E384" i="5"/>
  <c r="G383" i="5"/>
  <c r="C383" i="5"/>
  <c r="D382" i="5"/>
  <c r="B384" i="5"/>
  <c r="D383" i="5"/>
  <c r="B385" i="5" l="1"/>
  <c r="C384" i="5"/>
  <c r="E385" i="5"/>
  <c r="F384" i="5"/>
  <c r="F385" i="5" l="1"/>
  <c r="G384" i="5"/>
  <c r="V22" i="6"/>
  <c r="E386" i="5"/>
  <c r="G385" i="5"/>
  <c r="X22" i="6" s="1"/>
  <c r="C385" i="5"/>
  <c r="D384" i="5"/>
  <c r="U22" i="6"/>
  <c r="B386" i="5"/>
  <c r="D385" i="5"/>
  <c r="W22" i="6" s="1"/>
  <c r="B387" i="5" l="1"/>
  <c r="C386" i="5"/>
  <c r="E387" i="5"/>
  <c r="F386" i="5"/>
  <c r="F387" i="5" l="1"/>
  <c r="G386" i="5"/>
  <c r="E388" i="5"/>
  <c r="G387" i="5"/>
  <c r="C387" i="5"/>
  <c r="D386" i="5"/>
  <c r="B388" i="5"/>
  <c r="D387" i="5"/>
  <c r="B389" i="5" l="1"/>
  <c r="C388" i="5"/>
  <c r="E389" i="5"/>
  <c r="F388" i="5"/>
  <c r="F389" i="5" l="1"/>
  <c r="G388" i="5"/>
  <c r="E390" i="5"/>
  <c r="G389" i="5"/>
  <c r="C389" i="5"/>
  <c r="D388" i="5"/>
  <c r="B390" i="5"/>
  <c r="D389" i="5"/>
  <c r="B391" i="5" l="1"/>
  <c r="C390" i="5"/>
  <c r="E391" i="5"/>
  <c r="F390" i="5"/>
  <c r="F391" i="5" l="1"/>
  <c r="G390" i="5"/>
  <c r="E392" i="5"/>
  <c r="G391" i="5"/>
  <c r="C391" i="5"/>
  <c r="D390" i="5"/>
  <c r="B392" i="5"/>
  <c r="D391" i="5"/>
  <c r="B393" i="5" l="1"/>
  <c r="C392" i="5"/>
  <c r="E393" i="5"/>
  <c r="F392" i="5"/>
  <c r="F393" i="5" l="1"/>
  <c r="G392" i="5"/>
  <c r="E394" i="5"/>
  <c r="G393" i="5"/>
  <c r="C393" i="5"/>
  <c r="D392" i="5"/>
  <c r="B394" i="5"/>
  <c r="D393" i="5"/>
  <c r="B395" i="5" l="1"/>
  <c r="C394" i="5"/>
  <c r="E395" i="5"/>
  <c r="F394" i="5"/>
  <c r="F395" i="5" l="1"/>
  <c r="G394" i="5"/>
  <c r="E396" i="5"/>
  <c r="G395" i="5"/>
  <c r="C395" i="5"/>
  <c r="D394" i="5"/>
  <c r="B396" i="5"/>
  <c r="D395" i="5"/>
  <c r="B397" i="5" l="1"/>
  <c r="C396" i="5"/>
  <c r="E397" i="5"/>
  <c r="F396" i="5"/>
  <c r="F397" i="5" l="1"/>
  <c r="G396" i="5"/>
  <c r="E398" i="5"/>
  <c r="G397" i="5"/>
  <c r="C397" i="5"/>
  <c r="D396" i="5"/>
  <c r="B398" i="5"/>
  <c r="D397" i="5"/>
  <c r="B399" i="5" l="1"/>
  <c r="C398" i="5"/>
  <c r="E399" i="5"/>
  <c r="F398" i="5"/>
  <c r="F399" i="5" l="1"/>
  <c r="G398" i="5"/>
  <c r="E400" i="5"/>
  <c r="G399" i="5"/>
  <c r="C399" i="5"/>
  <c r="D398" i="5"/>
  <c r="B400" i="5"/>
  <c r="D399" i="5"/>
  <c r="B401" i="5" l="1"/>
  <c r="C400" i="5"/>
  <c r="E401" i="5"/>
  <c r="F400" i="5"/>
  <c r="F401" i="5" l="1"/>
  <c r="G400" i="5"/>
  <c r="E402" i="5"/>
  <c r="G401" i="5"/>
  <c r="C401" i="5"/>
  <c r="D400" i="5"/>
  <c r="B402" i="5"/>
  <c r="D401" i="5"/>
  <c r="B403" i="5" l="1"/>
  <c r="C402" i="5"/>
  <c r="E403" i="5"/>
  <c r="F402" i="5"/>
  <c r="F403" i="5" l="1"/>
  <c r="G402" i="5"/>
  <c r="E404" i="5"/>
  <c r="G403" i="5"/>
  <c r="C403" i="5"/>
  <c r="D402" i="5"/>
  <c r="B404" i="5"/>
  <c r="D403" i="5"/>
  <c r="U23" i="6" l="1"/>
  <c r="B405" i="5"/>
  <c r="C404" i="5"/>
  <c r="V23" i="6"/>
  <c r="E405" i="5"/>
  <c r="F404" i="5"/>
  <c r="F405" i="5" l="1"/>
  <c r="G404" i="5"/>
  <c r="E406" i="5"/>
  <c r="G405" i="5"/>
  <c r="C405" i="5"/>
  <c r="D404" i="5"/>
  <c r="B406" i="5"/>
  <c r="D405" i="5"/>
  <c r="B407" i="5" l="1"/>
  <c r="W23" i="6"/>
  <c r="C406" i="5"/>
  <c r="E407" i="5"/>
  <c r="X23" i="6"/>
  <c r="F406" i="5"/>
  <c r="F407" i="5" l="1"/>
  <c r="G406" i="5"/>
  <c r="E408" i="5"/>
  <c r="G407" i="5"/>
  <c r="C407" i="5"/>
  <c r="D406" i="5"/>
  <c r="B408" i="5"/>
  <c r="D407" i="5"/>
  <c r="B409" i="5" l="1"/>
  <c r="C408" i="5"/>
  <c r="E409" i="5"/>
  <c r="F408" i="5"/>
  <c r="F409" i="5" l="1"/>
  <c r="G408" i="5"/>
  <c r="E410" i="5"/>
  <c r="G409" i="5"/>
  <c r="C409" i="5"/>
  <c r="D408" i="5"/>
  <c r="B410" i="5"/>
  <c r="D409" i="5"/>
  <c r="B411" i="5" l="1"/>
  <c r="C410" i="5"/>
  <c r="E411" i="5"/>
  <c r="F410" i="5"/>
  <c r="F411" i="5" l="1"/>
  <c r="G410" i="5"/>
  <c r="E412" i="5"/>
  <c r="G411" i="5"/>
  <c r="C411" i="5"/>
  <c r="D410" i="5"/>
  <c r="B412" i="5"/>
  <c r="D411" i="5"/>
  <c r="B413" i="5" l="1"/>
  <c r="C412" i="5"/>
  <c r="E413" i="5"/>
  <c r="F412" i="5"/>
  <c r="F413" i="5" l="1"/>
  <c r="G412" i="5"/>
  <c r="E414" i="5"/>
  <c r="G413" i="5"/>
  <c r="C413" i="5"/>
  <c r="D412" i="5"/>
  <c r="B414" i="5"/>
  <c r="D413" i="5"/>
  <c r="B415" i="5" l="1"/>
  <c r="C414" i="5"/>
  <c r="E415" i="5"/>
  <c r="F414" i="5"/>
  <c r="F415" i="5" l="1"/>
  <c r="G414" i="5"/>
  <c r="E416" i="5"/>
  <c r="G415" i="5"/>
  <c r="C415" i="5"/>
  <c r="D414" i="5"/>
  <c r="B416" i="5"/>
  <c r="D415" i="5"/>
  <c r="B417" i="5" l="1"/>
  <c r="C416" i="5"/>
  <c r="E417" i="5"/>
  <c r="F416" i="5"/>
  <c r="F417" i="5" l="1"/>
  <c r="G416" i="5"/>
  <c r="E418" i="5"/>
  <c r="G417" i="5"/>
  <c r="C417" i="5"/>
  <c r="D416" i="5"/>
  <c r="B418" i="5"/>
  <c r="D417" i="5"/>
  <c r="B419" i="5" l="1"/>
  <c r="C418" i="5"/>
  <c r="E419" i="5"/>
  <c r="F418" i="5"/>
  <c r="F419" i="5" l="1"/>
  <c r="G418" i="5"/>
  <c r="E420" i="5"/>
  <c r="G419" i="5"/>
  <c r="C419" i="5"/>
  <c r="D418" i="5"/>
  <c r="B420" i="5"/>
  <c r="D419" i="5"/>
  <c r="B421" i="5" l="1"/>
  <c r="C420" i="5"/>
  <c r="E421" i="5"/>
  <c r="F420" i="5"/>
  <c r="F421" i="5" l="1"/>
  <c r="G420" i="5"/>
  <c r="E422" i="5"/>
  <c r="G421" i="5"/>
  <c r="C421" i="5"/>
  <c r="D420" i="5"/>
  <c r="B422" i="5"/>
  <c r="D421" i="5"/>
  <c r="B423" i="5" l="1"/>
  <c r="C422" i="5"/>
  <c r="E423" i="5"/>
  <c r="F422" i="5"/>
  <c r="F423" i="5" l="1"/>
  <c r="G422" i="5"/>
  <c r="V24" i="6"/>
  <c r="E424" i="5"/>
  <c r="G423" i="5"/>
  <c r="X24" i="6" s="1"/>
  <c r="C423" i="5"/>
  <c r="D422" i="5"/>
  <c r="U24" i="6"/>
  <c r="B424" i="5"/>
  <c r="D423" i="5"/>
  <c r="W24" i="6" s="1"/>
  <c r="B425" i="5" l="1"/>
  <c r="C424" i="5"/>
  <c r="E425" i="5"/>
  <c r="F424" i="5"/>
  <c r="F425" i="5" l="1"/>
  <c r="G424" i="5"/>
  <c r="E426" i="5"/>
  <c r="G425" i="5"/>
  <c r="C425" i="5"/>
  <c r="D424" i="5"/>
  <c r="B426" i="5"/>
  <c r="D425" i="5"/>
  <c r="B427" i="5" l="1"/>
  <c r="C426" i="5"/>
  <c r="E427" i="5"/>
  <c r="F426" i="5"/>
  <c r="F427" i="5" l="1"/>
  <c r="G426" i="5"/>
  <c r="E428" i="5"/>
  <c r="G427" i="5"/>
  <c r="C427" i="5"/>
  <c r="D426" i="5"/>
  <c r="B428" i="5"/>
  <c r="D427" i="5"/>
  <c r="B429" i="5" l="1"/>
  <c r="C428" i="5"/>
  <c r="E429" i="5"/>
  <c r="F428" i="5"/>
  <c r="F429" i="5" l="1"/>
  <c r="G428" i="5"/>
  <c r="E430" i="5"/>
  <c r="G429" i="5"/>
  <c r="C429" i="5"/>
  <c r="D428" i="5"/>
  <c r="B430" i="5"/>
  <c r="D429" i="5"/>
  <c r="B431" i="5" l="1"/>
  <c r="C430" i="5"/>
  <c r="E431" i="5"/>
  <c r="F430" i="5"/>
  <c r="F431" i="5" l="1"/>
  <c r="G430" i="5"/>
  <c r="E432" i="5"/>
  <c r="G431" i="5"/>
  <c r="C431" i="5"/>
  <c r="D430" i="5"/>
  <c r="B432" i="5"/>
  <c r="D431" i="5"/>
  <c r="B433" i="5" l="1"/>
  <c r="C432" i="5"/>
  <c r="E433" i="5"/>
  <c r="F432" i="5"/>
  <c r="F433" i="5" l="1"/>
  <c r="G432" i="5"/>
  <c r="E434" i="5"/>
  <c r="G433" i="5"/>
  <c r="C433" i="5"/>
  <c r="D432" i="5"/>
  <c r="B434" i="5"/>
  <c r="D433" i="5"/>
  <c r="B435" i="5" l="1"/>
  <c r="C434" i="5"/>
  <c r="E435" i="5"/>
  <c r="F434" i="5"/>
  <c r="F435" i="5" l="1"/>
  <c r="G434" i="5"/>
  <c r="E436" i="5"/>
  <c r="G435" i="5"/>
  <c r="C435" i="5"/>
  <c r="D434" i="5"/>
  <c r="B436" i="5"/>
  <c r="D435" i="5"/>
  <c r="B437" i="5" l="1"/>
  <c r="C436" i="5"/>
  <c r="E437" i="5"/>
  <c r="F436" i="5"/>
  <c r="F437" i="5" l="1"/>
  <c r="G436" i="5"/>
  <c r="E438" i="5"/>
  <c r="G437" i="5"/>
  <c r="C437" i="5"/>
  <c r="D436" i="5"/>
  <c r="B438" i="5"/>
  <c r="D437" i="5"/>
  <c r="B439" i="5" l="1"/>
  <c r="C438" i="5"/>
  <c r="E439" i="5"/>
  <c r="F438" i="5"/>
  <c r="F439" i="5" l="1"/>
  <c r="G438" i="5"/>
  <c r="E440" i="5"/>
  <c r="G439" i="5"/>
  <c r="C439" i="5"/>
  <c r="D438" i="5"/>
  <c r="B440" i="5"/>
  <c r="D439" i="5"/>
  <c r="B441" i="5" l="1"/>
  <c r="C440" i="5"/>
  <c r="E441" i="5"/>
  <c r="F440" i="5"/>
  <c r="F441" i="5" l="1"/>
  <c r="G440" i="5"/>
  <c r="E442" i="5"/>
  <c r="G441" i="5"/>
  <c r="C441" i="5"/>
  <c r="D440" i="5"/>
  <c r="B442" i="5"/>
  <c r="D441" i="5"/>
  <c r="B443" i="5" l="1"/>
  <c r="C442" i="5"/>
  <c r="E443" i="5"/>
  <c r="F442" i="5"/>
  <c r="F443" i="5" l="1"/>
  <c r="G442" i="5"/>
  <c r="V25" i="6"/>
  <c r="E444" i="5"/>
  <c r="G443" i="5"/>
  <c r="X25" i="6" s="1"/>
  <c r="C443" i="5"/>
  <c r="D442" i="5"/>
  <c r="U25" i="6"/>
  <c r="B444" i="5"/>
  <c r="D443" i="5"/>
  <c r="W25" i="6" s="1"/>
  <c r="B445" i="5" l="1"/>
  <c r="C444" i="5"/>
  <c r="E445" i="5"/>
  <c r="F444" i="5"/>
  <c r="F445" i="5" l="1"/>
  <c r="G444" i="5"/>
  <c r="E446" i="5"/>
  <c r="G445" i="5"/>
  <c r="C445" i="5"/>
  <c r="D444" i="5"/>
  <c r="B446" i="5"/>
  <c r="D445" i="5"/>
  <c r="B447" i="5" l="1"/>
  <c r="C446" i="5"/>
  <c r="E447" i="5"/>
  <c r="F446" i="5"/>
  <c r="F447" i="5" l="1"/>
  <c r="G446" i="5"/>
  <c r="E448" i="5"/>
  <c r="G447" i="5"/>
  <c r="C447" i="5"/>
  <c r="D446" i="5"/>
  <c r="B448" i="5"/>
  <c r="D447" i="5"/>
  <c r="B449" i="5" l="1"/>
  <c r="C448" i="5"/>
  <c r="E449" i="5"/>
  <c r="F448" i="5"/>
  <c r="F449" i="5" l="1"/>
  <c r="G448" i="5"/>
  <c r="E450" i="5"/>
  <c r="G449" i="5"/>
  <c r="C449" i="5"/>
  <c r="D448" i="5"/>
  <c r="B450" i="5"/>
  <c r="D449" i="5"/>
  <c r="B451" i="5" l="1"/>
  <c r="C450" i="5"/>
  <c r="E451" i="5"/>
  <c r="F450" i="5"/>
  <c r="F451" i="5" l="1"/>
  <c r="G450" i="5"/>
  <c r="E452" i="5"/>
  <c r="G451" i="5"/>
  <c r="C451" i="5"/>
  <c r="D450" i="5"/>
  <c r="B452" i="5"/>
  <c r="D451" i="5"/>
  <c r="B453" i="5" l="1"/>
  <c r="C452" i="5"/>
  <c r="E453" i="5"/>
  <c r="F452" i="5"/>
  <c r="F453" i="5" l="1"/>
  <c r="G452" i="5"/>
  <c r="E454" i="5"/>
  <c r="G453" i="5"/>
  <c r="C453" i="5"/>
  <c r="D452" i="5"/>
  <c r="B454" i="5"/>
  <c r="D453" i="5"/>
  <c r="B455" i="5" l="1"/>
  <c r="C454" i="5"/>
  <c r="E455" i="5"/>
  <c r="F454" i="5"/>
  <c r="F455" i="5" l="1"/>
  <c r="G454" i="5"/>
  <c r="E456" i="5"/>
  <c r="G455" i="5"/>
  <c r="C455" i="5"/>
  <c r="D454" i="5"/>
  <c r="B456" i="5"/>
  <c r="D455" i="5"/>
  <c r="B457" i="5" l="1"/>
  <c r="C456" i="5"/>
  <c r="E457" i="5"/>
  <c r="F456" i="5"/>
  <c r="F457" i="5" l="1"/>
  <c r="G456" i="5"/>
  <c r="E458" i="5"/>
  <c r="G457" i="5"/>
  <c r="C457" i="5"/>
  <c r="D456" i="5"/>
  <c r="B458" i="5"/>
  <c r="D457" i="5"/>
  <c r="B459" i="5" l="1"/>
  <c r="C458" i="5"/>
  <c r="E459" i="5"/>
  <c r="F458" i="5"/>
  <c r="F459" i="5" l="1"/>
  <c r="G458" i="5"/>
  <c r="E460" i="5"/>
  <c r="G459" i="5"/>
  <c r="C459" i="5"/>
  <c r="D458" i="5"/>
  <c r="B460" i="5"/>
  <c r="D459" i="5"/>
  <c r="B461" i="5" l="1"/>
  <c r="C460" i="5"/>
  <c r="E461" i="5"/>
  <c r="F460" i="5"/>
  <c r="F461" i="5" l="1"/>
  <c r="G460" i="5"/>
  <c r="E462" i="5"/>
  <c r="G461" i="5"/>
  <c r="C461" i="5"/>
  <c r="D460" i="5"/>
  <c r="B462" i="5"/>
  <c r="D461" i="5"/>
  <c r="U26" i="6" l="1"/>
  <c r="B463" i="5"/>
  <c r="C462" i="5"/>
  <c r="V26" i="6"/>
  <c r="E463" i="5"/>
  <c r="F462" i="5"/>
  <c r="F463" i="5" l="1"/>
  <c r="G462" i="5"/>
  <c r="E464" i="5"/>
  <c r="G463" i="5"/>
  <c r="C463" i="5"/>
  <c r="D462" i="5"/>
  <c r="B464" i="5"/>
  <c r="D463" i="5"/>
  <c r="B465" i="5" l="1"/>
  <c r="W26" i="6"/>
  <c r="C464" i="5"/>
  <c r="E465" i="5"/>
  <c r="X26" i="6"/>
  <c r="F464" i="5"/>
  <c r="F465" i="5" l="1"/>
  <c r="G464" i="5"/>
  <c r="E466" i="5"/>
  <c r="G465" i="5"/>
  <c r="C465" i="5"/>
  <c r="D464" i="5"/>
  <c r="B466" i="5"/>
  <c r="D465" i="5"/>
  <c r="B467" i="5" l="1"/>
  <c r="C466" i="5"/>
  <c r="E467" i="5"/>
  <c r="F466" i="5"/>
  <c r="F467" i="5" l="1"/>
  <c r="G466" i="5"/>
  <c r="E468" i="5"/>
  <c r="G467" i="5"/>
  <c r="C467" i="5"/>
  <c r="D466" i="5"/>
  <c r="B468" i="5"/>
  <c r="D467" i="5"/>
  <c r="B469" i="5" l="1"/>
  <c r="C468" i="5"/>
  <c r="E469" i="5"/>
  <c r="F468" i="5"/>
  <c r="F469" i="5" l="1"/>
  <c r="G468" i="5"/>
  <c r="E470" i="5"/>
  <c r="G469" i="5"/>
  <c r="C469" i="5"/>
  <c r="D468" i="5"/>
  <c r="B470" i="5"/>
  <c r="D469" i="5"/>
  <c r="B471" i="5" l="1"/>
  <c r="C470" i="5"/>
  <c r="E471" i="5"/>
  <c r="F470" i="5"/>
  <c r="F471" i="5" l="1"/>
  <c r="G470" i="5"/>
  <c r="E472" i="5"/>
  <c r="G471" i="5"/>
  <c r="C471" i="5"/>
  <c r="D470" i="5"/>
  <c r="B472" i="5"/>
  <c r="D471" i="5"/>
  <c r="B473" i="5" l="1"/>
  <c r="C472" i="5"/>
  <c r="E473" i="5"/>
  <c r="F472" i="5"/>
  <c r="F473" i="5" l="1"/>
  <c r="G472" i="5"/>
  <c r="E474" i="5"/>
  <c r="G473" i="5"/>
  <c r="C473" i="5"/>
  <c r="D472" i="5"/>
  <c r="B474" i="5"/>
  <c r="D473" i="5"/>
  <c r="B475" i="5" l="1"/>
  <c r="C474" i="5"/>
  <c r="E475" i="5"/>
  <c r="F474" i="5"/>
  <c r="F475" i="5" l="1"/>
  <c r="G474" i="5"/>
  <c r="E476" i="5"/>
  <c r="G475" i="5"/>
  <c r="C475" i="5"/>
  <c r="D474" i="5"/>
  <c r="B476" i="5"/>
  <c r="D475" i="5"/>
  <c r="B477" i="5" l="1"/>
  <c r="C476" i="5"/>
  <c r="E477" i="5"/>
  <c r="F476" i="5"/>
  <c r="F477" i="5" l="1"/>
  <c r="G476" i="5"/>
  <c r="E478" i="5"/>
  <c r="G477" i="5"/>
  <c r="C477" i="5"/>
  <c r="D476" i="5"/>
  <c r="B478" i="5"/>
  <c r="D477" i="5"/>
  <c r="B479" i="5" l="1"/>
  <c r="C478" i="5"/>
  <c r="E479" i="5"/>
  <c r="F478" i="5"/>
  <c r="F479" i="5" l="1"/>
  <c r="G478" i="5"/>
  <c r="E480" i="5"/>
  <c r="G479" i="5"/>
  <c r="C479" i="5"/>
  <c r="D478" i="5"/>
  <c r="B480" i="5"/>
  <c r="D479" i="5"/>
  <c r="B481" i="5" l="1"/>
  <c r="C480" i="5"/>
  <c r="E481" i="5"/>
  <c r="F480" i="5"/>
  <c r="F481" i="5" l="1"/>
  <c r="G480" i="5"/>
  <c r="E482" i="5"/>
  <c r="G481" i="5"/>
  <c r="C481" i="5"/>
  <c r="D480" i="5"/>
  <c r="B482" i="5"/>
  <c r="D481" i="5"/>
  <c r="U27" i="6" l="1"/>
  <c r="B483" i="5"/>
  <c r="C482" i="5"/>
  <c r="V27" i="6"/>
  <c r="E483" i="5"/>
  <c r="F482" i="5"/>
  <c r="F483" i="5" l="1"/>
  <c r="G482" i="5"/>
  <c r="E484" i="5"/>
  <c r="G483" i="5"/>
  <c r="C483" i="5"/>
  <c r="D482" i="5"/>
  <c r="B484" i="5"/>
  <c r="D483" i="5"/>
  <c r="B485" i="5" l="1"/>
  <c r="W27" i="6"/>
  <c r="C484" i="5"/>
  <c r="E485" i="5"/>
  <c r="X27" i="6"/>
  <c r="F484" i="5"/>
  <c r="F485" i="5" l="1"/>
  <c r="G484" i="5"/>
  <c r="E486" i="5"/>
  <c r="G485" i="5"/>
  <c r="C485" i="5"/>
  <c r="D484" i="5"/>
  <c r="B486" i="5"/>
  <c r="D485" i="5"/>
  <c r="B487" i="5" l="1"/>
  <c r="C486" i="5"/>
  <c r="E487" i="5"/>
  <c r="F486" i="5"/>
  <c r="F487" i="5" l="1"/>
  <c r="G486" i="5"/>
  <c r="E488" i="5"/>
  <c r="G487" i="5"/>
  <c r="C487" i="5"/>
  <c r="D486" i="5"/>
  <c r="B488" i="5"/>
  <c r="D487" i="5"/>
  <c r="B489" i="5" l="1"/>
  <c r="C488" i="5"/>
  <c r="E489" i="5"/>
  <c r="F488" i="5"/>
  <c r="F489" i="5" l="1"/>
  <c r="G488" i="5"/>
  <c r="E490" i="5"/>
  <c r="G489" i="5"/>
  <c r="C489" i="5"/>
  <c r="D488" i="5"/>
  <c r="B490" i="5"/>
  <c r="D489" i="5"/>
  <c r="B491" i="5" l="1"/>
  <c r="C490" i="5"/>
  <c r="E491" i="5"/>
  <c r="F490" i="5"/>
  <c r="F491" i="5" l="1"/>
  <c r="G490" i="5"/>
  <c r="E492" i="5"/>
  <c r="G491" i="5"/>
  <c r="C491" i="5"/>
  <c r="D490" i="5"/>
  <c r="B492" i="5"/>
  <c r="D491" i="5"/>
  <c r="B493" i="5" l="1"/>
  <c r="C492" i="5"/>
  <c r="E493" i="5"/>
  <c r="F492" i="5"/>
  <c r="F493" i="5" l="1"/>
  <c r="G492" i="5"/>
  <c r="E494" i="5"/>
  <c r="G493" i="5"/>
  <c r="C493" i="5"/>
  <c r="D492" i="5"/>
  <c r="B494" i="5"/>
  <c r="D493" i="5"/>
  <c r="B495" i="5" l="1"/>
  <c r="C494" i="5"/>
  <c r="E495" i="5"/>
  <c r="F494" i="5"/>
  <c r="F495" i="5" l="1"/>
  <c r="G494" i="5"/>
  <c r="E496" i="5"/>
  <c r="G495" i="5"/>
  <c r="C495" i="5"/>
  <c r="D494" i="5"/>
  <c r="B496" i="5"/>
  <c r="D495" i="5"/>
  <c r="B497" i="5" l="1"/>
  <c r="C496" i="5"/>
  <c r="E497" i="5"/>
  <c r="F496" i="5"/>
  <c r="F497" i="5" l="1"/>
  <c r="G496" i="5"/>
  <c r="E498" i="5"/>
  <c r="G497" i="5"/>
  <c r="C497" i="5"/>
  <c r="D496" i="5"/>
  <c r="B498" i="5"/>
  <c r="D497" i="5"/>
  <c r="B499" i="5" l="1"/>
  <c r="C498" i="5"/>
  <c r="E499" i="5"/>
  <c r="F498" i="5"/>
  <c r="F499" i="5" l="1"/>
  <c r="G498" i="5"/>
  <c r="E500" i="5"/>
  <c r="G499" i="5"/>
  <c r="C499" i="5"/>
  <c r="D498" i="5"/>
  <c r="B500" i="5"/>
  <c r="D499" i="5"/>
  <c r="B501" i="5" l="1"/>
  <c r="C500" i="5"/>
  <c r="E501" i="5"/>
  <c r="F500" i="5"/>
  <c r="F501" i="5" l="1"/>
  <c r="G500" i="5"/>
  <c r="V28" i="6"/>
  <c r="E502" i="5"/>
  <c r="G501" i="5"/>
  <c r="X28" i="6" s="1"/>
  <c r="C501" i="5"/>
  <c r="D500" i="5"/>
  <c r="U28" i="6"/>
  <c r="B502" i="5"/>
  <c r="D501" i="5"/>
  <c r="W28" i="6" s="1"/>
  <c r="B503" i="5" l="1"/>
  <c r="C502" i="5"/>
  <c r="E503" i="5"/>
  <c r="F502" i="5"/>
  <c r="F503" i="5" l="1"/>
  <c r="G502" i="5"/>
  <c r="E504" i="5"/>
  <c r="G503" i="5"/>
  <c r="C503" i="5"/>
  <c r="D502" i="5"/>
  <c r="B504" i="5"/>
  <c r="D503" i="5"/>
  <c r="B505" i="5" l="1"/>
  <c r="C504" i="5"/>
  <c r="E505" i="5"/>
  <c r="F504" i="5"/>
  <c r="F505" i="5" l="1"/>
  <c r="G504" i="5"/>
  <c r="E506" i="5"/>
  <c r="G505" i="5"/>
  <c r="C505" i="5"/>
  <c r="D504" i="5"/>
  <c r="B506" i="5"/>
  <c r="D505" i="5"/>
  <c r="B507" i="5" l="1"/>
  <c r="C506" i="5"/>
  <c r="E507" i="5"/>
  <c r="F506" i="5"/>
  <c r="F507" i="5" l="1"/>
  <c r="G506" i="5"/>
  <c r="E508" i="5"/>
  <c r="G507" i="5"/>
  <c r="C507" i="5"/>
  <c r="D506" i="5"/>
  <c r="B508" i="5"/>
  <c r="D507" i="5"/>
  <c r="B509" i="5" l="1"/>
  <c r="C508" i="5"/>
  <c r="E509" i="5"/>
  <c r="F508" i="5"/>
  <c r="F509" i="5" l="1"/>
  <c r="G508" i="5"/>
  <c r="E510" i="5"/>
  <c r="G509" i="5"/>
  <c r="C509" i="5"/>
  <c r="D508" i="5"/>
  <c r="B510" i="5"/>
  <c r="D509" i="5"/>
  <c r="B511" i="5" l="1"/>
  <c r="C510" i="5"/>
  <c r="E511" i="5"/>
  <c r="F510" i="5"/>
  <c r="F511" i="5" l="1"/>
  <c r="G510" i="5"/>
  <c r="E512" i="5"/>
  <c r="G511" i="5"/>
  <c r="C511" i="5"/>
  <c r="D510" i="5"/>
  <c r="B512" i="5"/>
  <c r="D511" i="5"/>
  <c r="B513" i="5" l="1"/>
  <c r="C512" i="5"/>
  <c r="E513" i="5"/>
  <c r="F512" i="5"/>
  <c r="F513" i="5" l="1"/>
  <c r="G512" i="5"/>
  <c r="E514" i="5"/>
  <c r="G513" i="5"/>
  <c r="C513" i="5"/>
  <c r="D512" i="5"/>
  <c r="B514" i="5"/>
  <c r="D513" i="5"/>
  <c r="B515" i="5" l="1"/>
  <c r="C514" i="5"/>
  <c r="E515" i="5"/>
  <c r="F514" i="5"/>
  <c r="F515" i="5" l="1"/>
  <c r="G514" i="5"/>
  <c r="E516" i="5"/>
  <c r="G515" i="5"/>
  <c r="C515" i="5"/>
  <c r="D514" i="5"/>
  <c r="B516" i="5"/>
  <c r="D515" i="5"/>
  <c r="B517" i="5" l="1"/>
  <c r="C516" i="5"/>
  <c r="E517" i="5"/>
  <c r="F516" i="5"/>
  <c r="F517" i="5" l="1"/>
  <c r="G516" i="5"/>
  <c r="E518" i="5"/>
  <c r="G517" i="5"/>
  <c r="C517" i="5"/>
  <c r="D516" i="5"/>
  <c r="B518" i="5"/>
  <c r="D517" i="5"/>
  <c r="B519" i="5" l="1"/>
  <c r="C518" i="5"/>
  <c r="E519" i="5"/>
  <c r="F518" i="5"/>
  <c r="F519" i="5" l="1"/>
  <c r="G518" i="5"/>
  <c r="E520" i="5"/>
  <c r="G519" i="5"/>
  <c r="C519" i="5"/>
  <c r="D518" i="5"/>
  <c r="B520" i="5"/>
  <c r="D519" i="5"/>
  <c r="B521" i="5" l="1"/>
  <c r="C520" i="5"/>
  <c r="E521" i="5"/>
  <c r="F520" i="5"/>
  <c r="F521" i="5" l="1"/>
  <c r="G520" i="5"/>
  <c r="V29" i="6"/>
  <c r="E522" i="5"/>
  <c r="G521" i="5"/>
  <c r="X29" i="6" s="1"/>
  <c r="C521" i="5"/>
  <c r="D520" i="5"/>
  <c r="U29" i="6"/>
  <c r="B522" i="5"/>
  <c r="D521" i="5"/>
  <c r="W29" i="6" s="1"/>
  <c r="B523" i="5" l="1"/>
  <c r="C522" i="5"/>
  <c r="E523" i="5"/>
  <c r="F522" i="5"/>
  <c r="F523" i="5" l="1"/>
  <c r="G522" i="5"/>
  <c r="E524" i="5"/>
  <c r="G523" i="5"/>
  <c r="C523" i="5"/>
  <c r="D522" i="5"/>
  <c r="B524" i="5"/>
  <c r="D523" i="5"/>
  <c r="B525" i="5" l="1"/>
  <c r="C524" i="5"/>
  <c r="E525" i="5"/>
  <c r="F524" i="5"/>
  <c r="F525" i="5" l="1"/>
  <c r="G524" i="5"/>
  <c r="E526" i="5"/>
  <c r="G525" i="5"/>
  <c r="C525" i="5"/>
  <c r="D524" i="5"/>
  <c r="B526" i="5"/>
  <c r="D525" i="5"/>
  <c r="B527" i="5" l="1"/>
  <c r="C526" i="5"/>
  <c r="E527" i="5"/>
  <c r="F526" i="5"/>
  <c r="F527" i="5" l="1"/>
  <c r="G526" i="5"/>
  <c r="E528" i="5"/>
  <c r="G527" i="5"/>
  <c r="C527" i="5"/>
  <c r="D526" i="5"/>
  <c r="B528" i="5"/>
  <c r="D527" i="5"/>
  <c r="B529" i="5" l="1"/>
  <c r="C528" i="5"/>
  <c r="E529" i="5"/>
  <c r="F528" i="5"/>
  <c r="F529" i="5" l="1"/>
  <c r="G528" i="5"/>
  <c r="E530" i="5"/>
  <c r="G529" i="5"/>
  <c r="C529" i="5"/>
  <c r="D528" i="5"/>
  <c r="B530" i="5"/>
  <c r="D529" i="5"/>
  <c r="B531" i="5" l="1"/>
  <c r="C530" i="5"/>
  <c r="E531" i="5"/>
  <c r="F530" i="5"/>
  <c r="F531" i="5" l="1"/>
  <c r="G530" i="5"/>
  <c r="E532" i="5"/>
  <c r="G531" i="5"/>
  <c r="C531" i="5"/>
  <c r="D530" i="5"/>
  <c r="B532" i="5"/>
  <c r="D531" i="5"/>
  <c r="B533" i="5" l="1"/>
  <c r="C532" i="5"/>
  <c r="E533" i="5"/>
  <c r="F532" i="5"/>
  <c r="F533" i="5" l="1"/>
  <c r="G532" i="5"/>
  <c r="E534" i="5"/>
  <c r="G533" i="5"/>
  <c r="C533" i="5"/>
  <c r="D532" i="5"/>
  <c r="B534" i="5"/>
  <c r="D533" i="5"/>
  <c r="B535" i="5" l="1"/>
  <c r="C534" i="5"/>
  <c r="E535" i="5"/>
  <c r="F534" i="5"/>
  <c r="F535" i="5" l="1"/>
  <c r="G534" i="5"/>
  <c r="E536" i="5"/>
  <c r="G535" i="5"/>
  <c r="C535" i="5"/>
  <c r="D534" i="5"/>
  <c r="B536" i="5"/>
  <c r="D535" i="5"/>
  <c r="B537" i="5" l="1"/>
  <c r="C536" i="5"/>
  <c r="E537" i="5"/>
  <c r="F536" i="5"/>
  <c r="F537" i="5" l="1"/>
  <c r="G536" i="5"/>
  <c r="E538" i="5"/>
  <c r="G537" i="5"/>
  <c r="C537" i="5"/>
  <c r="D536" i="5"/>
  <c r="B538" i="5"/>
  <c r="D537" i="5"/>
  <c r="B539" i="5" l="1"/>
  <c r="C538" i="5"/>
  <c r="E539" i="5"/>
  <c r="F538" i="5"/>
  <c r="F539" i="5" l="1"/>
  <c r="G538" i="5"/>
  <c r="E540" i="5"/>
  <c r="G539" i="5"/>
  <c r="C539" i="5"/>
  <c r="D538" i="5"/>
  <c r="B540" i="5"/>
  <c r="D539" i="5"/>
  <c r="U30" i="6" l="1"/>
  <c r="B541" i="5"/>
  <c r="C540" i="5"/>
  <c r="V30" i="6"/>
  <c r="E541" i="5"/>
  <c r="F540" i="5"/>
  <c r="F541" i="5" l="1"/>
  <c r="G540" i="5"/>
  <c r="E542" i="5"/>
  <c r="G541" i="5"/>
  <c r="C541" i="5"/>
  <c r="D540" i="5"/>
  <c r="B542" i="5"/>
  <c r="D541" i="5"/>
  <c r="B543" i="5" l="1"/>
  <c r="W30" i="6"/>
  <c r="C542" i="5"/>
  <c r="E543" i="5"/>
  <c r="X30" i="6"/>
  <c r="F542" i="5"/>
  <c r="F543" i="5" l="1"/>
  <c r="G542" i="5"/>
  <c r="E544" i="5"/>
  <c r="G543" i="5"/>
  <c r="C543" i="5"/>
  <c r="D542" i="5"/>
  <c r="B544" i="5"/>
  <c r="D543" i="5"/>
  <c r="B545" i="5" l="1"/>
  <c r="C544" i="5"/>
  <c r="E545" i="5"/>
  <c r="F544" i="5"/>
  <c r="F545" i="5" l="1"/>
  <c r="G544" i="5"/>
  <c r="E546" i="5"/>
  <c r="G545" i="5"/>
  <c r="C545" i="5"/>
  <c r="D544" i="5"/>
  <c r="B546" i="5"/>
  <c r="D545" i="5"/>
  <c r="B547" i="5" l="1"/>
  <c r="C546" i="5"/>
  <c r="E547" i="5"/>
  <c r="F546" i="5"/>
  <c r="F547" i="5" l="1"/>
  <c r="G546" i="5"/>
  <c r="E548" i="5"/>
  <c r="G547" i="5"/>
  <c r="C547" i="5"/>
  <c r="D546" i="5"/>
  <c r="B548" i="5"/>
  <c r="D547" i="5"/>
  <c r="B549" i="5" l="1"/>
  <c r="C548" i="5"/>
  <c r="E549" i="5"/>
  <c r="F548" i="5"/>
  <c r="F549" i="5" l="1"/>
  <c r="G548" i="5"/>
  <c r="E550" i="5"/>
  <c r="G549" i="5"/>
  <c r="C549" i="5"/>
  <c r="D548" i="5"/>
  <c r="B550" i="5"/>
  <c r="D549" i="5"/>
  <c r="B551" i="5" l="1"/>
  <c r="C550" i="5"/>
  <c r="E551" i="5"/>
  <c r="F550" i="5"/>
  <c r="F551" i="5" l="1"/>
  <c r="G550" i="5"/>
  <c r="E552" i="5"/>
  <c r="G551" i="5"/>
  <c r="C551" i="5"/>
  <c r="D550" i="5"/>
  <c r="B552" i="5"/>
  <c r="D551" i="5"/>
  <c r="B553" i="5" l="1"/>
  <c r="C552" i="5"/>
  <c r="E553" i="5"/>
  <c r="F552" i="5"/>
  <c r="F553" i="5" l="1"/>
  <c r="G552" i="5"/>
  <c r="E554" i="5"/>
  <c r="G553" i="5"/>
  <c r="C553" i="5"/>
  <c r="D552" i="5"/>
  <c r="B554" i="5"/>
  <c r="D553" i="5"/>
  <c r="B555" i="5" l="1"/>
  <c r="C554" i="5"/>
  <c r="E555" i="5"/>
  <c r="F554" i="5"/>
  <c r="F555" i="5" l="1"/>
  <c r="G554" i="5"/>
  <c r="E556" i="5"/>
  <c r="G555" i="5"/>
  <c r="C555" i="5"/>
  <c r="D554" i="5"/>
  <c r="B556" i="5"/>
  <c r="D555" i="5"/>
  <c r="B557" i="5" l="1"/>
  <c r="C556" i="5"/>
  <c r="E557" i="5"/>
  <c r="F556" i="5"/>
  <c r="F557" i="5" l="1"/>
  <c r="G556" i="5"/>
  <c r="E558" i="5"/>
  <c r="G557" i="5"/>
  <c r="C557" i="5"/>
  <c r="D556" i="5"/>
  <c r="B558" i="5"/>
  <c r="D557" i="5"/>
  <c r="B559" i="5" l="1"/>
  <c r="C558" i="5"/>
  <c r="E559" i="5"/>
  <c r="F558" i="5"/>
  <c r="F559" i="5" l="1"/>
  <c r="G558" i="5"/>
  <c r="E560" i="5"/>
  <c r="G559" i="5"/>
  <c r="C559" i="5"/>
  <c r="D558" i="5"/>
  <c r="B560" i="5"/>
  <c r="D559" i="5"/>
  <c r="U31" i="6" l="1"/>
  <c r="B561" i="5"/>
  <c r="C560" i="5"/>
  <c r="V31" i="6"/>
  <c r="E561" i="5"/>
  <c r="F560" i="5"/>
  <c r="F561" i="5" l="1"/>
  <c r="G560" i="5"/>
  <c r="E562" i="5"/>
  <c r="G561" i="5"/>
  <c r="C561" i="5"/>
  <c r="D560" i="5"/>
  <c r="B562" i="5"/>
  <c r="D561" i="5"/>
  <c r="B563" i="5" l="1"/>
  <c r="W31" i="6"/>
  <c r="C562" i="5"/>
  <c r="E563" i="5"/>
  <c r="X31" i="6"/>
  <c r="F562" i="5"/>
  <c r="F563" i="5" l="1"/>
  <c r="G562" i="5"/>
  <c r="E564" i="5"/>
  <c r="G563" i="5"/>
  <c r="C563" i="5"/>
  <c r="D562" i="5"/>
  <c r="B564" i="5"/>
  <c r="D563" i="5"/>
  <c r="B565" i="5" l="1"/>
  <c r="C564" i="5"/>
  <c r="E565" i="5"/>
  <c r="F564" i="5"/>
  <c r="F565" i="5" l="1"/>
  <c r="G564" i="5"/>
  <c r="E566" i="5"/>
  <c r="G565" i="5"/>
  <c r="C565" i="5"/>
  <c r="D564" i="5"/>
  <c r="B566" i="5"/>
  <c r="D565" i="5"/>
  <c r="B567" i="5" l="1"/>
  <c r="C566" i="5"/>
  <c r="E567" i="5"/>
  <c r="F566" i="5"/>
  <c r="F567" i="5" l="1"/>
  <c r="G566" i="5"/>
  <c r="E568" i="5"/>
  <c r="G567" i="5"/>
  <c r="C567" i="5"/>
  <c r="D566" i="5"/>
  <c r="B568" i="5"/>
  <c r="D567" i="5"/>
  <c r="B569" i="5" l="1"/>
  <c r="C568" i="5"/>
  <c r="E569" i="5"/>
  <c r="F568" i="5"/>
  <c r="F569" i="5" l="1"/>
  <c r="G568" i="5"/>
  <c r="E570" i="5"/>
  <c r="G569" i="5"/>
  <c r="C569" i="5"/>
  <c r="D568" i="5"/>
  <c r="B570" i="5"/>
  <c r="D569" i="5"/>
  <c r="B571" i="5" l="1"/>
  <c r="C570" i="5"/>
  <c r="E571" i="5"/>
  <c r="F570" i="5"/>
  <c r="F571" i="5" l="1"/>
  <c r="G570" i="5"/>
  <c r="E572" i="5"/>
  <c r="G571" i="5"/>
  <c r="C571" i="5"/>
  <c r="D570" i="5"/>
  <c r="B572" i="5"/>
  <c r="D571" i="5"/>
  <c r="B573" i="5" l="1"/>
  <c r="C572" i="5"/>
  <c r="E573" i="5"/>
  <c r="F572" i="5"/>
  <c r="F573" i="5" l="1"/>
  <c r="G572" i="5"/>
  <c r="E574" i="5"/>
  <c r="G573" i="5"/>
  <c r="C573" i="5"/>
  <c r="D572" i="5"/>
  <c r="B574" i="5"/>
  <c r="D573" i="5"/>
  <c r="B575" i="5" l="1"/>
  <c r="C574" i="5"/>
  <c r="E575" i="5"/>
  <c r="F574" i="5"/>
  <c r="F575" i="5" l="1"/>
  <c r="G574" i="5"/>
  <c r="E576" i="5"/>
  <c r="G575" i="5"/>
  <c r="C575" i="5"/>
  <c r="D574" i="5"/>
  <c r="B576" i="5"/>
  <c r="D575" i="5"/>
  <c r="B577" i="5" l="1"/>
  <c r="C576" i="5"/>
  <c r="E577" i="5"/>
  <c r="F576" i="5"/>
  <c r="F577" i="5" l="1"/>
  <c r="G576" i="5"/>
  <c r="E578" i="5"/>
  <c r="G577" i="5"/>
  <c r="C577" i="5"/>
  <c r="D576" i="5"/>
  <c r="B578" i="5"/>
  <c r="D577" i="5"/>
  <c r="B579" i="5" l="1"/>
  <c r="C578" i="5"/>
  <c r="E579" i="5"/>
  <c r="F578" i="5"/>
  <c r="F579" i="5" l="1"/>
  <c r="G578" i="5"/>
  <c r="V32" i="6"/>
  <c r="E580" i="5"/>
  <c r="G579" i="5"/>
  <c r="X32" i="6" s="1"/>
  <c r="C579" i="5"/>
  <c r="D578" i="5"/>
  <c r="U32" i="6"/>
  <c r="B580" i="5"/>
  <c r="D579" i="5"/>
  <c r="W32" i="6" s="1"/>
  <c r="B581" i="5" l="1"/>
  <c r="C580" i="5"/>
  <c r="E581" i="5"/>
  <c r="F580" i="5"/>
  <c r="F581" i="5" l="1"/>
  <c r="G580" i="5"/>
  <c r="E582" i="5"/>
  <c r="G581" i="5"/>
  <c r="C581" i="5"/>
  <c r="D580" i="5"/>
  <c r="B582" i="5"/>
  <c r="D581" i="5"/>
  <c r="B583" i="5" l="1"/>
  <c r="C582" i="5"/>
  <c r="E583" i="5"/>
  <c r="F582" i="5"/>
  <c r="F583" i="5" l="1"/>
  <c r="G582" i="5"/>
  <c r="E584" i="5"/>
  <c r="G583" i="5"/>
  <c r="C583" i="5"/>
  <c r="D582" i="5"/>
  <c r="B584" i="5"/>
  <c r="D583" i="5"/>
  <c r="B585" i="5" l="1"/>
  <c r="C584" i="5"/>
  <c r="E585" i="5"/>
  <c r="F584" i="5"/>
  <c r="F585" i="5" l="1"/>
  <c r="G584" i="5"/>
  <c r="E586" i="5"/>
  <c r="G585" i="5"/>
  <c r="C585" i="5"/>
  <c r="D584" i="5"/>
  <c r="B586" i="5"/>
  <c r="D585" i="5"/>
  <c r="B587" i="5" l="1"/>
  <c r="C586" i="5"/>
  <c r="E587" i="5"/>
  <c r="F586" i="5"/>
  <c r="F587" i="5" l="1"/>
  <c r="G586" i="5"/>
  <c r="E588" i="5"/>
  <c r="G587" i="5"/>
  <c r="C587" i="5"/>
  <c r="D586" i="5"/>
  <c r="B588" i="5"/>
  <c r="D587" i="5"/>
  <c r="B589" i="5" l="1"/>
  <c r="C588" i="5"/>
  <c r="E589" i="5"/>
  <c r="F588" i="5"/>
  <c r="F589" i="5" l="1"/>
  <c r="G588" i="5"/>
  <c r="E590" i="5"/>
  <c r="G589" i="5"/>
  <c r="C589" i="5"/>
  <c r="D588" i="5"/>
  <c r="B590" i="5"/>
  <c r="D589" i="5"/>
  <c r="B591" i="5" l="1"/>
  <c r="C590" i="5"/>
  <c r="E591" i="5"/>
  <c r="F590" i="5"/>
  <c r="F591" i="5" l="1"/>
  <c r="G590" i="5"/>
  <c r="E592" i="5"/>
  <c r="G591" i="5"/>
  <c r="C591" i="5"/>
  <c r="D590" i="5"/>
  <c r="B592" i="5"/>
  <c r="D591" i="5"/>
  <c r="B593" i="5" l="1"/>
  <c r="C592" i="5"/>
  <c r="E593" i="5"/>
  <c r="F592" i="5"/>
  <c r="F593" i="5" l="1"/>
  <c r="G592" i="5"/>
  <c r="E594" i="5"/>
  <c r="G593" i="5"/>
  <c r="C593" i="5"/>
  <c r="D592" i="5"/>
  <c r="B594" i="5"/>
  <c r="D593" i="5"/>
  <c r="B595" i="5" l="1"/>
  <c r="C594" i="5"/>
  <c r="E595" i="5"/>
  <c r="F594" i="5"/>
  <c r="F595" i="5" l="1"/>
  <c r="G594" i="5"/>
  <c r="E596" i="5"/>
  <c r="G595" i="5"/>
  <c r="C595" i="5"/>
  <c r="D594" i="5"/>
  <c r="B596" i="5"/>
  <c r="D595" i="5"/>
  <c r="B597" i="5" l="1"/>
  <c r="C596" i="5"/>
  <c r="E597" i="5"/>
  <c r="F596" i="5"/>
  <c r="F597" i="5" l="1"/>
  <c r="G596" i="5"/>
  <c r="E598" i="5"/>
  <c r="G597" i="5"/>
  <c r="C597" i="5"/>
  <c r="D596" i="5"/>
  <c r="B598" i="5"/>
  <c r="D597" i="5"/>
  <c r="U33" i="6" l="1"/>
  <c r="B599" i="5"/>
  <c r="C598" i="5"/>
  <c r="V33" i="6"/>
  <c r="E599" i="5"/>
  <c r="F598" i="5"/>
  <c r="F599" i="5" l="1"/>
  <c r="G598" i="5"/>
  <c r="E600" i="5"/>
  <c r="G599" i="5"/>
  <c r="C599" i="5"/>
  <c r="D598" i="5"/>
  <c r="B600" i="5"/>
  <c r="D599" i="5"/>
  <c r="B601" i="5" l="1"/>
  <c r="W33" i="6"/>
  <c r="C600" i="5"/>
  <c r="E601" i="5"/>
  <c r="X33" i="6"/>
  <c r="F600" i="5"/>
  <c r="F601" i="5" l="1"/>
  <c r="G600" i="5"/>
  <c r="E602" i="5"/>
  <c r="G601" i="5"/>
  <c r="C601" i="5"/>
  <c r="D600" i="5"/>
  <c r="B602" i="5"/>
  <c r="D601" i="5"/>
  <c r="B603" i="5" l="1"/>
  <c r="C602" i="5"/>
  <c r="E603" i="5"/>
  <c r="F602" i="5"/>
  <c r="F603" i="5" l="1"/>
  <c r="G602" i="5"/>
  <c r="E604" i="5"/>
  <c r="G603" i="5"/>
  <c r="C603" i="5"/>
  <c r="D602" i="5"/>
  <c r="B604" i="5"/>
  <c r="D603" i="5"/>
  <c r="B605" i="5" l="1"/>
  <c r="C604" i="5"/>
  <c r="E605" i="5"/>
  <c r="F604" i="5"/>
  <c r="F605" i="5" l="1"/>
  <c r="G604" i="5"/>
  <c r="E606" i="5"/>
  <c r="G605" i="5"/>
  <c r="C605" i="5"/>
  <c r="D604" i="5"/>
  <c r="B606" i="5"/>
  <c r="D605" i="5"/>
  <c r="B607" i="5" l="1"/>
  <c r="C606" i="5"/>
  <c r="E607" i="5"/>
  <c r="F606" i="5"/>
  <c r="F607" i="5" l="1"/>
  <c r="G606" i="5"/>
  <c r="E608" i="5"/>
  <c r="G607" i="5"/>
  <c r="C607" i="5"/>
  <c r="D606" i="5"/>
  <c r="B608" i="5"/>
  <c r="D607" i="5"/>
  <c r="B609" i="5" l="1"/>
  <c r="C608" i="5"/>
  <c r="E609" i="5"/>
  <c r="F608" i="5"/>
  <c r="F609" i="5" l="1"/>
  <c r="G608" i="5"/>
  <c r="E610" i="5"/>
  <c r="G609" i="5"/>
  <c r="C609" i="5"/>
  <c r="D608" i="5"/>
  <c r="B610" i="5"/>
  <c r="D609" i="5"/>
  <c r="B611" i="5" l="1"/>
  <c r="C610" i="5"/>
  <c r="E611" i="5"/>
  <c r="F610" i="5"/>
  <c r="F611" i="5" l="1"/>
  <c r="G610" i="5"/>
  <c r="E612" i="5"/>
  <c r="G611" i="5"/>
  <c r="C611" i="5"/>
  <c r="D610" i="5"/>
  <c r="B612" i="5"/>
  <c r="D611" i="5"/>
  <c r="B613" i="5" l="1"/>
  <c r="C612" i="5"/>
  <c r="E613" i="5"/>
  <c r="F612" i="5"/>
  <c r="F613" i="5" l="1"/>
  <c r="G612" i="5"/>
  <c r="E614" i="5"/>
  <c r="G613" i="5"/>
  <c r="C613" i="5"/>
  <c r="D612" i="5"/>
  <c r="B614" i="5"/>
  <c r="D613" i="5"/>
  <c r="B615" i="5" l="1"/>
  <c r="C614" i="5"/>
  <c r="E615" i="5"/>
  <c r="F614" i="5"/>
  <c r="F615" i="5" l="1"/>
  <c r="G614" i="5"/>
  <c r="E616" i="5"/>
  <c r="G615" i="5"/>
  <c r="C615" i="5"/>
  <c r="D614" i="5"/>
  <c r="B616" i="5"/>
  <c r="D615" i="5"/>
  <c r="B617" i="5" l="1"/>
  <c r="C616" i="5"/>
  <c r="E617" i="5"/>
  <c r="F616" i="5"/>
  <c r="F617" i="5" l="1"/>
  <c r="G616" i="5"/>
  <c r="E618" i="5"/>
  <c r="G617" i="5"/>
  <c r="C617" i="5"/>
  <c r="D616" i="5"/>
  <c r="B618" i="5"/>
  <c r="D617" i="5"/>
  <c r="U34" i="6" l="1"/>
  <c r="B619" i="5"/>
  <c r="C618" i="5"/>
  <c r="V34" i="6"/>
  <c r="E619" i="5"/>
  <c r="F618" i="5"/>
  <c r="F619" i="5" l="1"/>
  <c r="G618" i="5"/>
  <c r="E620" i="5"/>
  <c r="G619" i="5"/>
  <c r="C619" i="5"/>
  <c r="D618" i="5"/>
  <c r="B620" i="5"/>
  <c r="D619" i="5"/>
  <c r="B621" i="5" l="1"/>
  <c r="W34" i="6"/>
  <c r="C620" i="5"/>
  <c r="E621" i="5"/>
  <c r="X34" i="6"/>
  <c r="F620" i="5"/>
  <c r="F621" i="5" l="1"/>
  <c r="G620" i="5"/>
  <c r="E622" i="5"/>
  <c r="G621" i="5"/>
  <c r="C621" i="5"/>
  <c r="D620" i="5"/>
  <c r="B622" i="5"/>
  <c r="D621" i="5"/>
  <c r="B623" i="5" l="1"/>
  <c r="C622" i="5"/>
  <c r="E623" i="5"/>
  <c r="F622" i="5"/>
  <c r="F623" i="5" l="1"/>
  <c r="G622" i="5"/>
  <c r="E624" i="5"/>
  <c r="G623" i="5"/>
  <c r="C623" i="5"/>
  <c r="D622" i="5"/>
  <c r="B624" i="5"/>
  <c r="D623" i="5"/>
  <c r="B625" i="5" l="1"/>
  <c r="C624" i="5"/>
  <c r="E625" i="5"/>
  <c r="F624" i="5"/>
  <c r="F625" i="5" l="1"/>
  <c r="G624" i="5"/>
  <c r="E626" i="5"/>
  <c r="G625" i="5"/>
  <c r="C625" i="5"/>
  <c r="D624" i="5"/>
  <c r="B626" i="5"/>
  <c r="D625" i="5"/>
  <c r="B627" i="5" l="1"/>
  <c r="C626" i="5"/>
  <c r="E627" i="5"/>
  <c r="F626" i="5"/>
  <c r="F627" i="5" l="1"/>
  <c r="G626" i="5"/>
  <c r="E628" i="5"/>
  <c r="G627" i="5"/>
  <c r="C627" i="5"/>
  <c r="D626" i="5"/>
  <c r="B628" i="5"/>
  <c r="D627" i="5"/>
  <c r="B629" i="5" l="1"/>
  <c r="C628" i="5"/>
  <c r="E629" i="5"/>
  <c r="F628" i="5"/>
  <c r="F629" i="5" l="1"/>
  <c r="G628" i="5"/>
  <c r="E630" i="5"/>
  <c r="G629" i="5"/>
  <c r="C629" i="5"/>
  <c r="D628" i="5"/>
  <c r="B630" i="5"/>
  <c r="D629" i="5"/>
  <c r="B631" i="5" l="1"/>
  <c r="C630" i="5"/>
  <c r="E631" i="5"/>
  <c r="F630" i="5"/>
  <c r="F631" i="5" l="1"/>
  <c r="G630" i="5"/>
  <c r="E632" i="5"/>
  <c r="G631" i="5"/>
  <c r="C631" i="5"/>
  <c r="D630" i="5"/>
  <c r="B632" i="5"/>
  <c r="D631" i="5"/>
  <c r="B633" i="5" l="1"/>
  <c r="C632" i="5"/>
  <c r="E633" i="5"/>
  <c r="F632" i="5"/>
  <c r="F633" i="5" l="1"/>
  <c r="G632" i="5"/>
  <c r="E634" i="5"/>
  <c r="G633" i="5"/>
  <c r="C633" i="5"/>
  <c r="D632" i="5"/>
  <c r="B634" i="5"/>
  <c r="D633" i="5"/>
  <c r="B635" i="5" l="1"/>
  <c r="C634" i="5"/>
  <c r="E635" i="5"/>
  <c r="F634" i="5"/>
  <c r="F635" i="5" l="1"/>
  <c r="G634" i="5"/>
  <c r="E636" i="5"/>
  <c r="G635" i="5"/>
  <c r="C635" i="5"/>
  <c r="D634" i="5"/>
  <c r="B636" i="5"/>
  <c r="D635" i="5"/>
  <c r="B637" i="5" l="1"/>
  <c r="C636" i="5"/>
  <c r="E637" i="5"/>
  <c r="F636" i="5"/>
  <c r="F637" i="5" l="1"/>
  <c r="G636" i="5"/>
  <c r="V35" i="6"/>
  <c r="E638" i="5"/>
  <c r="G637" i="5"/>
  <c r="X35" i="6" s="1"/>
  <c r="C637" i="5"/>
  <c r="D636" i="5"/>
  <c r="U35" i="6"/>
  <c r="B638" i="5"/>
  <c r="D637" i="5"/>
  <c r="W35" i="6" s="1"/>
  <c r="B639" i="5" l="1"/>
  <c r="C638" i="5"/>
  <c r="E639" i="5"/>
  <c r="F638" i="5"/>
  <c r="F639" i="5" l="1"/>
  <c r="G638" i="5"/>
  <c r="E640" i="5"/>
  <c r="G639" i="5"/>
  <c r="C639" i="5"/>
  <c r="D638" i="5"/>
  <c r="B640" i="5"/>
  <c r="D639" i="5"/>
  <c r="B641" i="5" l="1"/>
  <c r="C640" i="5"/>
  <c r="E641" i="5"/>
  <c r="F640" i="5"/>
  <c r="F641" i="5" l="1"/>
  <c r="G640" i="5"/>
  <c r="E642" i="5"/>
  <c r="G641" i="5"/>
  <c r="C641" i="5"/>
  <c r="D640" i="5"/>
  <c r="B642" i="5"/>
  <c r="D641" i="5"/>
  <c r="B643" i="5" l="1"/>
  <c r="C642" i="5"/>
  <c r="E643" i="5"/>
  <c r="F642" i="5"/>
  <c r="F643" i="5" l="1"/>
  <c r="G642" i="5"/>
  <c r="E644" i="5"/>
  <c r="G643" i="5"/>
  <c r="C643" i="5"/>
  <c r="D642" i="5"/>
  <c r="B644" i="5"/>
  <c r="D643" i="5"/>
  <c r="B645" i="5" l="1"/>
  <c r="C644" i="5"/>
  <c r="E645" i="5"/>
  <c r="F644" i="5"/>
  <c r="F645" i="5" l="1"/>
  <c r="G644" i="5"/>
  <c r="E646" i="5"/>
  <c r="G645" i="5"/>
  <c r="C645" i="5"/>
  <c r="D644" i="5"/>
  <c r="B646" i="5"/>
  <c r="D645" i="5"/>
  <c r="B647" i="5" l="1"/>
  <c r="C646" i="5"/>
  <c r="E647" i="5"/>
  <c r="F646" i="5"/>
  <c r="F647" i="5" l="1"/>
  <c r="G646" i="5"/>
  <c r="E648" i="5"/>
  <c r="G647" i="5"/>
  <c r="C647" i="5"/>
  <c r="D646" i="5"/>
  <c r="B648" i="5"/>
  <c r="D647" i="5"/>
  <c r="B649" i="5" l="1"/>
  <c r="C648" i="5"/>
  <c r="E649" i="5"/>
  <c r="F648" i="5"/>
  <c r="F649" i="5" l="1"/>
  <c r="G648" i="5"/>
  <c r="E650" i="5"/>
  <c r="G649" i="5"/>
  <c r="C649" i="5"/>
  <c r="D648" i="5"/>
  <c r="B650" i="5"/>
  <c r="D649" i="5"/>
  <c r="B651" i="5" l="1"/>
  <c r="C650" i="5"/>
  <c r="E651" i="5"/>
  <c r="F650" i="5"/>
  <c r="F651" i="5" l="1"/>
  <c r="G650" i="5"/>
  <c r="E652" i="5"/>
  <c r="G651" i="5"/>
  <c r="C651" i="5"/>
  <c r="D650" i="5"/>
  <c r="B652" i="5"/>
  <c r="D651" i="5"/>
  <c r="B653" i="5" l="1"/>
  <c r="C652" i="5"/>
  <c r="E653" i="5"/>
  <c r="F652" i="5"/>
  <c r="F653" i="5" l="1"/>
  <c r="G652" i="5"/>
  <c r="E654" i="5"/>
  <c r="G653" i="5"/>
  <c r="C653" i="5"/>
  <c r="D652" i="5"/>
  <c r="B654" i="5"/>
  <c r="D653" i="5"/>
  <c r="B655" i="5" l="1"/>
  <c r="C654" i="5"/>
  <c r="E655" i="5"/>
  <c r="F654" i="5"/>
  <c r="F655" i="5" l="1"/>
  <c r="G654" i="5"/>
  <c r="E656" i="5"/>
  <c r="G655" i="5"/>
  <c r="C655" i="5"/>
  <c r="D654" i="5"/>
  <c r="B656" i="5"/>
  <c r="D655" i="5"/>
  <c r="B657" i="5" l="1"/>
  <c r="C656" i="5"/>
  <c r="E657" i="5"/>
  <c r="F656" i="5"/>
  <c r="F657" i="5" l="1"/>
  <c r="G656" i="5"/>
  <c r="V36" i="6"/>
  <c r="E658" i="5"/>
  <c r="G657" i="5"/>
  <c r="X36" i="6" s="1"/>
  <c r="C657" i="5"/>
  <c r="D656" i="5"/>
  <c r="U36" i="6"/>
  <c r="B658" i="5"/>
  <c r="D657" i="5"/>
  <c r="W36" i="6" s="1"/>
  <c r="B659" i="5" l="1"/>
  <c r="C658" i="5"/>
  <c r="E659" i="5"/>
  <c r="F658" i="5"/>
  <c r="F659" i="5" l="1"/>
  <c r="G658" i="5"/>
  <c r="E660" i="5"/>
  <c r="G659" i="5"/>
  <c r="C659" i="5"/>
  <c r="D658" i="5"/>
  <c r="B660" i="5"/>
  <c r="D659" i="5"/>
  <c r="B661" i="5" l="1"/>
  <c r="C660" i="5"/>
  <c r="E661" i="5"/>
  <c r="F660" i="5"/>
  <c r="F661" i="5" l="1"/>
  <c r="G660" i="5"/>
  <c r="E662" i="5"/>
  <c r="G661" i="5"/>
  <c r="C661" i="5"/>
  <c r="D660" i="5"/>
  <c r="B662" i="5"/>
  <c r="D661" i="5"/>
  <c r="B663" i="5" l="1"/>
  <c r="C662" i="5"/>
  <c r="E663" i="5"/>
  <c r="F662" i="5"/>
  <c r="F663" i="5" l="1"/>
  <c r="G662" i="5"/>
  <c r="E664" i="5"/>
  <c r="G663" i="5"/>
  <c r="C663" i="5"/>
  <c r="D662" i="5"/>
  <c r="B664" i="5"/>
  <c r="D663" i="5"/>
  <c r="B665" i="5" l="1"/>
  <c r="C664" i="5"/>
  <c r="E665" i="5"/>
  <c r="F664" i="5"/>
  <c r="F665" i="5" l="1"/>
  <c r="G664" i="5"/>
  <c r="E666" i="5"/>
  <c r="G665" i="5"/>
  <c r="C665" i="5"/>
  <c r="D664" i="5"/>
  <c r="B666" i="5"/>
  <c r="D665" i="5"/>
  <c r="B667" i="5" l="1"/>
  <c r="C666" i="5"/>
  <c r="E667" i="5"/>
  <c r="F666" i="5"/>
  <c r="F667" i="5" l="1"/>
  <c r="G666" i="5"/>
  <c r="E668" i="5"/>
  <c r="G667" i="5"/>
  <c r="C667" i="5"/>
  <c r="D666" i="5"/>
  <c r="B668" i="5"/>
  <c r="D667" i="5"/>
  <c r="B669" i="5" l="1"/>
  <c r="C668" i="5"/>
  <c r="E669" i="5"/>
  <c r="F668" i="5"/>
  <c r="F669" i="5" l="1"/>
  <c r="G668" i="5"/>
  <c r="E670" i="5"/>
  <c r="G669" i="5"/>
  <c r="C669" i="5"/>
  <c r="D668" i="5"/>
  <c r="B670" i="5"/>
  <c r="D669" i="5"/>
  <c r="B671" i="5" l="1"/>
  <c r="C670" i="5"/>
  <c r="E671" i="5"/>
  <c r="F670" i="5"/>
  <c r="F671" i="5" l="1"/>
  <c r="G670" i="5"/>
  <c r="E672" i="5"/>
  <c r="G671" i="5"/>
  <c r="C671" i="5"/>
  <c r="D670" i="5"/>
  <c r="B672" i="5"/>
  <c r="D671" i="5"/>
  <c r="B673" i="5" l="1"/>
  <c r="C672" i="5"/>
  <c r="E673" i="5"/>
  <c r="F672" i="5"/>
  <c r="F673" i="5" l="1"/>
  <c r="G672" i="5"/>
  <c r="E674" i="5"/>
  <c r="G673" i="5"/>
  <c r="C673" i="5"/>
  <c r="D672" i="5"/>
  <c r="B674" i="5"/>
  <c r="D673" i="5"/>
  <c r="B675" i="5" l="1"/>
  <c r="C674" i="5"/>
  <c r="E675" i="5"/>
  <c r="F674" i="5"/>
  <c r="F675" i="5" l="1"/>
  <c r="G674" i="5"/>
  <c r="E676" i="5"/>
  <c r="G675" i="5"/>
  <c r="C675" i="5"/>
  <c r="D674" i="5"/>
  <c r="B676" i="5"/>
  <c r="D675" i="5"/>
  <c r="U37" i="6" l="1"/>
  <c r="B677" i="5"/>
  <c r="C676" i="5"/>
  <c r="V37" i="6"/>
  <c r="E677" i="5"/>
  <c r="F676" i="5"/>
  <c r="F677" i="5" l="1"/>
  <c r="G676" i="5"/>
  <c r="E678" i="5"/>
  <c r="G677" i="5"/>
  <c r="C677" i="5"/>
  <c r="D676" i="5"/>
  <c r="B678" i="5"/>
  <c r="D677" i="5"/>
  <c r="B679" i="5" l="1"/>
  <c r="W37" i="6"/>
  <c r="C678" i="5"/>
  <c r="E679" i="5"/>
  <c r="X37" i="6"/>
  <c r="F678" i="5"/>
  <c r="F679" i="5" l="1"/>
  <c r="G678" i="5"/>
  <c r="E680" i="5"/>
  <c r="G679" i="5"/>
  <c r="C679" i="5"/>
  <c r="D678" i="5"/>
  <c r="B680" i="5"/>
  <c r="D679" i="5"/>
  <c r="B681" i="5" l="1"/>
  <c r="C680" i="5"/>
  <c r="E681" i="5"/>
  <c r="F680" i="5"/>
  <c r="F681" i="5" l="1"/>
  <c r="G680" i="5"/>
  <c r="E682" i="5"/>
  <c r="G681" i="5"/>
  <c r="C681" i="5"/>
  <c r="D680" i="5"/>
  <c r="B682" i="5"/>
  <c r="D681" i="5"/>
  <c r="B683" i="5" l="1"/>
  <c r="C682" i="5"/>
  <c r="E683" i="5"/>
  <c r="F682" i="5"/>
  <c r="F683" i="5" l="1"/>
  <c r="G682" i="5"/>
  <c r="E684" i="5"/>
  <c r="G683" i="5"/>
  <c r="C683" i="5"/>
  <c r="D682" i="5"/>
  <c r="B684" i="5"/>
  <c r="D683" i="5"/>
  <c r="B685" i="5" l="1"/>
  <c r="C684" i="5"/>
  <c r="E685" i="5"/>
  <c r="F684" i="5"/>
  <c r="F685" i="5" l="1"/>
  <c r="G684" i="5"/>
  <c r="E686" i="5"/>
  <c r="G685" i="5"/>
  <c r="C685" i="5"/>
  <c r="D684" i="5"/>
  <c r="B686" i="5"/>
  <c r="D685" i="5"/>
  <c r="B687" i="5" l="1"/>
  <c r="C686" i="5"/>
  <c r="E687" i="5"/>
  <c r="F686" i="5"/>
  <c r="F687" i="5" l="1"/>
  <c r="G686" i="5"/>
  <c r="E688" i="5"/>
  <c r="G687" i="5"/>
  <c r="C687" i="5"/>
  <c r="D686" i="5"/>
  <c r="B688" i="5"/>
  <c r="D687" i="5"/>
  <c r="B689" i="5" l="1"/>
  <c r="C688" i="5"/>
  <c r="E689" i="5"/>
  <c r="F688" i="5"/>
  <c r="F689" i="5" l="1"/>
  <c r="G688" i="5"/>
  <c r="E690" i="5"/>
  <c r="G689" i="5"/>
  <c r="C689" i="5"/>
  <c r="D688" i="5"/>
  <c r="B690" i="5"/>
  <c r="D689" i="5"/>
  <c r="B691" i="5" l="1"/>
  <c r="C690" i="5"/>
  <c r="E691" i="5"/>
  <c r="F690" i="5"/>
  <c r="F691" i="5" l="1"/>
  <c r="G690" i="5"/>
  <c r="E692" i="5"/>
  <c r="G691" i="5"/>
  <c r="C691" i="5"/>
  <c r="D690" i="5"/>
  <c r="B692" i="5"/>
  <c r="D691" i="5"/>
  <c r="B693" i="5" l="1"/>
  <c r="C692" i="5"/>
  <c r="E693" i="5"/>
  <c r="F692" i="5"/>
  <c r="F693" i="5" l="1"/>
  <c r="G692" i="5"/>
  <c r="E694" i="5"/>
  <c r="G693" i="5"/>
  <c r="C693" i="5"/>
  <c r="D692" i="5"/>
  <c r="B694" i="5"/>
  <c r="D693" i="5"/>
  <c r="B695" i="5" l="1"/>
  <c r="C694" i="5"/>
  <c r="E695" i="5"/>
  <c r="F694" i="5"/>
  <c r="F695" i="5" l="1"/>
  <c r="G694" i="5"/>
  <c r="E696" i="5"/>
  <c r="G695" i="5"/>
  <c r="C695" i="5"/>
  <c r="D694" i="5"/>
  <c r="B696" i="5"/>
  <c r="D695" i="5"/>
  <c r="U38" i="6" l="1"/>
  <c r="B697" i="5"/>
  <c r="C696" i="5"/>
  <c r="V38" i="6"/>
  <c r="E697" i="5"/>
  <c r="F696" i="5"/>
  <c r="F697" i="5" l="1"/>
  <c r="G696" i="5"/>
  <c r="E698" i="5"/>
  <c r="G697" i="5"/>
  <c r="C697" i="5"/>
  <c r="D696" i="5"/>
  <c r="B698" i="5"/>
  <c r="D697" i="5"/>
  <c r="B699" i="5" l="1"/>
  <c r="W38" i="6"/>
  <c r="C698" i="5"/>
  <c r="E699" i="5"/>
  <c r="X38" i="6"/>
  <c r="F698" i="5"/>
  <c r="F699" i="5" l="1"/>
  <c r="G698" i="5"/>
  <c r="E700" i="5"/>
  <c r="G699" i="5"/>
  <c r="C699" i="5"/>
  <c r="D698" i="5"/>
  <c r="B700" i="5"/>
  <c r="D699" i="5"/>
  <c r="B701" i="5" l="1"/>
  <c r="C700" i="5"/>
  <c r="E701" i="5"/>
  <c r="F700" i="5"/>
  <c r="F701" i="5" l="1"/>
  <c r="G700" i="5"/>
  <c r="E702" i="5"/>
  <c r="G701" i="5"/>
  <c r="C701" i="5"/>
  <c r="D700" i="5"/>
  <c r="B702" i="5"/>
  <c r="D701" i="5"/>
  <c r="B703" i="5" l="1"/>
  <c r="C702" i="5"/>
  <c r="E703" i="5"/>
  <c r="F702" i="5"/>
  <c r="F703" i="5" l="1"/>
  <c r="G702" i="5"/>
  <c r="E704" i="5"/>
  <c r="G703" i="5"/>
  <c r="C703" i="5"/>
  <c r="D702" i="5"/>
  <c r="B704" i="5"/>
  <c r="D703" i="5"/>
  <c r="B705" i="5" l="1"/>
  <c r="C704" i="5"/>
  <c r="E705" i="5"/>
  <c r="F704" i="5"/>
  <c r="F705" i="5" l="1"/>
  <c r="G704" i="5"/>
  <c r="E706" i="5"/>
  <c r="G705" i="5"/>
  <c r="C705" i="5"/>
  <c r="D704" i="5"/>
  <c r="B706" i="5"/>
  <c r="D705" i="5"/>
  <c r="B707" i="5" l="1"/>
  <c r="C706" i="5"/>
  <c r="E707" i="5"/>
  <c r="F706" i="5"/>
  <c r="F707" i="5" l="1"/>
  <c r="G706" i="5"/>
  <c r="E708" i="5"/>
  <c r="G707" i="5"/>
  <c r="C707" i="5"/>
  <c r="D706" i="5"/>
  <c r="B708" i="5"/>
  <c r="D707" i="5"/>
  <c r="B709" i="5" l="1"/>
  <c r="C708" i="5"/>
  <c r="E709" i="5"/>
  <c r="F708" i="5"/>
  <c r="F709" i="5" l="1"/>
  <c r="G708" i="5"/>
  <c r="E710" i="5"/>
  <c r="G709" i="5"/>
  <c r="C709" i="5"/>
  <c r="D708" i="5"/>
  <c r="B710" i="5"/>
  <c r="D709" i="5"/>
  <c r="B711" i="5" l="1"/>
  <c r="C710" i="5"/>
  <c r="E711" i="5"/>
  <c r="F710" i="5"/>
  <c r="F711" i="5" l="1"/>
  <c r="G710" i="5"/>
  <c r="E712" i="5"/>
  <c r="G711" i="5"/>
  <c r="C711" i="5"/>
  <c r="D710" i="5"/>
  <c r="B712" i="5"/>
  <c r="D711" i="5"/>
  <c r="B713" i="5" l="1"/>
  <c r="C712" i="5"/>
  <c r="E713" i="5"/>
  <c r="F712" i="5"/>
  <c r="F713" i="5" l="1"/>
  <c r="G712" i="5"/>
  <c r="E714" i="5"/>
  <c r="G713" i="5"/>
  <c r="C713" i="5"/>
  <c r="D712" i="5"/>
  <c r="B714" i="5"/>
  <c r="D713" i="5"/>
  <c r="B715" i="5" l="1"/>
  <c r="C714" i="5"/>
  <c r="E715" i="5"/>
  <c r="F714" i="5"/>
  <c r="F715" i="5" l="1"/>
  <c r="G714" i="5"/>
  <c r="V39" i="6"/>
  <c r="E716" i="5"/>
  <c r="G715" i="5"/>
  <c r="X39" i="6" s="1"/>
  <c r="C715" i="5"/>
  <c r="D714" i="5"/>
  <c r="U39" i="6"/>
  <c r="B716" i="5"/>
  <c r="D715" i="5"/>
  <c r="W39" i="6" s="1"/>
  <c r="B717" i="5" l="1"/>
  <c r="C716" i="5"/>
  <c r="E717" i="5"/>
  <c r="F716" i="5"/>
  <c r="F717" i="5" l="1"/>
  <c r="G716" i="5"/>
  <c r="E718" i="5"/>
  <c r="G717" i="5"/>
  <c r="C717" i="5"/>
  <c r="D716" i="5"/>
  <c r="B718" i="5"/>
  <c r="D717" i="5"/>
  <c r="B719" i="5" l="1"/>
  <c r="C718" i="5"/>
  <c r="E719" i="5"/>
  <c r="F718" i="5"/>
  <c r="F719" i="5" l="1"/>
  <c r="G718" i="5"/>
  <c r="E720" i="5"/>
  <c r="G719" i="5"/>
  <c r="C719" i="5"/>
  <c r="D718" i="5"/>
  <c r="B720" i="5"/>
  <c r="D719" i="5"/>
  <c r="B721" i="5" l="1"/>
  <c r="C720" i="5"/>
  <c r="E721" i="5"/>
  <c r="F720" i="5"/>
  <c r="F721" i="5" l="1"/>
  <c r="G720" i="5"/>
  <c r="E722" i="5"/>
  <c r="G721" i="5"/>
  <c r="C721" i="5"/>
  <c r="D720" i="5"/>
  <c r="B722" i="5"/>
  <c r="D721" i="5"/>
  <c r="B723" i="5" l="1"/>
  <c r="C722" i="5"/>
  <c r="E723" i="5"/>
  <c r="F722" i="5"/>
  <c r="F723" i="5" l="1"/>
  <c r="G722" i="5"/>
  <c r="E724" i="5"/>
  <c r="G723" i="5"/>
  <c r="C723" i="5"/>
  <c r="D722" i="5"/>
  <c r="B724" i="5"/>
  <c r="D723" i="5"/>
  <c r="B725" i="5" l="1"/>
  <c r="C724" i="5"/>
  <c r="E725" i="5"/>
  <c r="F724" i="5"/>
  <c r="F725" i="5" l="1"/>
  <c r="G724" i="5"/>
  <c r="E726" i="5"/>
  <c r="G725" i="5"/>
  <c r="C725" i="5"/>
  <c r="D724" i="5"/>
  <c r="B726" i="5"/>
  <c r="D725" i="5"/>
  <c r="B727" i="5" l="1"/>
  <c r="C726" i="5"/>
  <c r="E727" i="5"/>
  <c r="F726" i="5"/>
  <c r="F727" i="5" l="1"/>
  <c r="G726" i="5"/>
  <c r="E728" i="5"/>
  <c r="G727" i="5"/>
  <c r="C727" i="5"/>
  <c r="D726" i="5"/>
  <c r="B728" i="5"/>
  <c r="D727" i="5"/>
  <c r="B729" i="5" l="1"/>
  <c r="C728" i="5"/>
  <c r="E729" i="5"/>
  <c r="F728" i="5"/>
  <c r="F729" i="5" l="1"/>
  <c r="G728" i="5"/>
  <c r="E730" i="5"/>
  <c r="G729" i="5"/>
  <c r="C729" i="5"/>
  <c r="D728" i="5"/>
  <c r="B730" i="5"/>
  <c r="D729" i="5"/>
  <c r="B731" i="5" l="1"/>
  <c r="C730" i="5"/>
  <c r="E731" i="5"/>
  <c r="F730" i="5"/>
  <c r="F731" i="5" l="1"/>
  <c r="G730" i="5"/>
  <c r="E732" i="5"/>
  <c r="G731" i="5"/>
  <c r="C731" i="5"/>
  <c r="D730" i="5"/>
  <c r="B732" i="5"/>
  <c r="D731" i="5"/>
  <c r="B733" i="5" l="1"/>
  <c r="C732" i="5"/>
  <c r="E733" i="5"/>
  <c r="F732" i="5"/>
  <c r="F733" i="5" l="1"/>
  <c r="G732" i="5"/>
  <c r="E734" i="5"/>
  <c r="G733" i="5"/>
  <c r="C733" i="5"/>
  <c r="D732" i="5"/>
  <c r="B734" i="5"/>
  <c r="D733" i="5"/>
  <c r="B735" i="5" l="1"/>
  <c r="C734" i="5"/>
  <c r="E735" i="5"/>
  <c r="F734" i="5"/>
  <c r="F735" i="5" l="1"/>
  <c r="G734" i="5"/>
  <c r="V40" i="6"/>
  <c r="E736" i="5"/>
  <c r="G735" i="5"/>
  <c r="X40" i="6" s="1"/>
  <c r="C735" i="5"/>
  <c r="D734" i="5"/>
  <c r="U40" i="6"/>
  <c r="B736" i="5"/>
  <c r="D735" i="5"/>
  <c r="W40" i="6" s="1"/>
  <c r="B737" i="5" l="1"/>
  <c r="C736" i="5"/>
  <c r="E737" i="5"/>
  <c r="F736" i="5"/>
  <c r="F737" i="5" l="1"/>
  <c r="G736" i="5"/>
  <c r="E738" i="5"/>
  <c r="G737" i="5"/>
  <c r="C737" i="5"/>
  <c r="D736" i="5"/>
  <c r="B738" i="5"/>
  <c r="D737" i="5"/>
  <c r="B739" i="5" l="1"/>
  <c r="C738" i="5"/>
  <c r="E739" i="5"/>
  <c r="F738" i="5"/>
  <c r="F739" i="5" l="1"/>
  <c r="G738" i="5"/>
  <c r="E740" i="5"/>
  <c r="G739" i="5"/>
  <c r="C739" i="5"/>
  <c r="D738" i="5"/>
  <c r="B740" i="5"/>
  <c r="D739" i="5"/>
  <c r="B741" i="5" l="1"/>
  <c r="C740" i="5"/>
  <c r="E741" i="5"/>
  <c r="F740" i="5"/>
  <c r="F741" i="5" l="1"/>
  <c r="G740" i="5"/>
  <c r="E742" i="5"/>
  <c r="G741" i="5"/>
  <c r="C741" i="5"/>
  <c r="D740" i="5"/>
  <c r="B742" i="5"/>
  <c r="D741" i="5"/>
  <c r="B743" i="5" l="1"/>
  <c r="C742" i="5"/>
  <c r="E743" i="5"/>
  <c r="F742" i="5"/>
  <c r="F743" i="5" l="1"/>
  <c r="G742" i="5"/>
  <c r="E744" i="5"/>
  <c r="G743" i="5"/>
  <c r="C743" i="5"/>
  <c r="D742" i="5"/>
  <c r="B744" i="5"/>
  <c r="D743" i="5"/>
  <c r="B745" i="5" l="1"/>
  <c r="C744" i="5"/>
  <c r="E745" i="5"/>
  <c r="F744" i="5"/>
  <c r="F745" i="5" l="1"/>
  <c r="G744" i="5"/>
  <c r="E746" i="5"/>
  <c r="G745" i="5"/>
  <c r="C745" i="5"/>
  <c r="D744" i="5"/>
  <c r="B746" i="5"/>
  <c r="D745" i="5"/>
  <c r="B747" i="5" l="1"/>
  <c r="C746" i="5"/>
  <c r="E747" i="5"/>
  <c r="F746" i="5"/>
  <c r="F747" i="5" l="1"/>
  <c r="G746" i="5"/>
  <c r="E748" i="5"/>
  <c r="G747" i="5"/>
  <c r="C747" i="5"/>
  <c r="D746" i="5"/>
  <c r="B748" i="5"/>
  <c r="D747" i="5"/>
  <c r="B749" i="5" l="1"/>
  <c r="C748" i="5"/>
  <c r="E749" i="5"/>
  <c r="F748" i="5"/>
  <c r="F749" i="5" l="1"/>
  <c r="G748" i="5"/>
  <c r="E750" i="5"/>
  <c r="G749" i="5"/>
  <c r="C749" i="5"/>
  <c r="D748" i="5"/>
  <c r="B750" i="5"/>
  <c r="D749" i="5"/>
  <c r="B751" i="5" l="1"/>
  <c r="C750" i="5"/>
  <c r="E751" i="5"/>
  <c r="F750" i="5"/>
  <c r="F751" i="5" l="1"/>
  <c r="G750" i="5"/>
  <c r="E752" i="5"/>
  <c r="G751" i="5"/>
  <c r="C751" i="5"/>
  <c r="D750" i="5"/>
  <c r="B752" i="5"/>
  <c r="D751" i="5"/>
  <c r="B753" i="5" l="1"/>
  <c r="C752" i="5"/>
  <c r="E753" i="5"/>
  <c r="F752" i="5"/>
  <c r="F753" i="5" l="1"/>
  <c r="G752" i="5"/>
  <c r="E754" i="5"/>
  <c r="G753" i="5"/>
  <c r="C753" i="5"/>
  <c r="D752" i="5"/>
  <c r="B754" i="5"/>
  <c r="D753" i="5"/>
  <c r="U41" i="6" l="1"/>
  <c r="B10" i="5"/>
  <c r="C754" i="5"/>
  <c r="V41" i="6"/>
  <c r="F754" i="5"/>
  <c r="F755" i="5" l="1"/>
  <c r="G754" i="5"/>
  <c r="C755" i="5"/>
  <c r="D754" i="5"/>
  <c r="Q8" i="6"/>
  <c r="A5" i="6"/>
  <c r="D10" i="5"/>
  <c r="G5" i="6" s="1"/>
  <c r="W41" i="6" l="1"/>
  <c r="E10" i="5"/>
  <c r="J5" i="6" s="1"/>
  <c r="C756" i="5"/>
  <c r="D755" i="5"/>
  <c r="X41" i="6"/>
  <c r="E11" i="5"/>
  <c r="F756" i="5"/>
  <c r="G755" i="5"/>
  <c r="F757" i="5" l="1"/>
  <c r="G756" i="5"/>
  <c r="C757" i="5"/>
  <c r="D756" i="5"/>
  <c r="C758" i="5" l="1"/>
  <c r="D757" i="5"/>
  <c r="F758" i="5"/>
  <c r="G757" i="5"/>
  <c r="F759" i="5" l="1"/>
  <c r="G758" i="5"/>
  <c r="C759" i="5"/>
  <c r="D758" i="5"/>
  <c r="C760" i="5" l="1"/>
  <c r="D759" i="5"/>
  <c r="F760" i="5"/>
  <c r="G759" i="5"/>
  <c r="F761" i="5" l="1"/>
  <c r="G760" i="5"/>
  <c r="C761" i="5"/>
  <c r="D760" i="5"/>
  <c r="C762" i="5" l="1"/>
  <c r="D761" i="5"/>
  <c r="F762" i="5"/>
  <c r="G761" i="5"/>
  <c r="F763" i="5" l="1"/>
  <c r="G762" i="5"/>
  <c r="C763" i="5"/>
  <c r="D762" i="5"/>
  <c r="C764" i="5" l="1"/>
  <c r="D763" i="5"/>
  <c r="F764" i="5"/>
  <c r="G763" i="5"/>
  <c r="F765" i="5" l="1"/>
  <c r="G764" i="5"/>
  <c r="C765" i="5"/>
  <c r="D764" i="5"/>
  <c r="C766" i="5" l="1"/>
  <c r="D765" i="5"/>
  <c r="F766" i="5"/>
  <c r="G765" i="5"/>
  <c r="F767" i="5" l="1"/>
  <c r="G766" i="5"/>
  <c r="C767" i="5"/>
  <c r="D766" i="5"/>
  <c r="C768" i="5" l="1"/>
  <c r="D767" i="5"/>
  <c r="F768" i="5"/>
  <c r="G767" i="5"/>
  <c r="F769" i="5" l="1"/>
  <c r="G768" i="5"/>
  <c r="C769" i="5"/>
  <c r="D768" i="5"/>
  <c r="C770" i="5" l="1"/>
  <c r="D769" i="5"/>
  <c r="F770" i="5"/>
  <c r="G769" i="5"/>
  <c r="F771" i="5" l="1"/>
  <c r="G770" i="5"/>
  <c r="C771" i="5"/>
  <c r="D770" i="5"/>
  <c r="C772" i="5" l="1"/>
  <c r="D771" i="5"/>
  <c r="F772" i="5"/>
  <c r="G771" i="5"/>
  <c r="F773" i="5" l="1"/>
  <c r="G772" i="5"/>
  <c r="C773" i="5"/>
  <c r="D772" i="5"/>
  <c r="C774" i="5" l="1"/>
  <c r="D773" i="5"/>
  <c r="F774" i="5"/>
  <c r="G773" i="5"/>
  <c r="F775" i="5" l="1"/>
  <c r="G774" i="5"/>
  <c r="C775" i="5"/>
  <c r="D774" i="5"/>
  <c r="C776" i="5" l="1"/>
  <c r="D775" i="5"/>
  <c r="F776" i="5"/>
  <c r="G775" i="5"/>
  <c r="F777" i="5" l="1"/>
  <c r="G776" i="5"/>
  <c r="C777" i="5"/>
  <c r="D776" i="5"/>
  <c r="C778" i="5" l="1"/>
  <c r="D777" i="5"/>
  <c r="F778" i="5"/>
  <c r="G777" i="5"/>
  <c r="F779" i="5" l="1"/>
  <c r="G778" i="5"/>
  <c r="C779" i="5"/>
  <c r="D778" i="5"/>
  <c r="C780" i="5" l="1"/>
  <c r="D779" i="5"/>
  <c r="F780" i="5"/>
  <c r="G779" i="5"/>
  <c r="F781" i="5" l="1"/>
  <c r="G780" i="5"/>
  <c r="C781" i="5"/>
  <c r="D780" i="5"/>
  <c r="C782" i="5" l="1"/>
  <c r="D781" i="5"/>
  <c r="F782" i="5"/>
  <c r="G781" i="5"/>
  <c r="F783" i="5" l="1"/>
  <c r="G782" i="5"/>
  <c r="C783" i="5"/>
  <c r="D782" i="5"/>
  <c r="C784" i="5" l="1"/>
  <c r="D783" i="5"/>
  <c r="F784" i="5"/>
  <c r="G783" i="5"/>
  <c r="F785" i="5" l="1"/>
  <c r="G784" i="5"/>
  <c r="C785" i="5"/>
  <c r="D784" i="5"/>
  <c r="C786" i="5" l="1"/>
  <c r="D785" i="5"/>
  <c r="F786" i="5"/>
  <c r="G785" i="5"/>
  <c r="F787" i="5" l="1"/>
  <c r="G786" i="5"/>
  <c r="C787" i="5"/>
  <c r="D786" i="5"/>
  <c r="C788" i="5" l="1"/>
  <c r="D787" i="5"/>
  <c r="F788" i="5"/>
  <c r="G787" i="5"/>
  <c r="F789" i="5" l="1"/>
  <c r="G788" i="5"/>
  <c r="C789" i="5"/>
  <c r="D788" i="5"/>
  <c r="C790" i="5" l="1"/>
  <c r="D789" i="5"/>
  <c r="F790" i="5"/>
  <c r="G789" i="5"/>
  <c r="F791" i="5" l="1"/>
  <c r="G790" i="5"/>
  <c r="C791" i="5"/>
  <c r="D790" i="5"/>
  <c r="C792" i="5" l="1"/>
  <c r="D791" i="5"/>
  <c r="F792" i="5"/>
  <c r="G791" i="5"/>
  <c r="F793" i="5" l="1"/>
  <c r="G792" i="5"/>
  <c r="C793" i="5"/>
  <c r="D792" i="5"/>
  <c r="C794" i="5" l="1"/>
  <c r="D793" i="5"/>
  <c r="F794" i="5"/>
  <c r="G793" i="5"/>
  <c r="F795" i="5" l="1"/>
  <c r="G794" i="5"/>
  <c r="C795" i="5"/>
  <c r="D794" i="5"/>
  <c r="C796" i="5" l="1"/>
  <c r="D795" i="5"/>
  <c r="F796" i="5"/>
  <c r="G795" i="5"/>
  <c r="F797" i="5" l="1"/>
  <c r="G797" i="5" s="1"/>
  <c r="G796" i="5"/>
  <c r="C797" i="5"/>
  <c r="D797" i="5" s="1"/>
  <c r="D796" i="5"/>
</calcChain>
</file>

<file path=xl/sharedStrings.xml><?xml version="1.0" encoding="utf-8"?>
<sst xmlns="http://schemas.openxmlformats.org/spreadsheetml/2006/main" count="189" uniqueCount="130">
  <si>
    <t xml:space="preserve">Portfolio Return &amp; Risk Analyzer </t>
  </si>
  <si>
    <t>By : Krishna Sharma</t>
  </si>
  <si>
    <t>Project Objective</t>
  </si>
  <si>
    <t>Analyze a sample equity portfolio using actual historical daily prices to measure return, annualized volatility, Sharpe ratio and maximum drawdown. The workbook also compares the portfolio with the NIFTY 50 benchmark.</t>
  </si>
  <si>
    <t>How the Workbook Flows</t>
  </si>
  <si>
    <t>Core Formula Logic</t>
  </si>
  <si>
    <t>Sheet</t>
  </si>
  <si>
    <t>Purpose</t>
  </si>
  <si>
    <t>Metric</t>
  </si>
  <si>
    <t>Concept / Formula</t>
  </si>
  <si>
    <t>Portfolio</t>
  </si>
  <si>
    <t>Portfolio weights and editable assumptions</t>
  </si>
  <si>
    <t>Daily Return</t>
  </si>
  <si>
    <t>(Today Price / Previous Price) − 1</t>
  </si>
  <si>
    <t>Price Data</t>
  </si>
  <si>
    <t>Actual historical adjusted stock prices and NIFTY 50 index closes</t>
  </si>
  <si>
    <t>Portfolio Return</t>
  </si>
  <si>
    <t>Σ (asset return × portfolio weight)</t>
  </si>
  <si>
    <t>Returns</t>
  </si>
  <si>
    <t>Daily stock and weighted portfolio returns</t>
  </si>
  <si>
    <t>Annualized Volatility</t>
  </si>
  <si>
    <t>Daily return standard deviation × √252</t>
  </si>
  <si>
    <t>Risk Analysis</t>
  </si>
  <si>
    <t>Annualized metrics, cumulative performance and drawdowns</t>
  </si>
  <si>
    <t>Sharpe Ratio</t>
  </si>
  <si>
    <t>(Annualized return − risk-free rate) / annualized volatility</t>
  </si>
  <si>
    <t>Dashboard</t>
  </si>
  <si>
    <t>Summary and charts</t>
  </si>
  <si>
    <t>Drawdown</t>
  </si>
  <si>
    <t>(Current portfolio index / running peak) − 1</t>
  </si>
  <si>
    <t>Portfolio Setup &amp; Assumptions</t>
  </si>
  <si>
    <t>Portfolio Allocation</t>
  </si>
  <si>
    <t>Asset</t>
  </si>
  <si>
    <t>Ticker</t>
  </si>
  <si>
    <t>Sector</t>
  </si>
  <si>
    <t>Weight</t>
  </si>
  <si>
    <t>Initial Allocation (₹)</t>
  </si>
  <si>
    <t>Input / Formula</t>
  </si>
  <si>
    <t>Reliance Industries</t>
  </si>
  <si>
    <t>RELIANCE.NS</t>
  </si>
  <si>
    <t>Energy / Conglomerate</t>
  </si>
  <si>
    <t>Weight = input</t>
  </si>
  <si>
    <t>HDFC Bank</t>
  </si>
  <si>
    <t>HDFCBANK.NS</t>
  </si>
  <si>
    <t>Financials</t>
  </si>
  <si>
    <t>TCS</t>
  </si>
  <si>
    <t>TCS.NS</t>
  </si>
  <si>
    <t>Information Technology</t>
  </si>
  <si>
    <t>ICICI Bank</t>
  </si>
  <si>
    <t>ICICIBANK.NS</t>
  </si>
  <si>
    <t>Infosys</t>
  </si>
  <si>
    <t>INFY.NS</t>
  </si>
  <si>
    <t>Total</t>
  </si>
  <si>
    <t>Check = 100%</t>
  </si>
  <si>
    <t>Model Assumptions</t>
  </si>
  <si>
    <t>Assumption</t>
  </si>
  <si>
    <t>Value</t>
  </si>
  <si>
    <t>Model Checks</t>
  </si>
  <si>
    <t>Initial Portfolio Value (₹)</t>
  </si>
  <si>
    <t>Check</t>
  </si>
  <si>
    <t>Formula</t>
  </si>
  <si>
    <t>Status</t>
  </si>
  <si>
    <t>Risk-Free Rate (Annual)</t>
  </si>
  <si>
    <t>Weights Total</t>
  </si>
  <si>
    <t>Trading Days / Year</t>
  </si>
  <si>
    <t>Number of Assets</t>
  </si>
  <si>
    <t>Analysis Start</t>
  </si>
  <si>
    <t>Data Observations</t>
  </si>
  <si>
    <t>Analysis End</t>
  </si>
  <si>
    <t>Price Data Type</t>
  </si>
  <si>
    <t>Actual historical adjusted stock prices + NIFTY 50 index close</t>
  </si>
  <si>
    <t>Historical Adjusted Price Data</t>
  </si>
  <si>
    <t>Actual historical data, 02-Jan-2023 to 31-Dec-2025. Stocks: Yahoo Finance/yfinance-derived adjusted prices. NIFTY 50: ^NSEI historical index close (for an index, Close is the adjusted-price series).</t>
  </si>
  <si>
    <t>Date</t>
  </si>
  <si>
    <t>NIFTY 50</t>
  </si>
  <si>
    <t>Daily Returns &amp; Portfolio Return</t>
  </si>
  <si>
    <t>Daily return = Current Price / Previous Price − 1. Portfolio return = weighted sum of stock returns.</t>
  </si>
  <si>
    <t>Risk &amp; Performance Analysis</t>
  </si>
  <si>
    <t>Annualized Metrics</t>
  </si>
  <si>
    <t>Annualized Return</t>
  </si>
  <si>
    <t>Maximum Drawdown</t>
  </si>
  <si>
    <t>—</t>
  </si>
  <si>
    <t>Cumulative Performance &amp; Drawdown</t>
  </si>
  <si>
    <t>Portfolio Index</t>
  </si>
  <si>
    <t>Portfolio Running Peak</t>
  </si>
  <si>
    <t>Portfolio Drawdown</t>
  </si>
  <si>
    <t>NIFTY 50 Index</t>
  </si>
  <si>
    <t>NIFTY Running Peak</t>
  </si>
  <si>
    <t>NIFTY 50 Drawdown</t>
  </si>
  <si>
    <t>Portfolio Return &amp; Risk Analyzer — Dashboard</t>
  </si>
  <si>
    <t>5-stock Indian equity portfolio | Actual historical adjusted stock prices | NIFTY 50 benchmark | 02-Jan-2023 to 31-Dec-2025</t>
  </si>
  <si>
    <t>Return</t>
  </si>
  <si>
    <t>Volatility</t>
  </si>
  <si>
    <t>Month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</si>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</sst>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[Red]\(0.0%\);\-"/>
    <numFmt numFmtId="165" formatCode="\₹#,##0;[Red]\(\₹#,##0\);\-"/>
    <numFmt numFmtId="166" formatCode="dd\-mmm\-yyyy"/>
    <numFmt numFmtId="167" formatCode="\₹#,##0.00;[Red]\(\₹#,##0.00\);\-"/>
    <numFmt numFmtId="168" formatCode="0.00%;[Red]\(0.00%\);\-"/>
    <numFmt numFmtId="169" formatCode="0.00;[Red]\(0.00\);\-"/>
  </numFmts>
  <fonts count="16">
    <font>
      <sz val="11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000000"/>
      <name val="Aptos"/>
    </font>
    <font>
      <b/>
      <sz val="11"/>
      <name val="Aptos"/>
    </font>
    <font>
      <sz val="11"/>
      <color rgb="FF0000FF"/>
      <name val="Aptos"/>
    </font>
    <font>
      <sz val="11"/>
      <color rgb="FF000000"/>
      <name val="Aptos"/>
    </font>
    <font>
      <sz val="11"/>
      <color rgb="FF008000"/>
      <name val="Aptos"/>
    </font>
    <font>
      <b/>
      <sz val="11"/>
      <color rgb="FF0000FF"/>
      <name val="Aptos"/>
    </font>
    <font>
      <i/>
      <sz val="11"/>
      <name val="Aptos"/>
    </font>
    <font>
      <b/>
      <sz val="18"/>
      <color rgb="FF008000"/>
      <name val="Aptos"/>
    </font>
    <font>
      <b/>
      <sz val="11"/>
      <color theme="0"/>
      <name val="Aptos"/>
    </font>
    <font>
      <sz val="11"/>
      <color theme="0"/>
      <name val="Aptos"/>
    </font>
    <font>
      <sz val="11"/>
      <color theme="0"/>
      <name val="Carlito"/>
    </font>
    <font>
      <b/>
      <sz val="12"/>
      <color theme="0"/>
      <name val="Aptos"/>
    </font>
  </fonts>
  <fills count="10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4F6"/>
      </patternFill>
    </fill>
    <fill>
      <patternFill patternType="solid">
        <fgColor rgb="FFEEF5FB"/>
      </patternFill>
    </fill>
    <fill>
      <patternFill patternType="solid">
        <fgColor theme="0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NumberFormat="1" applyFont="1" applyFill="1" applyBorder="1"/>
    <xf numFmtId="0" fontId="14" fillId="8" borderId="0" xfId="0" applyFont="1" applyFill="1"/>
    <xf numFmtId="0" fontId="2" fillId="0" borderId="1" xfId="0" applyNumberFormat="1" applyFont="1" applyFill="1" applyBorder="1"/>
    <xf numFmtId="0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/>
    </xf>
    <xf numFmtId="164" fontId="6" fillId="0" borderId="1" xfId="0" applyNumberFormat="1" applyFont="1" applyFill="1" applyBorder="1"/>
    <xf numFmtId="165" fontId="7" fillId="0" borderId="1" xfId="0" applyNumberFormat="1" applyFont="1" applyFill="1" applyBorder="1"/>
    <xf numFmtId="0" fontId="2" fillId="0" borderId="2" xfId="0" applyNumberFormat="1" applyFont="1" applyFill="1" applyBorder="1"/>
    <xf numFmtId="164" fontId="7" fillId="0" borderId="2" xfId="0" applyNumberFormat="1" applyFont="1" applyFill="1" applyBorder="1"/>
    <xf numFmtId="165" fontId="7" fillId="0" borderId="2" xfId="0" applyNumberFormat="1" applyFont="1" applyFill="1" applyBorder="1"/>
    <xf numFmtId="165" fontId="6" fillId="0" borderId="1" xfId="0" applyNumberFormat="1" applyFont="1" applyFill="1" applyBorder="1"/>
    <xf numFmtId="0" fontId="4" fillId="6" borderId="1" xfId="0" applyNumberFormat="1" applyFont="1" applyFill="1" applyBorder="1" applyAlignment="1">
      <alignment horizontal="left" vertical="center"/>
    </xf>
    <xf numFmtId="164" fontId="8" fillId="0" borderId="1" xfId="0" applyNumberFormat="1" applyFont="1" applyFill="1" applyBorder="1"/>
    <xf numFmtId="0" fontId="8" fillId="0" borderId="1" xfId="0" applyNumberFormat="1" applyFont="1" applyFill="1" applyBorder="1"/>
    <xf numFmtId="1" fontId="6" fillId="0" borderId="1" xfId="0" applyNumberFormat="1" applyFont="1" applyFill="1" applyBorder="1"/>
    <xf numFmtId="0" fontId="9" fillId="5" borderId="1" xfId="0" applyNumberFormat="1" applyFont="1" applyFill="1" applyBorder="1"/>
    <xf numFmtId="164" fontId="2" fillId="0" borderId="1" xfId="0" applyNumberFormat="1" applyFont="1" applyFill="1" applyBorder="1"/>
    <xf numFmtId="169" fontId="8" fillId="0" borderId="1" xfId="0" applyNumberFormat="1" applyFont="1" applyFill="1" applyBorder="1"/>
    <xf numFmtId="0" fontId="2" fillId="0" borderId="1" xfId="0" applyNumberFormat="1" applyFont="1" applyFill="1" applyBorder="1" applyAlignment="1">
      <alignment vertical="center" wrapText="1"/>
    </xf>
    <xf numFmtId="0" fontId="4" fillId="4" borderId="1" xfId="0" applyNumberFormat="1" applyFont="1" applyFill="1" applyBorder="1" applyAlignment="1">
      <alignment horizontal="center" vertical="center"/>
    </xf>
    <xf numFmtId="0" fontId="13" fillId="8" borderId="1" xfId="0" applyNumberFormat="1" applyFont="1" applyFill="1" applyBorder="1" applyAlignment="1">
      <alignment vertical="center"/>
    </xf>
    <xf numFmtId="0" fontId="13" fillId="8" borderId="1" xfId="0" applyNumberFormat="1" applyFont="1" applyFill="1" applyBorder="1" applyAlignment="1">
      <alignment vertical="center" wrapText="1"/>
    </xf>
    <xf numFmtId="166" fontId="6" fillId="0" borderId="1" xfId="0" applyNumberFormat="1" applyFont="1" applyFill="1" applyBorder="1"/>
    <xf numFmtId="167" fontId="6" fillId="0" borderId="1" xfId="0" applyNumberFormat="1" applyFont="1" applyFill="1" applyBorder="1"/>
    <xf numFmtId="166" fontId="8" fillId="0" borderId="1" xfId="0" applyNumberFormat="1" applyFont="1" applyFill="1" applyBorder="1"/>
    <xf numFmtId="168" fontId="7" fillId="0" borderId="1" xfId="0" applyNumberFormat="1" applyFont="1" applyFill="1" applyBorder="1"/>
    <xf numFmtId="168" fontId="8" fillId="0" borderId="1" xfId="0" applyNumberFormat="1" applyFont="1" applyFill="1" applyBorder="1"/>
    <xf numFmtId="0" fontId="1" fillId="2" borderId="1" xfId="0" applyNumberFormat="1" applyFont="1" applyFill="1" applyBorder="1" applyAlignment="1">
      <alignment horizontal="left" vertical="center"/>
    </xf>
    <xf numFmtId="0" fontId="15" fillId="9" borderId="1" xfId="0" applyNumberFormat="1" applyFont="1" applyFill="1" applyBorder="1" applyAlignment="1">
      <alignment vertical="center"/>
    </xf>
    <xf numFmtId="0" fontId="12" fillId="9" borderId="1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vertical="center" wrapText="1"/>
    </xf>
    <xf numFmtId="0" fontId="12" fillId="8" borderId="1" xfId="0" applyNumberFormat="1" applyFont="1" applyFill="1" applyBorder="1" applyAlignment="1">
      <alignment horizontal="left" vertical="center"/>
    </xf>
    <xf numFmtId="0" fontId="12" fillId="8" borderId="1" xfId="0" applyNumberFormat="1" applyFont="1" applyFill="1" applyBorder="1" applyAlignment="1">
      <alignment vertical="center" wrapText="1"/>
    </xf>
    <xf numFmtId="0" fontId="4" fillId="4" borderId="1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2" fillId="7" borderId="1" xfId="0" applyNumberFormat="1" applyFont="1" applyFill="1" applyBorder="1" applyAlignment="1">
      <alignment wrapText="1"/>
    </xf>
    <xf numFmtId="0" fontId="10" fillId="7" borderId="1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69" fontId="11" fillId="6" borderId="1" xfId="0" applyNumberFormat="1" applyFont="1" applyFill="1" applyBorder="1" applyAlignment="1">
      <alignment horizontal="center" vertical="center"/>
    </xf>
    <xf numFmtId="0" fontId="12" fillId="8" borderId="1" xfId="0" applyNumberFormat="1" applyFont="1" applyFill="1" applyBorder="1" applyAlignment="1">
      <alignment wrapText="1"/>
    </xf>
  </cellXfs>
  <cellStyles count="1">
    <cellStyle name="Normal" xfId="0" builtinId="0"/>
  </cellStyles>
  <dxfs count="6">
    <dxf>
      <fill>
        <patternFill>
          <bgColor rgb="FFFDECEC"/>
        </patternFill>
      </fill>
    </dxf>
    <dxf>
      <fill>
        <patternFill>
          <bgColor rgb="FFFDECEC"/>
        </patternFill>
      </fill>
    </dxf>
    <dxf>
      <fill>
        <patternFill>
          <bgColor rgb="FFE8F5E9"/>
        </patternFill>
      </fill>
    </dxf>
    <dxf>
      <fill>
        <patternFill>
          <bgColor rgb="FFFDECEC"/>
        </patternFill>
      </fill>
    </dxf>
    <dxf>
      <font>
        <b/>
        <color rgb="FF006100"/>
      </font>
      <fill>
        <patternFill>
          <bgColor rgb="FFE8F5E9"/>
        </patternFill>
      </fill>
    </dxf>
    <dxf>
      <font>
        <b/>
        <color rgb="FFFF0000"/>
      </font>
      <fill>
        <patternFill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Portfolio</c:v>
          </c:tx>
          <c:marker>
            <c:symbol val="none"/>
          </c:marker>
          <c:cat>
            <c:strRef>
              <c:f>Dashboard!$T$3:$T$41</c:f>
              <c:strCache>
                <c:ptCount val="39"/>
                <c:pt idx="0">
                  <c:v>Jan-23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Sep-24</c:v>
                </c:pt>
                <c:pt idx="23">
                  <c:v>Oct-24</c:v>
                </c:pt>
                <c:pt idx="24">
                  <c:v>Nov-24</c:v>
                </c:pt>
                <c:pt idx="25">
                  <c:v>Dec-24</c:v>
                </c:pt>
                <c:pt idx="26">
                  <c:v>Jan-25</c:v>
                </c:pt>
                <c:pt idx="27">
                  <c:v>Feb-25</c:v>
                </c:pt>
                <c:pt idx="28">
                  <c:v>Mar-25</c:v>
                </c:pt>
                <c:pt idx="29">
                  <c:v>Apr-25</c:v>
                </c:pt>
                <c:pt idx="30">
                  <c:v>May-25</c:v>
                </c:pt>
                <c:pt idx="31">
                  <c:v>Jun-25</c:v>
                </c:pt>
                <c:pt idx="32">
                  <c:v>Jul-25</c:v>
                </c:pt>
                <c:pt idx="33">
                  <c:v>Aug-25</c:v>
                </c:pt>
                <c:pt idx="34">
                  <c:v>Sep-25</c:v>
                </c:pt>
                <c:pt idx="35">
                  <c:v>Oct-25</c:v>
                </c:pt>
                <c:pt idx="36">
                  <c:v>Nov-25</c:v>
                </c:pt>
                <c:pt idx="37">
                  <c:v>Dec-25</c:v>
                </c:pt>
                <c:pt idx="38">
                  <c:v>Dec-25</c:v>
                </c:pt>
              </c:strCache>
            </c:strRef>
          </c:cat>
          <c:val>
            <c:numRef>
              <c:f>Dashboard!$U$3:$U$41</c:f>
              <c:numCache>
                <c:formatCode>0.00;[Red]\(0.00\);\-</c:formatCode>
                <c:ptCount val="39"/>
                <c:pt idx="0">
                  <c:v>100</c:v>
                </c:pt>
                <c:pt idx="1">
                  <c:v>97.930368131812614</c:v>
                </c:pt>
                <c:pt idx="2">
                  <c:v>97.458675770695493</c:v>
                </c:pt>
                <c:pt idx="3">
                  <c:v>93.222732522502426</c:v>
                </c:pt>
                <c:pt idx="4">
                  <c:v>97.185651087682899</c:v>
                </c:pt>
                <c:pt idx="5">
                  <c:v>99.240014712307428</c:v>
                </c:pt>
                <c:pt idx="6">
                  <c:v>98.413020134480405</c:v>
                </c:pt>
                <c:pt idx="7">
                  <c:v>104.26170117133802</c:v>
                </c:pt>
                <c:pt idx="8">
                  <c:v>103.34654857215546</c:v>
                </c:pt>
                <c:pt idx="9">
                  <c:v>106.82967458396804</c:v>
                </c:pt>
                <c:pt idx="10">
                  <c:v>101.58232916108123</c:v>
                </c:pt>
                <c:pt idx="11">
                  <c:v>100.45382572517737</c:v>
                </c:pt>
                <c:pt idx="12">
                  <c:v>106.11857671348163</c:v>
                </c:pt>
                <c:pt idx="13">
                  <c:v>110.48397723677944</c:v>
                </c:pt>
                <c:pt idx="14">
                  <c:v>112.89098231974528</c:v>
                </c:pt>
                <c:pt idx="15">
                  <c:v>113.91216110233913</c:v>
                </c:pt>
                <c:pt idx="16">
                  <c:v>114.56887383292803</c:v>
                </c:pt>
                <c:pt idx="17">
                  <c:v>110.89563378736946</c:v>
                </c:pt>
                <c:pt idx="18">
                  <c:v>116.67504518629184</c:v>
                </c:pt>
                <c:pt idx="19">
                  <c:v>124.36907370583047</c:v>
                </c:pt>
                <c:pt idx="20">
                  <c:v>122.08054768035637</c:v>
                </c:pt>
                <c:pt idx="21">
                  <c:v>129.27943781824641</c:v>
                </c:pt>
                <c:pt idx="22">
                  <c:v>128.81905452866457</c:v>
                </c:pt>
                <c:pt idx="23">
                  <c:v>124.97281697456998</c:v>
                </c:pt>
                <c:pt idx="24">
                  <c:v>127.88927239396767</c:v>
                </c:pt>
                <c:pt idx="25">
                  <c:v>124.81215759468087</c:v>
                </c:pt>
                <c:pt idx="26">
                  <c:v>122.33726887878478</c:v>
                </c:pt>
                <c:pt idx="27">
                  <c:v>121.14331544447553</c:v>
                </c:pt>
                <c:pt idx="28">
                  <c:v>117.85849215193394</c:v>
                </c:pt>
                <c:pt idx="29">
                  <c:v>120.52815155005054</c:v>
                </c:pt>
                <c:pt idx="30">
                  <c:v>127.4047088687513</c:v>
                </c:pt>
                <c:pt idx="31">
                  <c:v>128.12681442423602</c:v>
                </c:pt>
                <c:pt idx="32">
                  <c:v>128.41461318788382</c:v>
                </c:pt>
                <c:pt idx="33">
                  <c:v>121.94003913640542</c:v>
                </c:pt>
                <c:pt idx="34">
                  <c:v>121.42828619608342</c:v>
                </c:pt>
                <c:pt idx="35">
                  <c:v>121.75323965538227</c:v>
                </c:pt>
                <c:pt idx="36">
                  <c:v>123.93461753720428</c:v>
                </c:pt>
                <c:pt idx="37">
                  <c:v>129.57532752090441</c:v>
                </c:pt>
                <c:pt idx="38">
                  <c:v>129.94263977543704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EB-4BFF-8804-46FA447A9FB9}"/>
            </c:ext>
          </c:extLst>
        </c:ser>
        <c:ser>
          <c:idx val="1"/>
          <c:order val="1"/>
          <c:tx>
            <c:v>NIFTY 50</c:v>
          </c:tx>
          <c:marker>
            <c:symbol val="none"/>
          </c:marker>
          <c:cat>
            <c:strRef>
              <c:f>Dashboard!$T$3:$T$41</c:f>
              <c:strCache>
                <c:ptCount val="39"/>
                <c:pt idx="0">
                  <c:v>Jan-23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Sep-24</c:v>
                </c:pt>
                <c:pt idx="23">
                  <c:v>Oct-24</c:v>
                </c:pt>
                <c:pt idx="24">
                  <c:v>Nov-24</c:v>
                </c:pt>
                <c:pt idx="25">
                  <c:v>Dec-24</c:v>
                </c:pt>
                <c:pt idx="26">
                  <c:v>Jan-25</c:v>
                </c:pt>
                <c:pt idx="27">
                  <c:v>Feb-25</c:v>
                </c:pt>
                <c:pt idx="28">
                  <c:v>Mar-25</c:v>
                </c:pt>
                <c:pt idx="29">
                  <c:v>Apr-25</c:v>
                </c:pt>
                <c:pt idx="30">
                  <c:v>May-25</c:v>
                </c:pt>
                <c:pt idx="31">
                  <c:v>Jun-25</c:v>
                </c:pt>
                <c:pt idx="32">
                  <c:v>Jul-25</c:v>
                </c:pt>
                <c:pt idx="33">
                  <c:v>Aug-25</c:v>
                </c:pt>
                <c:pt idx="34">
                  <c:v>Sep-25</c:v>
                </c:pt>
                <c:pt idx="35">
                  <c:v>Oct-25</c:v>
                </c:pt>
                <c:pt idx="36">
                  <c:v>Nov-25</c:v>
                </c:pt>
                <c:pt idx="37">
                  <c:v>Dec-25</c:v>
                </c:pt>
                <c:pt idx="38">
                  <c:v>Dec-25</c:v>
                </c:pt>
              </c:strCache>
            </c:strRef>
          </c:cat>
          <c:val>
            <c:numRef>
              <c:f>Dashboard!$V$3:$V$41</c:f>
              <c:numCache>
                <c:formatCode>0.00;[Red]\(0.00\);\-</c:formatCode>
                <c:ptCount val="39"/>
                <c:pt idx="0">
                  <c:v>100</c:v>
                </c:pt>
                <c:pt idx="1">
                  <c:v>96.985841293433353</c:v>
                </c:pt>
                <c:pt idx="2">
                  <c:v>95.577676902261587</c:v>
                </c:pt>
                <c:pt idx="3">
                  <c:v>93.341099703405405</c:v>
                </c:pt>
                <c:pt idx="4">
                  <c:v>99.272155030313115</c:v>
                </c:pt>
                <c:pt idx="5">
                  <c:v>101.65902587223012</c:v>
                </c:pt>
                <c:pt idx="6">
                  <c:v>102.57206807186877</c:v>
                </c:pt>
                <c:pt idx="7">
                  <c:v>108.50421816072688</c:v>
                </c:pt>
                <c:pt idx="8">
                  <c:v>106.57317614268996</c:v>
                </c:pt>
                <c:pt idx="9">
                  <c:v>110.96252758639113</c:v>
                </c:pt>
                <c:pt idx="10">
                  <c:v>108.43140575806142</c:v>
                </c:pt>
                <c:pt idx="11">
                  <c:v>108.122017444495</c:v>
                </c:pt>
                <c:pt idx="12">
                  <c:v>114.99605993027441</c:v>
                </c:pt>
                <c:pt idx="13">
                  <c:v>118.95732725246732</c:v>
                </c:pt>
                <c:pt idx="14">
                  <c:v>119.70084234419012</c:v>
                </c:pt>
                <c:pt idx="15">
                  <c:v>122.72407040220902</c:v>
                </c:pt>
                <c:pt idx="16">
                  <c:v>124.42815324177252</c:v>
                </c:pt>
                <c:pt idx="17">
                  <c:v>121.19939972699633</c:v>
                </c:pt>
                <c:pt idx="18">
                  <c:v>127.98579685897761</c:v>
                </c:pt>
                <c:pt idx="19">
                  <c:v>133.6481310588901</c:v>
                </c:pt>
                <c:pt idx="20">
                  <c:v>132.19215132958823</c:v>
                </c:pt>
                <c:pt idx="21">
                  <c:v>138.91342085847774</c:v>
                </c:pt>
                <c:pt idx="22">
                  <c:v>141.83773395438513</c:v>
                </c:pt>
                <c:pt idx="23">
                  <c:v>133.75034103981329</c:v>
                </c:pt>
                <c:pt idx="24">
                  <c:v>133.39726957783165</c:v>
                </c:pt>
                <c:pt idx="25">
                  <c:v>130.38997996585607</c:v>
                </c:pt>
                <c:pt idx="26">
                  <c:v>127.24502940509109</c:v>
                </c:pt>
                <c:pt idx="27">
                  <c:v>126.16878181115248</c:v>
                </c:pt>
                <c:pt idx="28">
                  <c:v>125.8835748571387</c:v>
                </c:pt>
                <c:pt idx="29">
                  <c:v>132.57655230268125</c:v>
                </c:pt>
                <c:pt idx="30">
                  <c:v>137.08212024049533</c:v>
                </c:pt>
                <c:pt idx="31">
                  <c:v>137.08789457313605</c:v>
                </c:pt>
                <c:pt idx="32">
                  <c:v>138.20535673462118</c:v>
                </c:pt>
                <c:pt idx="33">
                  <c:v>133.88305409390512</c:v>
                </c:pt>
                <c:pt idx="34">
                  <c:v>136.13529068183695</c:v>
                </c:pt>
                <c:pt idx="35">
                  <c:v>137.97703447018981</c:v>
                </c:pt>
                <c:pt idx="36">
                  <c:v>140.66614547411439</c:v>
                </c:pt>
                <c:pt idx="37">
                  <c:v>142.80023363507962</c:v>
                </c:pt>
                <c:pt idx="38">
                  <c:v>143.58935307511103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EB-4BFF-8804-46FA447A9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;[Red]\(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Weight</c:v>
          </c:tx>
          <c:invertIfNegative val="1"/>
          <c:cat>
            <c:strRef>
              <c:f>Dashboard!$M$3:$M$7</c:f>
              <c:strCache>
                <c:ptCount val="5"/>
                <c:pt idx="0">
                  <c:v>Reliance Industries</c:v>
                </c:pt>
                <c:pt idx="1">
                  <c:v>HDFC Bank</c:v>
                </c:pt>
                <c:pt idx="2">
                  <c:v>TCS</c:v>
                </c:pt>
                <c:pt idx="3">
                  <c:v>ICICI Bank</c:v>
                </c:pt>
                <c:pt idx="4">
                  <c:v>Infosys</c:v>
                </c:pt>
              </c:strCache>
            </c:strRef>
          </c:cat>
          <c:val>
            <c:numRef>
              <c:f>Dashboard!$N$3:$N$7</c:f>
              <c:numCache>
                <c:formatCode>0.0%;[Red]\(0.0%\);\-</c:formatCode>
                <c:ptCount val="5"/>
                <c:pt idx="0">
                  <c:v>0.25</c:v>
                </c:pt>
                <c:pt idx="1">
                  <c:v>0.25</c:v>
                </c:pt>
                <c:pt idx="2">
                  <c:v>0.2</c:v>
                </c:pt>
                <c:pt idx="3">
                  <c:v>0.15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D-4F4C-A983-2F691FBF4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Portfolio Drawdown</c:v>
          </c:tx>
          <c:marker>
            <c:symbol val="none"/>
          </c:marker>
          <c:cat>
            <c:strRef>
              <c:f>Dashboard!$T$3:$T$41</c:f>
              <c:strCache>
                <c:ptCount val="39"/>
                <c:pt idx="0">
                  <c:v>Jan-23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Sep-24</c:v>
                </c:pt>
                <c:pt idx="23">
                  <c:v>Oct-24</c:v>
                </c:pt>
                <c:pt idx="24">
                  <c:v>Nov-24</c:v>
                </c:pt>
                <c:pt idx="25">
                  <c:v>Dec-24</c:v>
                </c:pt>
                <c:pt idx="26">
                  <c:v>Jan-25</c:v>
                </c:pt>
                <c:pt idx="27">
                  <c:v>Feb-25</c:v>
                </c:pt>
                <c:pt idx="28">
                  <c:v>Mar-25</c:v>
                </c:pt>
                <c:pt idx="29">
                  <c:v>Apr-25</c:v>
                </c:pt>
                <c:pt idx="30">
                  <c:v>May-25</c:v>
                </c:pt>
                <c:pt idx="31">
                  <c:v>Jun-25</c:v>
                </c:pt>
                <c:pt idx="32">
                  <c:v>Jul-25</c:v>
                </c:pt>
                <c:pt idx="33">
                  <c:v>Aug-25</c:v>
                </c:pt>
                <c:pt idx="34">
                  <c:v>Sep-25</c:v>
                </c:pt>
                <c:pt idx="35">
                  <c:v>Oct-25</c:v>
                </c:pt>
                <c:pt idx="36">
                  <c:v>Nov-25</c:v>
                </c:pt>
                <c:pt idx="37">
                  <c:v>Dec-25</c:v>
                </c:pt>
                <c:pt idx="38">
                  <c:v>Dec-25</c:v>
                </c:pt>
              </c:strCache>
            </c:strRef>
          </c:cat>
          <c:val>
            <c:numRef>
              <c:f>Dashboard!$W$3:$W$41</c:f>
              <c:numCache>
                <c:formatCode>0.0%;[Red]\(0.0%\);\-</c:formatCode>
                <c:ptCount val="39"/>
                <c:pt idx="0">
                  <c:v>0</c:v>
                </c:pt>
                <c:pt idx="1">
                  <c:v>-2.7459023383390568E-2</c:v>
                </c:pt>
                <c:pt idx="2">
                  <c:v>-4.069830990867096E-2</c:v>
                </c:pt>
                <c:pt idx="3">
                  <c:v>-8.2393392311426283E-2</c:v>
                </c:pt>
                <c:pt idx="4">
                  <c:v>-4.3385736531077246E-2</c:v>
                </c:pt>
                <c:pt idx="5">
                  <c:v>-2.3164299274928579E-2</c:v>
                </c:pt>
                <c:pt idx="6">
                  <c:v>-3.130454220283807E-2</c:v>
                </c:pt>
                <c:pt idx="7">
                  <c:v>-2.713945109031235E-2</c:v>
                </c:pt>
                <c:pt idx="8">
                  <c:v>-3.5678692729136041E-2</c:v>
                </c:pt>
                <c:pt idx="9">
                  <c:v>-3.177823803115265E-3</c:v>
                </c:pt>
                <c:pt idx="10">
                  <c:v>-5.2140532938651285E-2</c:v>
                </c:pt>
                <c:pt idx="11">
                  <c:v>-6.2670540216162585E-2</c:v>
                </c:pt>
                <c:pt idx="12">
                  <c:v>-1.2726921014840298E-2</c:v>
                </c:pt>
                <c:pt idx="13">
                  <c:v>-9.603973379732289E-3</c:v>
                </c:pt>
                <c:pt idx="14">
                  <c:v>-1.5207843256568987E-2</c:v>
                </c:pt>
                <c:pt idx="15">
                  <c:v>-1.0789500374803418E-2</c:v>
                </c:pt>
                <c:pt idx="16">
                  <c:v>-5.5271569471636584E-3</c:v>
                </c:pt>
                <c:pt idx="17">
                  <c:v>-3.7411362046788965E-2</c:v>
                </c:pt>
                <c:pt idx="18">
                  <c:v>0</c:v>
                </c:pt>
                <c:pt idx="19">
                  <c:v>-6.0130543180029195E-3</c:v>
                </c:pt>
                <c:pt idx="20">
                  <c:v>-3.8707611795337105E-2</c:v>
                </c:pt>
                <c:pt idx="21">
                  <c:v>-1.6205391057955154E-4</c:v>
                </c:pt>
                <c:pt idx="22">
                  <c:v>-2.0093072300811921E-2</c:v>
                </c:pt>
                <c:pt idx="23">
                  <c:v>-4.9350815564215611E-2</c:v>
                </c:pt>
                <c:pt idx="24">
                  <c:v>-2.7165783386714937E-2</c:v>
                </c:pt>
                <c:pt idx="25">
                  <c:v>-5.0572926997413337E-2</c:v>
                </c:pt>
                <c:pt idx="26">
                  <c:v>-6.9399028515271244E-2</c:v>
                </c:pt>
                <c:pt idx="27">
                  <c:v>-7.8481250442071215E-2</c:v>
                </c:pt>
                <c:pt idx="28">
                  <c:v>-0.10346840092540999</c:v>
                </c:pt>
                <c:pt idx="29">
                  <c:v>-8.3160708492924451E-2</c:v>
                </c:pt>
                <c:pt idx="30">
                  <c:v>-3.0851784320406028E-2</c:v>
                </c:pt>
                <c:pt idx="31">
                  <c:v>-2.5358837341882046E-2</c:v>
                </c:pt>
                <c:pt idx="32">
                  <c:v>-2.3427819727465327E-2</c:v>
                </c:pt>
                <c:pt idx="33">
                  <c:v>-7.2665898952430141E-2</c:v>
                </c:pt>
                <c:pt idx="34">
                  <c:v>-7.6557696562410404E-2</c:v>
                </c:pt>
                <c:pt idx="35">
                  <c:v>-7.4086478526108834E-2</c:v>
                </c:pt>
                <c:pt idx="36">
                  <c:v>-5.749745566363762E-2</c:v>
                </c:pt>
                <c:pt idx="37">
                  <c:v>-1.4600776615066313E-2</c:v>
                </c:pt>
                <c:pt idx="38">
                  <c:v>-1.6491513486072029E-2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2B-43BC-B47D-38995D03100D}"/>
            </c:ext>
          </c:extLst>
        </c:ser>
        <c:ser>
          <c:idx val="1"/>
          <c:order val="1"/>
          <c:tx>
            <c:v>NIFTY 50 Drawdown</c:v>
          </c:tx>
          <c:marker>
            <c:symbol val="none"/>
          </c:marker>
          <c:cat>
            <c:strRef>
              <c:f>Dashboard!$T$3:$T$41</c:f>
              <c:strCache>
                <c:ptCount val="39"/>
                <c:pt idx="0">
                  <c:v>Jan-23</c:v>
                </c:pt>
                <c:pt idx="1">
                  <c:v>Jan-23</c:v>
                </c:pt>
                <c:pt idx="2">
                  <c:v>Feb-23</c:v>
                </c:pt>
                <c:pt idx="3">
                  <c:v>Mar-23</c:v>
                </c:pt>
                <c:pt idx="4">
                  <c:v>Apr-23</c:v>
                </c:pt>
                <c:pt idx="5">
                  <c:v>May-23</c:v>
                </c:pt>
                <c:pt idx="6">
                  <c:v>Jun-23</c:v>
                </c:pt>
                <c:pt idx="7">
                  <c:v>Jul-23</c:v>
                </c:pt>
                <c:pt idx="8">
                  <c:v>Aug-23</c:v>
                </c:pt>
                <c:pt idx="9">
                  <c:v>Sep-23</c:v>
                </c:pt>
                <c:pt idx="10">
                  <c:v>Oct-23</c:v>
                </c:pt>
                <c:pt idx="11">
                  <c:v>Nov-23</c:v>
                </c:pt>
                <c:pt idx="12">
                  <c:v>Dec-23</c:v>
                </c:pt>
                <c:pt idx="13">
                  <c:v>Jan-24</c:v>
                </c:pt>
                <c:pt idx="14">
                  <c:v>Feb-24</c:v>
                </c:pt>
                <c:pt idx="15">
                  <c:v>Mar-24</c:v>
                </c:pt>
                <c:pt idx="16">
                  <c:v>Apr-24</c:v>
                </c:pt>
                <c:pt idx="17">
                  <c:v>May-24</c:v>
                </c:pt>
                <c:pt idx="18">
                  <c:v>Jun-24</c:v>
                </c:pt>
                <c:pt idx="19">
                  <c:v>Jul-24</c:v>
                </c:pt>
                <c:pt idx="20">
                  <c:v>Aug-24</c:v>
                </c:pt>
                <c:pt idx="21">
                  <c:v>Sep-24</c:v>
                </c:pt>
                <c:pt idx="22">
                  <c:v>Sep-24</c:v>
                </c:pt>
                <c:pt idx="23">
                  <c:v>Oct-24</c:v>
                </c:pt>
                <c:pt idx="24">
                  <c:v>Nov-24</c:v>
                </c:pt>
                <c:pt idx="25">
                  <c:v>Dec-24</c:v>
                </c:pt>
                <c:pt idx="26">
                  <c:v>Jan-25</c:v>
                </c:pt>
                <c:pt idx="27">
                  <c:v>Feb-25</c:v>
                </c:pt>
                <c:pt idx="28">
                  <c:v>Mar-25</c:v>
                </c:pt>
                <c:pt idx="29">
                  <c:v>Apr-25</c:v>
                </c:pt>
                <c:pt idx="30">
                  <c:v>May-25</c:v>
                </c:pt>
                <c:pt idx="31">
                  <c:v>Jun-25</c:v>
                </c:pt>
                <c:pt idx="32">
                  <c:v>Jul-25</c:v>
                </c:pt>
                <c:pt idx="33">
                  <c:v>Aug-25</c:v>
                </c:pt>
                <c:pt idx="34">
                  <c:v>Sep-25</c:v>
                </c:pt>
                <c:pt idx="35">
                  <c:v>Oct-25</c:v>
                </c:pt>
                <c:pt idx="36">
                  <c:v>Nov-25</c:v>
                </c:pt>
                <c:pt idx="37">
                  <c:v>Dec-25</c:v>
                </c:pt>
                <c:pt idx="38">
                  <c:v>Dec-25</c:v>
                </c:pt>
              </c:strCache>
            </c:strRef>
          </c:cat>
          <c:val>
            <c:numRef>
              <c:f>Dashboard!$X$3:$X$41</c:f>
              <c:numCache>
                <c:formatCode>0.0%;[Red]\(0.0%\);\-</c:formatCode>
                <c:ptCount val="39"/>
                <c:pt idx="0">
                  <c:v>0</c:v>
                </c:pt>
                <c:pt idx="1">
                  <c:v>-3.2008772085810655E-2</c:v>
                </c:pt>
                <c:pt idx="2">
                  <c:v>-4.606330581915552E-2</c:v>
                </c:pt>
                <c:pt idx="3">
                  <c:v>-6.8386018909775026E-2</c:v>
                </c:pt>
                <c:pt idx="4">
                  <c:v>-9.1896511497615574E-3</c:v>
                </c:pt>
                <c:pt idx="5">
                  <c:v>0</c:v>
                </c:pt>
                <c:pt idx="6">
                  <c:v>-1.014748557361711E-2</c:v>
                </c:pt>
                <c:pt idx="7">
                  <c:v>-1.1719737128305097E-2</c:v>
                </c:pt>
                <c:pt idx="8">
                  <c:v>-2.9308092176169587E-2</c:v>
                </c:pt>
                <c:pt idx="9">
                  <c:v>0</c:v>
                </c:pt>
                <c:pt idx="10">
                  <c:v>-2.2810599969066869E-2</c:v>
                </c:pt>
                <c:pt idx="11">
                  <c:v>-2.5598823347680377E-2</c:v>
                </c:pt>
                <c:pt idx="12">
                  <c:v>-3.3695129954238734E-3</c:v>
                </c:pt>
                <c:pt idx="13">
                  <c:v>-6.0380098314960495E-3</c:v>
                </c:pt>
                <c:pt idx="14">
                  <c:v>-1.425274092191442E-2</c:v>
                </c:pt>
                <c:pt idx="15">
                  <c:v>-7.1531788017711317E-3</c:v>
                </c:pt>
                <c:pt idx="16">
                  <c:v>-1.0390218270411866E-3</c:v>
                </c:pt>
                <c:pt idx="17">
                  <c:v>-3.0702631583013451E-2</c:v>
                </c:pt>
                <c:pt idx="18">
                  <c:v>0</c:v>
                </c:pt>
                <c:pt idx="19">
                  <c:v>-1.3562113637355377E-4</c:v>
                </c:pt>
                <c:pt idx="20">
                  <c:v>-3.8195377468620784E-2</c:v>
                </c:pt>
                <c:pt idx="21">
                  <c:v>0</c:v>
                </c:pt>
                <c:pt idx="22">
                  <c:v>-1.5456224709665456E-2</c:v>
                </c:pt>
                <c:pt idx="23">
                  <c:v>-7.1593559468056012E-2</c:v>
                </c:pt>
                <c:pt idx="24">
                  <c:v>-7.4044348129403859E-2</c:v>
                </c:pt>
                <c:pt idx="25">
                  <c:v>-9.4918964392788574E-2</c:v>
                </c:pt>
                <c:pt idx="26">
                  <c:v>-0.11674913195026515</c:v>
                </c:pt>
                <c:pt idx="27">
                  <c:v>-0.12421973120295926</c:v>
                </c:pt>
                <c:pt idx="28">
                  <c:v>-0.12619944931756266</c:v>
                </c:pt>
                <c:pt idx="29">
                  <c:v>-7.9741224848982828E-2</c:v>
                </c:pt>
                <c:pt idx="30">
                  <c:v>-4.8466551011136949E-2</c:v>
                </c:pt>
                <c:pt idx="31">
                  <c:v>-4.8426469411555595E-2</c:v>
                </c:pt>
                <c:pt idx="32">
                  <c:v>-4.066978587932657E-2</c:v>
                </c:pt>
                <c:pt idx="33">
                  <c:v>-7.0672353187730796E-2</c:v>
                </c:pt>
                <c:pt idx="34">
                  <c:v>-5.5038815825645293E-2</c:v>
                </c:pt>
                <c:pt idx="35">
                  <c:v>-4.22546480872803E-2</c:v>
                </c:pt>
                <c:pt idx="36">
                  <c:v>-2.3588617362126918E-2</c:v>
                </c:pt>
                <c:pt idx="37">
                  <c:v>-8.7751882680409121E-3</c:v>
                </c:pt>
                <c:pt idx="38">
                  <c:v>-3.2976428294385629E-3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B2B-43BC-B47D-38995D031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 anchorCtr="1"/>
          <a:lstStyle/>
          <a:p>
            <a:pPr>
              <a:defRPr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Annualized Return</c:v>
          </c:tx>
          <c:invertIfNegative val="1"/>
          <c:cat>
            <c:strRef>
              <c:f>Dashboard!$P$3:$P$8</c:f>
              <c:strCache>
                <c:ptCount val="6"/>
                <c:pt idx="0">
                  <c:v>Reliance Industries</c:v>
                </c:pt>
                <c:pt idx="1">
                  <c:v>HDFC Bank</c:v>
                </c:pt>
                <c:pt idx="2">
                  <c:v>TCS</c:v>
                </c:pt>
                <c:pt idx="3">
                  <c:v>ICICI Bank</c:v>
                </c:pt>
                <c:pt idx="4">
                  <c:v>Infosys</c:v>
                </c:pt>
                <c:pt idx="5">
                  <c:v>Portfolio</c:v>
                </c:pt>
              </c:strCache>
            </c:strRef>
          </c:cat>
          <c:val>
            <c:numRef>
              <c:f>Dashboard!$Q$3:$Q$8</c:f>
              <c:numCache>
                <c:formatCode>0.0%;[Red]\(0.0%\);\-</c:formatCode>
                <c:ptCount val="6"/>
                <c:pt idx="0">
                  <c:v>0.10133520326186818</c:v>
                </c:pt>
                <c:pt idx="1">
                  <c:v>8.1531018143771394E-2</c:v>
                </c:pt>
                <c:pt idx="2">
                  <c:v>2.4010476554920723E-2</c:v>
                </c:pt>
                <c:pt idx="3">
                  <c:v>0.15116181118298289</c:v>
                </c:pt>
                <c:pt idx="4">
                  <c:v>4.9480330029199493E-2</c:v>
                </c:pt>
                <c:pt idx="5">
                  <c:v>9.1319430355413012E-2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1-4D47-87EB-9126C05C2FFF}"/>
            </c:ext>
          </c:extLst>
        </c:ser>
        <c:ser>
          <c:idx val="1"/>
          <c:order val="1"/>
          <c:tx>
            <c:v>Annualized Volatility</c:v>
          </c:tx>
          <c:invertIfNegative val="1"/>
          <c:cat>
            <c:strRef>
              <c:f>Dashboard!$P$3:$P$8</c:f>
              <c:strCache>
                <c:ptCount val="6"/>
                <c:pt idx="0">
                  <c:v>Reliance Industries</c:v>
                </c:pt>
                <c:pt idx="1">
                  <c:v>HDFC Bank</c:v>
                </c:pt>
                <c:pt idx="2">
                  <c:v>TCS</c:v>
                </c:pt>
                <c:pt idx="3">
                  <c:v>ICICI Bank</c:v>
                </c:pt>
                <c:pt idx="4">
                  <c:v>Infosys</c:v>
                </c:pt>
                <c:pt idx="5">
                  <c:v>Portfolio</c:v>
                </c:pt>
              </c:strCache>
            </c:strRef>
          </c:cat>
          <c:val>
            <c:numRef>
              <c:f>Dashboard!$R$3:$R$8</c:f>
              <c:numCache>
                <c:formatCode>0.0%;[Red]\(0.0%\);\-</c:formatCode>
                <c:ptCount val="6"/>
                <c:pt idx="0">
                  <c:v>0.20065113814876417</c:v>
                </c:pt>
                <c:pt idx="1">
                  <c:v>0.18471887122188355</c:v>
                </c:pt>
                <c:pt idx="2">
                  <c:v>0.19763317381305773</c:v>
                </c:pt>
                <c:pt idx="3">
                  <c:v>0.17645904510022667</c:v>
                </c:pt>
                <c:pt idx="4">
                  <c:v>0.23749017729009098</c:v>
                </c:pt>
                <c:pt idx="5">
                  <c:v>0.13396617913255154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1-4D47-87EB-9126C05C2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11</xdr:col>
      <xdr:colOff>0</xdr:colOff>
      <xdr:row>39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Normal="100" zoomScaleSheetLayoutView="100" workbookViewId="0">
      <selection activeCell="A2" sqref="A2"/>
    </sheetView>
  </sheetViews>
  <sheetFormatPr defaultRowHeight="14.25"/>
  <cols>
    <col min="1" max="1" width="20.875" customWidth="1"/>
    <col min="2" max="2" width="36" customWidth="1"/>
    <col min="3" max="3" width="3" customWidth="1"/>
    <col min="4" max="4" width="22" customWidth="1"/>
    <col min="5" max="8" width="15" customWidth="1"/>
  </cols>
  <sheetData>
    <row r="1" spans="1:8" ht="30" customHeight="1">
      <c r="A1" s="28" t="s">
        <v>0</v>
      </c>
      <c r="B1" s="28"/>
      <c r="C1" s="28"/>
      <c r="D1" s="28"/>
      <c r="E1" s="28"/>
      <c r="F1" s="28"/>
      <c r="G1" s="28"/>
      <c r="H1" s="28"/>
    </row>
    <row r="2" spans="1:8" ht="15.75">
      <c r="A2" s="29" t="s">
        <v>1</v>
      </c>
      <c r="B2" s="30"/>
      <c r="C2" s="30"/>
      <c r="D2" s="30"/>
      <c r="E2" s="30"/>
      <c r="F2" s="30"/>
      <c r="G2" s="30"/>
      <c r="H2" s="30"/>
    </row>
    <row r="3" spans="1:8" ht="15">
      <c r="A3" s="5"/>
      <c r="B3" s="5"/>
      <c r="C3" s="5"/>
      <c r="D3" s="5"/>
      <c r="E3" s="5"/>
      <c r="F3" s="5"/>
      <c r="G3" s="5"/>
      <c r="H3" s="5"/>
    </row>
    <row r="4" spans="1:8" ht="15">
      <c r="A4" s="31" t="s">
        <v>2</v>
      </c>
      <c r="B4" s="31"/>
      <c r="C4" s="31"/>
      <c r="D4" s="31"/>
      <c r="E4" s="31"/>
      <c r="F4" s="31"/>
      <c r="G4" s="31"/>
      <c r="H4" s="31"/>
    </row>
    <row r="5" spans="1:8">
      <c r="A5" s="32" t="s">
        <v>3</v>
      </c>
      <c r="B5" s="32"/>
      <c r="C5" s="32"/>
      <c r="D5" s="32"/>
      <c r="E5" s="32"/>
      <c r="F5" s="32"/>
      <c r="G5" s="32"/>
      <c r="H5" s="32"/>
    </row>
    <row r="6" spans="1:8">
      <c r="A6" s="32"/>
      <c r="B6" s="32"/>
      <c r="C6" s="32"/>
      <c r="D6" s="32"/>
      <c r="E6" s="32"/>
      <c r="F6" s="32"/>
      <c r="G6" s="32"/>
      <c r="H6" s="32"/>
    </row>
    <row r="7" spans="1:8" ht="48" customHeight="1">
      <c r="A7" s="19"/>
      <c r="B7" s="19"/>
      <c r="C7" s="19"/>
      <c r="D7" s="19"/>
      <c r="E7" s="19"/>
      <c r="F7" s="5"/>
      <c r="G7" s="5"/>
      <c r="H7" s="5"/>
    </row>
    <row r="8" spans="1:8" ht="15">
      <c r="A8" s="31" t="s">
        <v>4</v>
      </c>
      <c r="B8" s="31"/>
      <c r="C8" s="31"/>
      <c r="D8" s="31" t="s">
        <v>5</v>
      </c>
      <c r="E8" s="31"/>
      <c r="F8" s="31"/>
      <c r="G8" s="31"/>
      <c r="H8" s="31"/>
    </row>
    <row r="9" spans="1:8" ht="29.25">
      <c r="A9" s="4" t="s">
        <v>6</v>
      </c>
      <c r="B9" s="4" t="s">
        <v>7</v>
      </c>
      <c r="C9" s="5"/>
      <c r="D9" s="4" t="s">
        <v>8</v>
      </c>
      <c r="E9" s="4" t="s">
        <v>9</v>
      </c>
      <c r="F9" s="4"/>
      <c r="G9" s="4"/>
      <c r="H9" s="4"/>
    </row>
    <row r="10" spans="1:8" ht="43.5">
      <c r="A10" s="19" t="s">
        <v>10</v>
      </c>
      <c r="B10" s="19" t="s">
        <v>11</v>
      </c>
      <c r="C10" s="5"/>
      <c r="D10" s="19" t="s">
        <v>12</v>
      </c>
      <c r="E10" s="19" t="s">
        <v>13</v>
      </c>
      <c r="F10" s="19"/>
      <c r="G10" s="19"/>
      <c r="H10" s="19"/>
    </row>
    <row r="11" spans="1:8" ht="29.25">
      <c r="A11" s="19" t="s">
        <v>14</v>
      </c>
      <c r="B11" s="19" t="s">
        <v>15</v>
      </c>
      <c r="C11" s="5"/>
      <c r="D11" s="19" t="s">
        <v>16</v>
      </c>
      <c r="E11" s="19" t="s">
        <v>17</v>
      </c>
      <c r="F11" s="19"/>
      <c r="G11" s="19"/>
      <c r="H11" s="19"/>
    </row>
    <row r="12" spans="1:8" ht="43.5">
      <c r="A12" s="19" t="s">
        <v>18</v>
      </c>
      <c r="B12" s="19" t="s">
        <v>19</v>
      </c>
      <c r="C12" s="5"/>
      <c r="D12" s="19" t="s">
        <v>20</v>
      </c>
      <c r="E12" s="19" t="s">
        <v>21</v>
      </c>
      <c r="F12" s="19"/>
      <c r="G12" s="19"/>
      <c r="H12" s="19"/>
    </row>
    <row r="13" spans="1:8" ht="57.75">
      <c r="A13" s="19" t="s">
        <v>22</v>
      </c>
      <c r="B13" s="19" t="s">
        <v>23</v>
      </c>
      <c r="C13" s="5"/>
      <c r="D13" s="19" t="s">
        <v>24</v>
      </c>
      <c r="E13" s="19" t="s">
        <v>25</v>
      </c>
      <c r="F13" s="19"/>
      <c r="G13" s="19"/>
      <c r="H13" s="19"/>
    </row>
    <row r="14" spans="1:8" ht="43.5">
      <c r="A14" s="19" t="s">
        <v>26</v>
      </c>
      <c r="B14" s="19" t="s">
        <v>27</v>
      </c>
      <c r="C14" s="5"/>
      <c r="D14" s="19" t="s">
        <v>28</v>
      </c>
      <c r="E14" s="19" t="s">
        <v>29</v>
      </c>
      <c r="F14" s="19"/>
      <c r="G14" s="19"/>
      <c r="H14" s="19"/>
    </row>
    <row r="15" spans="1:8" ht="15">
      <c r="A15" s="5"/>
      <c r="B15" s="5"/>
      <c r="C15" s="5"/>
      <c r="D15" s="5"/>
      <c r="E15" s="5"/>
      <c r="F15" s="5"/>
      <c r="G15" s="5"/>
      <c r="H15" s="5"/>
    </row>
    <row r="16" spans="1:8" ht="15">
      <c r="A16" s="33"/>
      <c r="B16" s="33"/>
      <c r="C16" s="33"/>
      <c r="D16" s="33"/>
      <c r="E16" s="33"/>
      <c r="F16" s="33"/>
      <c r="G16" s="33"/>
      <c r="H16" s="33"/>
    </row>
    <row r="17" spans="1:8">
      <c r="A17" s="34"/>
      <c r="B17" s="34"/>
      <c r="C17" s="34"/>
      <c r="D17" s="34"/>
      <c r="E17" s="34"/>
      <c r="F17" s="34"/>
      <c r="G17" s="34"/>
      <c r="H17" s="34"/>
    </row>
    <row r="18" spans="1:8">
      <c r="A18" s="34"/>
      <c r="B18" s="34"/>
      <c r="C18" s="34"/>
      <c r="D18" s="34"/>
      <c r="E18" s="34"/>
      <c r="F18" s="34"/>
      <c r="G18" s="34"/>
      <c r="H18" s="34"/>
    </row>
    <row r="19" spans="1:8">
      <c r="A19" s="34"/>
      <c r="B19" s="34"/>
      <c r="C19" s="34"/>
      <c r="D19" s="34"/>
      <c r="E19" s="34"/>
      <c r="F19" s="34"/>
      <c r="G19" s="34"/>
      <c r="H19" s="34"/>
    </row>
    <row r="20" spans="1:8" ht="15">
      <c r="A20" s="21"/>
      <c r="B20" s="21"/>
      <c r="C20" s="21"/>
      <c r="D20" s="21"/>
      <c r="E20" s="21"/>
      <c r="F20" s="21"/>
      <c r="G20" s="21"/>
      <c r="H20" s="21"/>
    </row>
    <row r="21" spans="1:8" ht="15">
      <c r="A21" s="33"/>
      <c r="B21" s="33"/>
      <c r="C21" s="33"/>
      <c r="D21" s="33"/>
      <c r="E21" s="33"/>
      <c r="F21" s="33"/>
      <c r="G21" s="33"/>
      <c r="H21" s="33"/>
    </row>
    <row r="22" spans="1:8" ht="15">
      <c r="A22" s="22"/>
      <c r="B22" s="22"/>
      <c r="C22" s="22"/>
      <c r="D22" s="22"/>
      <c r="E22" s="22"/>
      <c r="F22" s="22"/>
      <c r="G22" s="22"/>
      <c r="H22" s="22"/>
    </row>
    <row r="23" spans="1:8" ht="15">
      <c r="A23" s="22"/>
      <c r="B23" s="22"/>
      <c r="C23" s="22"/>
      <c r="D23" s="22"/>
      <c r="E23" s="22"/>
      <c r="F23" s="22"/>
      <c r="G23" s="22"/>
      <c r="H23" s="22"/>
    </row>
    <row r="24" spans="1:8" ht="15">
      <c r="A24" s="22"/>
      <c r="B24" s="22"/>
      <c r="C24" s="22"/>
      <c r="D24" s="22"/>
      <c r="E24" s="22"/>
      <c r="F24" s="22"/>
      <c r="G24" s="22"/>
      <c r="H24" s="22"/>
    </row>
    <row r="25" spans="1:8" ht="15">
      <c r="A25" s="22"/>
      <c r="B25" s="22"/>
      <c r="C25" s="22"/>
      <c r="D25" s="19"/>
      <c r="E25" s="19"/>
      <c r="F25" s="19"/>
      <c r="G25" s="19"/>
      <c r="H25" s="19"/>
    </row>
    <row r="26" spans="1:8" ht="15">
      <c r="A26" s="22"/>
      <c r="B26" s="22"/>
      <c r="C26" s="22"/>
      <c r="D26" s="19"/>
      <c r="E26" s="19"/>
      <c r="F26" s="19"/>
      <c r="G26" s="19"/>
      <c r="H26" s="19"/>
    </row>
    <row r="27" spans="1:8" ht="15">
      <c r="A27" s="22"/>
      <c r="B27" s="22"/>
      <c r="C27" s="22"/>
      <c r="D27" s="19"/>
      <c r="E27" s="19"/>
      <c r="F27" s="19"/>
      <c r="G27" s="19"/>
      <c r="H27" s="19"/>
    </row>
    <row r="28" spans="1:8">
      <c r="A28" s="2"/>
      <c r="B28" s="2"/>
      <c r="C28" s="2"/>
    </row>
    <row r="29" spans="1:8">
      <c r="A29" s="2"/>
      <c r="B29" s="2"/>
      <c r="C29" s="2"/>
    </row>
    <row r="30" spans="1:8">
      <c r="A30" s="2"/>
      <c r="B30" s="2"/>
      <c r="C30" s="2"/>
    </row>
    <row r="31" spans="1:8">
      <c r="A31" s="2"/>
      <c r="B31" s="2"/>
      <c r="C31" s="2"/>
    </row>
    <row r="32" spans="1:8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</sheetData>
  <mergeCells count="7">
    <mergeCell ref="A17:H19"/>
    <mergeCell ref="A21:H21"/>
    <mergeCell ref="A1:H1"/>
    <mergeCell ref="A4:H4"/>
    <mergeCell ref="A5:H6"/>
    <mergeCell ref="A8:H8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zoomScaleSheetLayoutView="100" workbookViewId="0">
      <selection activeCell="C26" sqref="C26"/>
    </sheetView>
  </sheetViews>
  <sheetFormatPr defaultRowHeight="14.25"/>
  <cols>
    <col min="1" max="1" width="22" style="1" customWidth="1"/>
    <col min="2" max="6" width="22" customWidth="1"/>
    <col min="7" max="26" width="9" style="1"/>
  </cols>
  <sheetData>
    <row r="1" spans="1:6" ht="30" customHeight="1">
      <c r="A1" s="28" t="s">
        <v>30</v>
      </c>
      <c r="B1" s="28"/>
      <c r="C1" s="28"/>
      <c r="D1" s="28"/>
      <c r="E1" s="28"/>
      <c r="F1" s="28"/>
    </row>
    <row r="2" spans="1:6" ht="15">
      <c r="A2" s="3"/>
      <c r="B2" s="3"/>
      <c r="C2" s="3"/>
      <c r="D2" s="3"/>
      <c r="E2" s="3"/>
      <c r="F2" s="3"/>
    </row>
    <row r="3" spans="1:6" ht="15">
      <c r="A3" s="31" t="s">
        <v>31</v>
      </c>
      <c r="B3" s="31"/>
      <c r="C3" s="31"/>
      <c r="D3" s="31"/>
      <c r="E3" s="31"/>
      <c r="F3" s="31"/>
    </row>
    <row r="4" spans="1:6" ht="15">
      <c r="A4" s="20" t="s">
        <v>32</v>
      </c>
      <c r="B4" s="20" t="s">
        <v>33</v>
      </c>
      <c r="C4" s="20" t="s">
        <v>34</v>
      </c>
      <c r="D4" s="20" t="s">
        <v>35</v>
      </c>
      <c r="E4" s="20" t="s">
        <v>36</v>
      </c>
      <c r="F4" s="20" t="s">
        <v>37</v>
      </c>
    </row>
    <row r="5" spans="1:6" ht="15">
      <c r="A5" s="3" t="s">
        <v>38</v>
      </c>
      <c r="B5" s="3" t="s">
        <v>39</v>
      </c>
      <c r="C5" s="3" t="s">
        <v>40</v>
      </c>
      <c r="D5" s="6">
        <v>0.25</v>
      </c>
      <c r="E5" s="7">
        <f>$B$14*D5</f>
        <v>25000</v>
      </c>
      <c r="F5" s="3" t="s">
        <v>41</v>
      </c>
    </row>
    <row r="6" spans="1:6" ht="15">
      <c r="A6" s="3" t="s">
        <v>42</v>
      </c>
      <c r="B6" s="3" t="s">
        <v>43</v>
      </c>
      <c r="C6" s="3" t="s">
        <v>44</v>
      </c>
      <c r="D6" s="6">
        <v>0.25</v>
      </c>
      <c r="E6" s="7">
        <f>$B$14*D6</f>
        <v>25000</v>
      </c>
      <c r="F6" s="3" t="s">
        <v>41</v>
      </c>
    </row>
    <row r="7" spans="1:6" ht="15">
      <c r="A7" s="3" t="s">
        <v>45</v>
      </c>
      <c r="B7" s="3" t="s">
        <v>46</v>
      </c>
      <c r="C7" s="3" t="s">
        <v>47</v>
      </c>
      <c r="D7" s="6">
        <v>0.2</v>
      </c>
      <c r="E7" s="7">
        <f>$B$14*D7</f>
        <v>20000</v>
      </c>
      <c r="F7" s="3" t="s">
        <v>41</v>
      </c>
    </row>
    <row r="8" spans="1:6" ht="15">
      <c r="A8" s="3" t="s">
        <v>48</v>
      </c>
      <c r="B8" s="3" t="s">
        <v>49</v>
      </c>
      <c r="C8" s="3" t="s">
        <v>44</v>
      </c>
      <c r="D8" s="6">
        <v>0.15</v>
      </c>
      <c r="E8" s="7">
        <f>$B$14*D8</f>
        <v>15000</v>
      </c>
      <c r="F8" s="3" t="s">
        <v>41</v>
      </c>
    </row>
    <row r="9" spans="1:6" ht="15">
      <c r="A9" s="3" t="s">
        <v>50</v>
      </c>
      <c r="B9" s="3" t="s">
        <v>51</v>
      </c>
      <c r="C9" s="3" t="s">
        <v>47</v>
      </c>
      <c r="D9" s="6">
        <v>0.15</v>
      </c>
      <c r="E9" s="7">
        <f>$B$14*D9</f>
        <v>15000</v>
      </c>
      <c r="F9" s="3" t="s">
        <v>41</v>
      </c>
    </row>
    <row r="10" spans="1:6" ht="15">
      <c r="A10" s="8" t="s">
        <v>52</v>
      </c>
      <c r="B10" s="8"/>
      <c r="C10" s="8"/>
      <c r="D10" s="9">
        <f>SUM(D5:D9)</f>
        <v>1</v>
      </c>
      <c r="E10" s="10">
        <f>SUM(E5:E9)</f>
        <v>100000</v>
      </c>
      <c r="F10" s="8" t="s">
        <v>53</v>
      </c>
    </row>
    <row r="11" spans="1:6" ht="15">
      <c r="A11" s="3"/>
      <c r="B11" s="3"/>
      <c r="C11" s="3"/>
      <c r="D11" s="3"/>
      <c r="E11" s="3"/>
      <c r="F11" s="3"/>
    </row>
    <row r="12" spans="1:6" ht="15">
      <c r="A12" s="31" t="s">
        <v>54</v>
      </c>
      <c r="B12" s="31"/>
      <c r="C12" s="31"/>
      <c r="D12" s="31"/>
      <c r="E12" s="31"/>
      <c r="F12" s="31"/>
    </row>
    <row r="13" spans="1:6" ht="15">
      <c r="A13" s="20" t="s">
        <v>55</v>
      </c>
      <c r="B13" s="20" t="s">
        <v>56</v>
      </c>
      <c r="C13" s="3"/>
      <c r="D13" s="35" t="s">
        <v>57</v>
      </c>
      <c r="E13" s="35"/>
      <c r="F13" s="35"/>
    </row>
    <row r="14" spans="1:6" ht="15">
      <c r="A14" s="3" t="s">
        <v>58</v>
      </c>
      <c r="B14" s="11">
        <v>100000</v>
      </c>
      <c r="C14" s="3"/>
      <c r="D14" s="12" t="s">
        <v>59</v>
      </c>
      <c r="E14" s="12" t="s">
        <v>60</v>
      </c>
      <c r="F14" s="12" t="s">
        <v>61</v>
      </c>
    </row>
    <row r="15" spans="1:6" ht="15">
      <c r="A15" s="3" t="s">
        <v>62</v>
      </c>
      <c r="B15" s="6">
        <v>6.5000000000000002E-2</v>
      </c>
      <c r="C15" s="3"/>
      <c r="D15" s="3" t="s">
        <v>63</v>
      </c>
      <c r="E15" s="13">
        <f>D10</f>
        <v>1</v>
      </c>
      <c r="F15" s="14" t="str">
        <f>IF(ABS(E15-1)&lt;0.0001,"OK","FIX WEIGHTS")</f>
        <v>OK</v>
      </c>
    </row>
    <row r="16" spans="1:6" ht="15">
      <c r="A16" s="3" t="s">
        <v>64</v>
      </c>
      <c r="B16" s="15">
        <v>252</v>
      </c>
      <c r="C16" s="3"/>
      <c r="D16" s="3" t="s">
        <v>65</v>
      </c>
      <c r="E16" s="14">
        <f>COUNTA(A5:A9)</f>
        <v>5</v>
      </c>
      <c r="F16" s="14" t="str">
        <f>IF(E16=5,"OK","CHECK")</f>
        <v>OK</v>
      </c>
    </row>
    <row r="17" spans="1:6" ht="15">
      <c r="A17" s="3" t="s">
        <v>66</v>
      </c>
      <c r="B17" s="23">
        <v>44928</v>
      </c>
      <c r="C17" s="3"/>
      <c r="D17" s="3" t="s">
        <v>67</v>
      </c>
      <c r="E17" s="14">
        <f>COUNTA('Price Data'!A5:A744)</f>
        <v>740</v>
      </c>
      <c r="F17" s="14" t="str">
        <f>IF(E17&gt;500,"OK","CHECK DATA")</f>
        <v>OK</v>
      </c>
    </row>
    <row r="18" spans="1:6" ht="15">
      <c r="A18" s="3" t="s">
        <v>68</v>
      </c>
      <c r="B18" s="23">
        <v>46022</v>
      </c>
      <c r="C18" s="3"/>
      <c r="D18" s="3"/>
      <c r="E18" s="3"/>
      <c r="F18" s="3"/>
    </row>
    <row r="19" spans="1:6" ht="15">
      <c r="A19" s="3" t="s">
        <v>69</v>
      </c>
      <c r="B19" s="16" t="s">
        <v>70</v>
      </c>
      <c r="C19" s="16"/>
      <c r="D19" s="16"/>
      <c r="E19" s="3"/>
      <c r="F19" s="3"/>
    </row>
    <row r="20" spans="1:6" ht="15">
      <c r="A20" s="3"/>
      <c r="B20" s="3"/>
      <c r="C20" s="3"/>
      <c r="D20" s="3"/>
      <c r="E20" s="3"/>
      <c r="F20" s="3"/>
    </row>
    <row r="21" spans="1:6" ht="15">
      <c r="A21" s="3"/>
      <c r="B21" s="3"/>
      <c r="C21" s="3"/>
      <c r="D21" s="3"/>
      <c r="E21" s="3"/>
      <c r="F21" s="3"/>
    </row>
    <row r="22" spans="1:6" ht="15">
      <c r="A22" s="3"/>
      <c r="B22" s="3"/>
      <c r="C22" s="3"/>
      <c r="D22" s="3"/>
      <c r="E22" s="3"/>
      <c r="F22" s="3"/>
    </row>
    <row r="23" spans="1:6" ht="15">
      <c r="A23" s="3"/>
      <c r="B23" s="3"/>
      <c r="C23" s="3"/>
      <c r="D23" s="3"/>
      <c r="E23" s="3"/>
      <c r="F23" s="3"/>
    </row>
    <row r="24" spans="1:6" ht="15">
      <c r="A24" s="3"/>
      <c r="B24" s="3"/>
      <c r="C24" s="3"/>
      <c r="D24" s="3"/>
      <c r="E24" s="3"/>
      <c r="F24" s="3"/>
    </row>
    <row r="25" spans="1:6" ht="15">
      <c r="A25" s="3"/>
      <c r="B25" s="3"/>
      <c r="C25" s="3"/>
      <c r="D25" s="3"/>
      <c r="E25" s="3"/>
      <c r="F25" s="3"/>
    </row>
    <row r="26" spans="1:6" ht="15">
      <c r="A26" s="3"/>
      <c r="B26" s="3"/>
      <c r="C26" s="3"/>
      <c r="D26" s="3"/>
      <c r="E26" s="3"/>
      <c r="F26" s="3"/>
    </row>
    <row r="27" spans="1:6" ht="15">
      <c r="A27" s="3"/>
      <c r="B27" s="3"/>
      <c r="C27" s="3"/>
      <c r="D27" s="3"/>
      <c r="E27" s="3"/>
      <c r="F27" s="3"/>
    </row>
    <row r="28" spans="1:6" ht="15">
      <c r="A28" s="3"/>
      <c r="B28" s="3"/>
      <c r="C28" s="3"/>
      <c r="D28" s="3"/>
      <c r="E28" s="3"/>
      <c r="F28" s="3"/>
    </row>
    <row r="29" spans="1:6" ht="15">
      <c r="A29" s="3"/>
      <c r="B29" s="3"/>
      <c r="C29" s="3"/>
      <c r="D29" s="3"/>
      <c r="E29" s="3"/>
      <c r="F29" s="3"/>
    </row>
    <row r="30" spans="1:6" ht="15">
      <c r="A30" s="3"/>
      <c r="B30" s="3"/>
      <c r="C30" s="3"/>
      <c r="D30" s="3"/>
      <c r="E30" s="3"/>
      <c r="F30" s="3"/>
    </row>
    <row r="31" spans="1:6" ht="15">
      <c r="A31" s="3"/>
      <c r="B31" s="3"/>
      <c r="C31" s="3"/>
      <c r="D31" s="3"/>
      <c r="E31" s="3"/>
      <c r="F31" s="3"/>
    </row>
    <row r="32" spans="1:6" ht="15">
      <c r="A32" s="3"/>
      <c r="B32" s="3"/>
      <c r="C32" s="3"/>
      <c r="D32" s="3"/>
      <c r="E32" s="3"/>
      <c r="F32" s="3"/>
    </row>
    <row r="33" spans="2:6" ht="15">
      <c r="B33" s="3"/>
      <c r="C33" s="3"/>
      <c r="D33" s="3"/>
      <c r="E33" s="3"/>
      <c r="F33" s="3"/>
    </row>
    <row r="34" spans="2:6" ht="15">
      <c r="B34" s="3"/>
      <c r="C34" s="3"/>
      <c r="D34" s="3"/>
      <c r="E34" s="3"/>
      <c r="F34" s="3"/>
    </row>
    <row r="35" spans="2:6" ht="15">
      <c r="B35" s="3"/>
      <c r="C35" s="3"/>
      <c r="D35" s="3"/>
      <c r="E35" s="3"/>
      <c r="F35" s="3"/>
    </row>
    <row r="36" spans="2:6" ht="15">
      <c r="B36" s="3"/>
      <c r="C36" s="3"/>
      <c r="D36" s="3"/>
      <c r="E36" s="3"/>
      <c r="F36" s="3"/>
    </row>
    <row r="37" spans="2:6" ht="15">
      <c r="B37" s="3"/>
      <c r="C37" s="3"/>
      <c r="D37" s="3"/>
      <c r="E37" s="3"/>
      <c r="F37" s="3"/>
    </row>
    <row r="38" spans="2:6" ht="15">
      <c r="B38" s="3"/>
      <c r="C38" s="3"/>
      <c r="D38" s="3"/>
      <c r="E38" s="3"/>
      <c r="F38" s="3"/>
    </row>
    <row r="39" spans="2:6" ht="15">
      <c r="B39" s="3"/>
      <c r="C39" s="3"/>
      <c r="D39" s="3"/>
      <c r="E39" s="3"/>
      <c r="F39" s="3"/>
    </row>
    <row r="40" spans="2:6" ht="15">
      <c r="B40" s="3"/>
      <c r="C40" s="3"/>
      <c r="D40" s="3"/>
      <c r="E40" s="3"/>
      <c r="F40" s="3"/>
    </row>
    <row r="41" spans="2:6" ht="15">
      <c r="B41" s="3"/>
      <c r="C41" s="3"/>
      <c r="D41" s="3"/>
      <c r="E41" s="3"/>
      <c r="F41" s="3"/>
    </row>
    <row r="42" spans="2:6" ht="15">
      <c r="B42" s="3"/>
      <c r="C42" s="3"/>
      <c r="D42" s="3"/>
      <c r="E42" s="3"/>
      <c r="F42" s="3"/>
    </row>
    <row r="43" spans="2:6" ht="15">
      <c r="B43" s="3"/>
      <c r="C43" s="3"/>
      <c r="D43" s="3"/>
      <c r="E43" s="3"/>
      <c r="F43" s="3"/>
    </row>
    <row r="44" spans="2:6" ht="15">
      <c r="B44" s="3"/>
      <c r="C44" s="3"/>
      <c r="D44" s="3"/>
      <c r="E44" s="3"/>
      <c r="F44" s="3"/>
    </row>
    <row r="45" spans="2:6" ht="15">
      <c r="B45" s="3"/>
      <c r="C45" s="3"/>
      <c r="D45" s="3"/>
      <c r="E45" s="3"/>
      <c r="F45" s="3"/>
    </row>
    <row r="46" spans="2:6" ht="15">
      <c r="B46" s="3"/>
      <c r="C46" s="3"/>
      <c r="D46" s="3"/>
      <c r="E46" s="3"/>
      <c r="F46" s="3"/>
    </row>
    <row r="47" spans="2:6" ht="15">
      <c r="B47" s="3"/>
      <c r="C47" s="3"/>
      <c r="D47" s="3"/>
      <c r="E47" s="3"/>
      <c r="F47" s="3"/>
    </row>
    <row r="48" spans="2:6" ht="15">
      <c r="B48" s="3"/>
      <c r="C48" s="3"/>
      <c r="D48" s="3"/>
      <c r="E48" s="3"/>
      <c r="F48" s="3"/>
    </row>
    <row r="49" spans="2:6" ht="15">
      <c r="B49" s="3"/>
      <c r="C49" s="3"/>
      <c r="D49" s="3"/>
      <c r="E49" s="3"/>
      <c r="F49" s="3"/>
    </row>
    <row r="50" spans="2:6" ht="15">
      <c r="B50" s="3"/>
      <c r="C50" s="3"/>
      <c r="D50" s="3"/>
      <c r="E50" s="3"/>
      <c r="F50" s="3"/>
    </row>
    <row r="51" spans="2:6" ht="15">
      <c r="B51" s="3"/>
      <c r="C51" s="3"/>
      <c r="D51" s="3"/>
      <c r="E51" s="3"/>
      <c r="F51" s="3"/>
    </row>
    <row r="52" spans="2:6" ht="15">
      <c r="B52" s="3"/>
      <c r="C52" s="3"/>
      <c r="D52" s="3"/>
      <c r="E52" s="3"/>
      <c r="F52" s="3"/>
    </row>
    <row r="53" spans="2:6" ht="15">
      <c r="B53" s="3"/>
      <c r="C53" s="3"/>
      <c r="D53" s="3"/>
      <c r="E53" s="3"/>
      <c r="F53" s="3"/>
    </row>
    <row r="54" spans="2:6" ht="15">
      <c r="B54" s="3"/>
      <c r="C54" s="3"/>
      <c r="D54" s="3"/>
      <c r="E54" s="3"/>
      <c r="F54" s="3"/>
    </row>
    <row r="55" spans="2:6" ht="15">
      <c r="B55" s="3"/>
      <c r="C55" s="3"/>
      <c r="D55" s="3"/>
      <c r="E55" s="3"/>
      <c r="F55" s="3"/>
    </row>
    <row r="56" spans="2:6" ht="15">
      <c r="B56" s="3"/>
      <c r="C56" s="3"/>
      <c r="D56" s="3"/>
      <c r="E56" s="3"/>
      <c r="F56" s="3"/>
    </row>
    <row r="57" spans="2:6" ht="15">
      <c r="B57" s="3"/>
      <c r="C57" s="3"/>
      <c r="D57" s="3"/>
      <c r="E57" s="3"/>
      <c r="F57" s="3"/>
    </row>
    <row r="58" spans="2:6" ht="15">
      <c r="B58" s="3"/>
      <c r="C58" s="3"/>
      <c r="D58" s="3"/>
      <c r="E58" s="3"/>
      <c r="F58" s="3"/>
    </row>
    <row r="59" spans="2:6" ht="15">
      <c r="B59" s="3"/>
      <c r="C59" s="3"/>
      <c r="D59" s="3"/>
      <c r="E59" s="3"/>
      <c r="F59" s="3"/>
    </row>
    <row r="60" spans="2:6" ht="15">
      <c r="B60" s="3"/>
      <c r="C60" s="3"/>
      <c r="D60" s="3"/>
      <c r="E60" s="3"/>
      <c r="F60" s="3"/>
    </row>
    <row r="61" spans="2:6" ht="15">
      <c r="B61" s="3"/>
      <c r="C61" s="3"/>
      <c r="D61" s="3"/>
      <c r="E61" s="3"/>
      <c r="F61" s="3"/>
    </row>
    <row r="62" spans="2:6" ht="15">
      <c r="B62" s="3"/>
      <c r="C62" s="3"/>
      <c r="D62" s="3"/>
      <c r="E62" s="3"/>
      <c r="F62" s="3"/>
    </row>
    <row r="63" spans="2:6" ht="15">
      <c r="B63" s="3"/>
      <c r="C63" s="3"/>
      <c r="D63" s="3"/>
      <c r="E63" s="3"/>
      <c r="F63" s="3"/>
    </row>
    <row r="64" spans="2:6" ht="15">
      <c r="B64" s="3"/>
      <c r="C64" s="3"/>
      <c r="D64" s="3"/>
      <c r="E64" s="3"/>
      <c r="F64" s="3"/>
    </row>
    <row r="65" spans="2:6" ht="15">
      <c r="B65" s="3"/>
      <c r="C65" s="3"/>
      <c r="D65" s="3"/>
      <c r="E65" s="3"/>
      <c r="F65" s="3"/>
    </row>
    <row r="66" spans="2:6" ht="15">
      <c r="B66" s="3"/>
      <c r="C66" s="3"/>
      <c r="D66" s="3"/>
      <c r="E66" s="3"/>
      <c r="F66" s="3"/>
    </row>
    <row r="67" spans="2:6" ht="15">
      <c r="B67" s="3"/>
      <c r="C67" s="3"/>
      <c r="D67" s="3"/>
      <c r="E67" s="3"/>
      <c r="F67" s="3"/>
    </row>
    <row r="68" spans="2:6" ht="15">
      <c r="B68" s="3"/>
      <c r="C68" s="3"/>
      <c r="D68" s="3"/>
      <c r="E68" s="3"/>
      <c r="F68" s="3"/>
    </row>
    <row r="69" spans="2:6" ht="15">
      <c r="B69" s="3"/>
      <c r="C69" s="3"/>
      <c r="D69" s="3"/>
      <c r="E69" s="3"/>
      <c r="F69" s="3"/>
    </row>
    <row r="70" spans="2:6" ht="15">
      <c r="B70" s="3"/>
      <c r="C70" s="3"/>
      <c r="D70" s="3"/>
      <c r="E70" s="3"/>
      <c r="F70" s="3"/>
    </row>
    <row r="71" spans="2:6" ht="15">
      <c r="B71" s="3"/>
      <c r="C71" s="3"/>
      <c r="D71" s="3"/>
      <c r="E71" s="3"/>
      <c r="F71" s="3"/>
    </row>
    <row r="72" spans="2:6" ht="15">
      <c r="B72" s="3"/>
      <c r="C72" s="3"/>
      <c r="D72" s="3"/>
      <c r="E72" s="3"/>
      <c r="F72" s="3"/>
    </row>
    <row r="73" spans="2:6" ht="15">
      <c r="B73" s="3"/>
      <c r="C73" s="3"/>
      <c r="D73" s="3"/>
      <c r="E73" s="3"/>
      <c r="F73" s="3"/>
    </row>
    <row r="74" spans="2:6" ht="15">
      <c r="B74" s="3"/>
      <c r="C74" s="3"/>
      <c r="D74" s="3"/>
      <c r="E74" s="3"/>
      <c r="F74" s="3"/>
    </row>
    <row r="75" spans="2:6" ht="15">
      <c r="B75" s="3"/>
      <c r="C75" s="3"/>
      <c r="D75" s="3"/>
      <c r="E75" s="3"/>
      <c r="F75" s="3"/>
    </row>
    <row r="76" spans="2:6" ht="15">
      <c r="B76" s="3"/>
      <c r="C76" s="3"/>
      <c r="D76" s="3"/>
      <c r="E76" s="3"/>
      <c r="F76" s="3"/>
    </row>
    <row r="77" spans="2:6" ht="15">
      <c r="B77" s="3"/>
      <c r="C77" s="3"/>
      <c r="D77" s="3"/>
      <c r="E77" s="3"/>
      <c r="F77" s="3"/>
    </row>
    <row r="78" spans="2:6" ht="15">
      <c r="B78" s="3"/>
      <c r="C78" s="3"/>
      <c r="D78" s="3"/>
      <c r="E78" s="3"/>
      <c r="F78" s="3"/>
    </row>
    <row r="79" spans="2:6" ht="15">
      <c r="B79" s="3"/>
      <c r="C79" s="3"/>
      <c r="D79" s="3"/>
      <c r="E79" s="3"/>
      <c r="F79" s="3"/>
    </row>
    <row r="80" spans="2:6" ht="15">
      <c r="B80" s="3"/>
      <c r="C80" s="3"/>
      <c r="D80" s="3"/>
      <c r="E80" s="3"/>
      <c r="F80" s="3"/>
    </row>
    <row r="81" spans="2:6" ht="15">
      <c r="B81" s="3"/>
      <c r="C81" s="3"/>
      <c r="D81" s="3"/>
      <c r="E81" s="3"/>
      <c r="F81" s="3"/>
    </row>
    <row r="82" spans="2:6" ht="15">
      <c r="B82" s="3"/>
      <c r="C82" s="3"/>
      <c r="D82" s="3"/>
      <c r="E82" s="3"/>
      <c r="F82" s="3"/>
    </row>
    <row r="83" spans="2:6" ht="15">
      <c r="B83" s="3"/>
      <c r="C83" s="3"/>
      <c r="D83" s="3"/>
      <c r="E83" s="3"/>
      <c r="F83" s="3"/>
    </row>
    <row r="84" spans="2:6" ht="15">
      <c r="B84" s="3"/>
      <c r="C84" s="3"/>
      <c r="D84" s="3"/>
      <c r="E84" s="3"/>
      <c r="F84" s="3"/>
    </row>
    <row r="85" spans="2:6" ht="15">
      <c r="B85" s="3"/>
      <c r="C85" s="3"/>
      <c r="D85" s="3"/>
      <c r="E85" s="3"/>
      <c r="F85" s="3"/>
    </row>
    <row r="86" spans="2:6" ht="15">
      <c r="B86" s="3"/>
      <c r="C86" s="3"/>
      <c r="D86" s="3"/>
      <c r="E86" s="3"/>
      <c r="F86" s="3"/>
    </row>
    <row r="87" spans="2:6" ht="15">
      <c r="B87" s="3"/>
      <c r="C87" s="3"/>
      <c r="D87" s="3"/>
      <c r="E87" s="3"/>
      <c r="F87" s="3"/>
    </row>
    <row r="88" spans="2:6" ht="15">
      <c r="B88" s="3"/>
      <c r="C88" s="3"/>
      <c r="D88" s="3"/>
      <c r="E88" s="3"/>
      <c r="F88" s="3"/>
    </row>
    <row r="89" spans="2:6" ht="15">
      <c r="B89" s="3"/>
      <c r="C89" s="3"/>
      <c r="D89" s="3"/>
      <c r="E89" s="3"/>
      <c r="F89" s="3"/>
    </row>
    <row r="90" spans="2:6" ht="15">
      <c r="B90" s="3"/>
      <c r="C90" s="3"/>
      <c r="D90" s="3"/>
      <c r="E90" s="3"/>
      <c r="F90" s="3"/>
    </row>
    <row r="91" spans="2:6" ht="15">
      <c r="B91" s="3"/>
      <c r="C91" s="3"/>
      <c r="D91" s="3"/>
      <c r="E91" s="3"/>
      <c r="F91" s="3"/>
    </row>
    <row r="92" spans="2:6" ht="15">
      <c r="B92" s="3"/>
      <c r="C92" s="3"/>
      <c r="D92" s="3"/>
      <c r="E92" s="3"/>
      <c r="F92" s="3"/>
    </row>
    <row r="93" spans="2:6" ht="15">
      <c r="B93" s="3"/>
      <c r="C93" s="3"/>
      <c r="D93" s="3"/>
      <c r="E93" s="3"/>
      <c r="F93" s="3"/>
    </row>
    <row r="94" spans="2:6" ht="15">
      <c r="B94" s="3"/>
      <c r="C94" s="3"/>
      <c r="D94" s="3"/>
      <c r="E94" s="3"/>
      <c r="F94" s="3"/>
    </row>
    <row r="95" spans="2:6" ht="15">
      <c r="B95" s="3"/>
      <c r="C95" s="3"/>
      <c r="D95" s="3"/>
      <c r="E95" s="3"/>
      <c r="F95" s="3"/>
    </row>
    <row r="96" spans="2:6" ht="15">
      <c r="B96" s="3"/>
      <c r="C96" s="3"/>
      <c r="D96" s="3"/>
      <c r="E96" s="3"/>
      <c r="F96" s="3"/>
    </row>
    <row r="97" spans="2:6" ht="15">
      <c r="B97" s="3"/>
      <c r="C97" s="3"/>
      <c r="D97" s="3"/>
      <c r="E97" s="3"/>
      <c r="F97" s="3"/>
    </row>
    <row r="98" spans="2:6" ht="15">
      <c r="B98" s="3"/>
      <c r="C98" s="3"/>
      <c r="D98" s="3"/>
      <c r="E98" s="3"/>
      <c r="F98" s="3"/>
    </row>
    <row r="99" spans="2:6" ht="15">
      <c r="B99" s="3"/>
      <c r="C99" s="3"/>
      <c r="D99" s="3"/>
      <c r="E99" s="3"/>
      <c r="F99" s="3"/>
    </row>
    <row r="100" spans="2:6" ht="15">
      <c r="B100" s="3"/>
      <c r="C100" s="3"/>
      <c r="D100" s="3"/>
      <c r="E100" s="3"/>
      <c r="F100" s="3"/>
    </row>
    <row r="101" spans="2:6" ht="15">
      <c r="B101" s="3"/>
      <c r="C101" s="3"/>
      <c r="D101" s="3"/>
      <c r="E101" s="3"/>
      <c r="F101" s="3"/>
    </row>
    <row r="102" spans="2:6" ht="15">
      <c r="B102" s="3"/>
      <c r="C102" s="3"/>
      <c r="D102" s="3"/>
      <c r="E102" s="3"/>
      <c r="F102" s="3"/>
    </row>
    <row r="103" spans="2:6" ht="15">
      <c r="B103" s="3"/>
      <c r="C103" s="3"/>
      <c r="D103" s="3"/>
      <c r="E103" s="3"/>
      <c r="F103" s="3"/>
    </row>
    <row r="104" spans="2:6" ht="15">
      <c r="B104" s="3"/>
      <c r="C104" s="3"/>
      <c r="D104" s="3"/>
      <c r="E104" s="3"/>
      <c r="F104" s="3"/>
    </row>
    <row r="105" spans="2:6" ht="15">
      <c r="B105" s="3"/>
      <c r="C105" s="3"/>
      <c r="D105" s="3"/>
      <c r="E105" s="3"/>
      <c r="F105" s="3"/>
    </row>
    <row r="106" spans="2:6" ht="15">
      <c r="B106" s="3"/>
      <c r="C106" s="3"/>
      <c r="D106" s="3"/>
      <c r="E106" s="3"/>
      <c r="F106" s="3"/>
    </row>
    <row r="107" spans="2:6" ht="15">
      <c r="B107" s="3"/>
      <c r="C107" s="3"/>
      <c r="D107" s="3"/>
      <c r="E107" s="3"/>
      <c r="F107" s="3"/>
    </row>
    <row r="108" spans="2:6" ht="15">
      <c r="B108" s="3"/>
      <c r="C108" s="3"/>
      <c r="D108" s="3"/>
      <c r="E108" s="3"/>
      <c r="F108" s="3"/>
    </row>
    <row r="109" spans="2:6" ht="15">
      <c r="B109" s="3"/>
      <c r="C109" s="3"/>
      <c r="D109" s="3"/>
      <c r="E109" s="3"/>
      <c r="F109" s="3"/>
    </row>
    <row r="110" spans="2:6" ht="15">
      <c r="B110" s="3"/>
      <c r="C110" s="3"/>
      <c r="D110" s="3"/>
      <c r="E110" s="3"/>
      <c r="F110" s="3"/>
    </row>
    <row r="111" spans="2:6" ht="15">
      <c r="B111" s="3"/>
      <c r="C111" s="3"/>
      <c r="D111" s="3"/>
      <c r="E111" s="3"/>
      <c r="F111" s="3"/>
    </row>
    <row r="112" spans="2:6" ht="15">
      <c r="B112" s="3"/>
      <c r="C112" s="3"/>
      <c r="D112" s="3"/>
      <c r="E112" s="3"/>
      <c r="F112" s="3"/>
    </row>
    <row r="113" spans="2:6" ht="15">
      <c r="B113" s="3"/>
      <c r="C113" s="3"/>
      <c r="D113" s="3"/>
      <c r="E113" s="3"/>
      <c r="F113" s="3"/>
    </row>
    <row r="114" spans="2:6" ht="15">
      <c r="B114" s="3"/>
      <c r="C114" s="3"/>
      <c r="D114" s="3"/>
      <c r="E114" s="3"/>
      <c r="F114" s="3"/>
    </row>
    <row r="115" spans="2:6" ht="15">
      <c r="B115" s="3"/>
      <c r="C115" s="3"/>
      <c r="D115" s="3"/>
      <c r="E115" s="3"/>
      <c r="F115" s="3"/>
    </row>
    <row r="116" spans="2:6" ht="15">
      <c r="B116" s="3"/>
      <c r="C116" s="3"/>
      <c r="D116" s="3"/>
      <c r="E116" s="3"/>
      <c r="F116" s="3"/>
    </row>
    <row r="117" spans="2:6" ht="15">
      <c r="B117" s="3"/>
      <c r="C117" s="3"/>
      <c r="D117" s="3"/>
      <c r="E117" s="3"/>
      <c r="F117" s="3"/>
    </row>
    <row r="118" spans="2:6" ht="15">
      <c r="B118" s="3"/>
      <c r="C118" s="3"/>
      <c r="D118" s="3"/>
      <c r="E118" s="3"/>
      <c r="F118" s="3"/>
    </row>
    <row r="119" spans="2:6" ht="15">
      <c r="B119" s="3"/>
      <c r="C119" s="3"/>
      <c r="D119" s="3"/>
      <c r="E119" s="3"/>
      <c r="F119" s="3"/>
    </row>
    <row r="120" spans="2:6" ht="15">
      <c r="B120" s="3"/>
      <c r="C120" s="3"/>
      <c r="D120" s="3"/>
      <c r="E120" s="3"/>
      <c r="F120" s="3"/>
    </row>
    <row r="121" spans="2:6" ht="15">
      <c r="B121" s="3"/>
      <c r="C121" s="3"/>
      <c r="D121" s="3"/>
      <c r="E121" s="3"/>
      <c r="F121" s="3"/>
    </row>
    <row r="122" spans="2:6" ht="15">
      <c r="B122" s="3"/>
      <c r="C122" s="3"/>
      <c r="D122" s="3"/>
      <c r="E122" s="3"/>
      <c r="F122" s="3"/>
    </row>
    <row r="123" spans="2:6" ht="15">
      <c r="B123" s="3"/>
      <c r="C123" s="3"/>
      <c r="D123" s="3"/>
      <c r="E123" s="3"/>
      <c r="F123" s="3"/>
    </row>
    <row r="124" spans="2:6" ht="15">
      <c r="B124" s="3"/>
      <c r="C124" s="3"/>
      <c r="D124" s="3"/>
      <c r="E124" s="3"/>
      <c r="F124" s="3"/>
    </row>
    <row r="125" spans="2:6" ht="15">
      <c r="B125" s="3"/>
      <c r="C125" s="3"/>
      <c r="D125" s="3"/>
      <c r="E125" s="3"/>
      <c r="F125" s="3"/>
    </row>
    <row r="126" spans="2:6" ht="15">
      <c r="B126" s="3"/>
      <c r="C126" s="3"/>
      <c r="D126" s="3"/>
      <c r="E126" s="3"/>
      <c r="F126" s="3"/>
    </row>
    <row r="127" spans="2:6" ht="15">
      <c r="B127" s="3"/>
      <c r="C127" s="3"/>
      <c r="D127" s="3"/>
      <c r="E127" s="3"/>
      <c r="F127" s="3"/>
    </row>
    <row r="128" spans="2:6" ht="15">
      <c r="B128" s="3"/>
      <c r="C128" s="3"/>
      <c r="D128" s="3"/>
      <c r="E128" s="3"/>
      <c r="F128" s="3"/>
    </row>
    <row r="129" spans="2:6" ht="15">
      <c r="B129" s="3"/>
      <c r="C129" s="3"/>
      <c r="D129" s="3"/>
      <c r="E129" s="3"/>
      <c r="F129" s="3"/>
    </row>
    <row r="130" spans="2:6" ht="15">
      <c r="B130" s="3"/>
      <c r="C130" s="3"/>
      <c r="D130" s="3"/>
      <c r="E130" s="3"/>
      <c r="F130" s="3"/>
    </row>
    <row r="131" spans="2:6" ht="15">
      <c r="B131" s="3"/>
      <c r="C131" s="3"/>
      <c r="D131" s="3"/>
      <c r="E131" s="3"/>
      <c r="F131" s="3"/>
    </row>
    <row r="132" spans="2:6" ht="15">
      <c r="B132" s="3"/>
      <c r="C132" s="3"/>
      <c r="D132" s="3"/>
      <c r="E132" s="3"/>
      <c r="F132" s="3"/>
    </row>
    <row r="133" spans="2:6" ht="15">
      <c r="B133" s="3"/>
      <c r="C133" s="3"/>
      <c r="D133" s="3"/>
      <c r="E133" s="3"/>
      <c r="F133" s="3"/>
    </row>
    <row r="134" spans="2:6" ht="15">
      <c r="B134" s="3"/>
      <c r="C134" s="3"/>
      <c r="D134" s="3"/>
      <c r="E134" s="3"/>
      <c r="F134" s="3"/>
    </row>
    <row r="135" spans="2:6" ht="15">
      <c r="B135" s="3"/>
      <c r="C135" s="3"/>
      <c r="D135" s="3"/>
      <c r="E135" s="3"/>
      <c r="F135" s="3"/>
    </row>
    <row r="136" spans="2:6" ht="15">
      <c r="B136" s="3"/>
      <c r="C136" s="3"/>
      <c r="D136" s="3"/>
      <c r="E136" s="3"/>
      <c r="F136" s="3"/>
    </row>
    <row r="137" spans="2:6" ht="15">
      <c r="B137" s="3"/>
      <c r="C137" s="3"/>
      <c r="D137" s="3"/>
      <c r="E137" s="3"/>
      <c r="F137" s="3"/>
    </row>
    <row r="138" spans="2:6" ht="15">
      <c r="B138" s="3"/>
      <c r="C138" s="3"/>
      <c r="D138" s="3"/>
      <c r="E138" s="3"/>
      <c r="F138" s="3"/>
    </row>
    <row r="139" spans="2:6" ht="15">
      <c r="B139" s="3"/>
      <c r="C139" s="3"/>
      <c r="D139" s="3"/>
      <c r="E139" s="3"/>
      <c r="F139" s="3"/>
    </row>
    <row r="140" spans="2:6" ht="15">
      <c r="B140" s="3"/>
      <c r="C140" s="3"/>
      <c r="D140" s="3"/>
      <c r="E140" s="3"/>
      <c r="F140" s="3"/>
    </row>
    <row r="141" spans="2:6" ht="15">
      <c r="B141" s="3"/>
      <c r="C141" s="3"/>
      <c r="D141" s="3"/>
      <c r="E141" s="3"/>
      <c r="F141" s="3"/>
    </row>
    <row r="142" spans="2:6" ht="15">
      <c r="B142" s="3"/>
      <c r="C142" s="3"/>
      <c r="D142" s="3"/>
      <c r="E142" s="3"/>
      <c r="F142" s="3"/>
    </row>
    <row r="143" spans="2:6" ht="15">
      <c r="B143" s="3"/>
      <c r="C143" s="3"/>
      <c r="D143" s="3"/>
      <c r="E143" s="3"/>
      <c r="F143" s="3"/>
    </row>
    <row r="144" spans="2:6" ht="15">
      <c r="B144" s="3"/>
      <c r="C144" s="3"/>
      <c r="D144" s="3"/>
      <c r="E144" s="3"/>
      <c r="F144" s="3"/>
    </row>
    <row r="145" spans="2:6" ht="15">
      <c r="B145" s="3"/>
      <c r="C145" s="3"/>
      <c r="D145" s="3"/>
      <c r="E145" s="3"/>
      <c r="F145" s="3"/>
    </row>
    <row r="146" spans="2:6" ht="15">
      <c r="B146" s="3"/>
      <c r="C146" s="3"/>
      <c r="D146" s="3"/>
      <c r="E146" s="3"/>
      <c r="F146" s="3"/>
    </row>
    <row r="147" spans="2:6" ht="15">
      <c r="B147" s="3"/>
      <c r="C147" s="3"/>
      <c r="D147" s="3"/>
      <c r="E147" s="3"/>
      <c r="F147" s="3"/>
    </row>
    <row r="148" spans="2:6" ht="15">
      <c r="B148" s="3"/>
      <c r="C148" s="3"/>
      <c r="D148" s="3"/>
      <c r="E148" s="3"/>
      <c r="F148" s="3"/>
    </row>
    <row r="149" spans="2:6" ht="15">
      <c r="B149" s="3"/>
      <c r="C149" s="3"/>
      <c r="D149" s="3"/>
      <c r="E149" s="3"/>
      <c r="F149" s="3"/>
    </row>
    <row r="150" spans="2:6" ht="15">
      <c r="B150" s="3"/>
      <c r="C150" s="3"/>
      <c r="D150" s="3"/>
      <c r="E150" s="3"/>
      <c r="F150" s="3"/>
    </row>
    <row r="151" spans="2:6" ht="15">
      <c r="B151" s="3"/>
      <c r="C151" s="3"/>
      <c r="D151" s="3"/>
      <c r="E151" s="3"/>
      <c r="F151" s="3"/>
    </row>
    <row r="152" spans="2:6" ht="15">
      <c r="B152" s="3"/>
      <c r="C152" s="3"/>
      <c r="D152" s="3"/>
      <c r="E152" s="3"/>
      <c r="F152" s="3"/>
    </row>
    <row r="153" spans="2:6" ht="15">
      <c r="B153" s="3"/>
      <c r="C153" s="3"/>
      <c r="D153" s="3"/>
      <c r="E153" s="3"/>
      <c r="F153" s="3"/>
    </row>
    <row r="154" spans="2:6" ht="15">
      <c r="B154" s="3"/>
      <c r="C154" s="3"/>
      <c r="D154" s="3"/>
      <c r="E154" s="3"/>
      <c r="F154" s="3"/>
    </row>
    <row r="155" spans="2:6" ht="15">
      <c r="B155" s="3"/>
      <c r="C155" s="3"/>
      <c r="D155" s="3"/>
      <c r="E155" s="3"/>
      <c r="F155" s="3"/>
    </row>
    <row r="156" spans="2:6" ht="15">
      <c r="B156" s="3"/>
      <c r="C156" s="3"/>
      <c r="D156" s="3"/>
      <c r="E156" s="3"/>
      <c r="F156" s="3"/>
    </row>
    <row r="157" spans="2:6" ht="15">
      <c r="B157" s="3"/>
      <c r="C157" s="3"/>
      <c r="D157" s="3"/>
      <c r="E157" s="3"/>
      <c r="F157" s="3"/>
    </row>
    <row r="158" spans="2:6" ht="15">
      <c r="B158" s="3"/>
      <c r="C158" s="3"/>
      <c r="D158" s="3"/>
      <c r="E158" s="3"/>
      <c r="F158" s="3"/>
    </row>
    <row r="159" spans="2:6" ht="15">
      <c r="B159" s="3"/>
      <c r="C159" s="3"/>
      <c r="D159" s="3"/>
      <c r="E159" s="3"/>
      <c r="F159" s="3"/>
    </row>
    <row r="160" spans="2:6" ht="15">
      <c r="B160" s="3"/>
      <c r="C160" s="3"/>
      <c r="D160" s="3"/>
      <c r="E160" s="3"/>
      <c r="F160" s="3"/>
    </row>
    <row r="161" spans="2:6" ht="15">
      <c r="B161" s="3"/>
      <c r="C161" s="3"/>
      <c r="D161" s="3"/>
      <c r="E161" s="3"/>
      <c r="F161" s="3"/>
    </row>
    <row r="162" spans="2:6" ht="15">
      <c r="B162" s="3"/>
      <c r="C162" s="3"/>
      <c r="D162" s="3"/>
      <c r="E162" s="3"/>
      <c r="F162" s="3"/>
    </row>
    <row r="163" spans="2:6" ht="15">
      <c r="B163" s="3"/>
      <c r="C163" s="3"/>
      <c r="D163" s="3"/>
      <c r="E163" s="3"/>
      <c r="F163" s="3"/>
    </row>
    <row r="164" spans="2:6" ht="15">
      <c r="B164" s="3"/>
      <c r="C164" s="3"/>
      <c r="D164" s="3"/>
      <c r="E164" s="3"/>
      <c r="F164" s="3"/>
    </row>
    <row r="165" spans="2:6" ht="15">
      <c r="B165" s="3"/>
      <c r="C165" s="3"/>
      <c r="D165" s="3"/>
      <c r="E165" s="3"/>
      <c r="F165" s="3"/>
    </row>
    <row r="166" spans="2:6" ht="15">
      <c r="B166" s="3"/>
      <c r="C166" s="3"/>
      <c r="D166" s="3"/>
      <c r="E166" s="3"/>
      <c r="F166" s="3"/>
    </row>
    <row r="167" spans="2:6" ht="15">
      <c r="B167" s="3"/>
      <c r="C167" s="3"/>
      <c r="D167" s="3"/>
      <c r="E167" s="3"/>
      <c r="F167" s="3"/>
    </row>
    <row r="168" spans="2:6" ht="15">
      <c r="B168" s="3"/>
      <c r="C168" s="3"/>
      <c r="D168" s="3"/>
      <c r="E168" s="3"/>
      <c r="F168" s="3"/>
    </row>
    <row r="169" spans="2:6" ht="15">
      <c r="B169" s="3"/>
      <c r="C169" s="3"/>
      <c r="D169" s="3"/>
      <c r="E169" s="3"/>
      <c r="F169" s="3"/>
    </row>
    <row r="170" spans="2:6" ht="15">
      <c r="B170" s="3"/>
      <c r="C170" s="3"/>
      <c r="D170" s="3"/>
      <c r="E170" s="3"/>
      <c r="F170" s="3"/>
    </row>
    <row r="171" spans="2:6" ht="15">
      <c r="B171" s="3"/>
      <c r="C171" s="3"/>
      <c r="D171" s="3"/>
      <c r="E171" s="3"/>
      <c r="F171" s="3"/>
    </row>
    <row r="172" spans="2:6" ht="15">
      <c r="B172" s="3"/>
      <c r="C172" s="3"/>
      <c r="D172" s="3"/>
      <c r="E172" s="3"/>
      <c r="F172" s="3"/>
    </row>
    <row r="173" spans="2:6" ht="15">
      <c r="B173" s="3"/>
      <c r="C173" s="3"/>
      <c r="D173" s="3"/>
      <c r="E173" s="3"/>
      <c r="F173" s="3"/>
    </row>
    <row r="174" spans="2:6" ht="15">
      <c r="B174" s="3"/>
      <c r="C174" s="3"/>
      <c r="D174" s="3"/>
      <c r="E174" s="3"/>
      <c r="F174" s="3"/>
    </row>
    <row r="175" spans="2:6" ht="15">
      <c r="B175" s="3"/>
      <c r="C175" s="3"/>
      <c r="D175" s="3"/>
      <c r="E175" s="3"/>
      <c r="F175" s="3"/>
    </row>
    <row r="176" spans="2:6" ht="15">
      <c r="B176" s="3"/>
      <c r="C176" s="3"/>
      <c r="D176" s="3"/>
      <c r="E176" s="3"/>
      <c r="F176" s="3"/>
    </row>
    <row r="177" spans="2:6" ht="15">
      <c r="B177" s="3"/>
      <c r="C177" s="3"/>
      <c r="D177" s="3"/>
      <c r="E177" s="3"/>
      <c r="F177" s="3"/>
    </row>
    <row r="178" spans="2:6" ht="15">
      <c r="B178" s="3"/>
      <c r="C178" s="3"/>
      <c r="D178" s="3"/>
      <c r="E178" s="3"/>
      <c r="F178" s="3"/>
    </row>
    <row r="179" spans="2:6" ht="15">
      <c r="B179" s="3"/>
      <c r="C179" s="3"/>
      <c r="D179" s="3"/>
      <c r="E179" s="3"/>
      <c r="F179" s="3"/>
    </row>
    <row r="180" spans="2:6" ht="15">
      <c r="B180" s="3"/>
      <c r="C180" s="3"/>
      <c r="D180" s="3"/>
      <c r="E180" s="3"/>
      <c r="F180" s="3"/>
    </row>
    <row r="181" spans="2:6" ht="15">
      <c r="B181" s="3"/>
      <c r="C181" s="3"/>
      <c r="D181" s="3"/>
      <c r="E181" s="3"/>
      <c r="F181" s="3"/>
    </row>
    <row r="182" spans="2:6" ht="15">
      <c r="B182" s="3"/>
      <c r="C182" s="3"/>
      <c r="D182" s="3"/>
      <c r="E182" s="3"/>
      <c r="F182" s="3"/>
    </row>
    <row r="183" spans="2:6" ht="15">
      <c r="B183" s="3"/>
      <c r="C183" s="3"/>
      <c r="D183" s="3"/>
      <c r="E183" s="3"/>
      <c r="F183" s="3"/>
    </row>
    <row r="184" spans="2:6" ht="15">
      <c r="B184" s="3"/>
      <c r="C184" s="3"/>
      <c r="D184" s="3"/>
      <c r="E184" s="3"/>
      <c r="F184" s="3"/>
    </row>
    <row r="185" spans="2:6" ht="15">
      <c r="B185" s="3"/>
      <c r="C185" s="3"/>
      <c r="D185" s="3"/>
      <c r="E185" s="3"/>
      <c r="F185" s="3"/>
    </row>
    <row r="186" spans="2:6" ht="15">
      <c r="B186" s="3"/>
      <c r="C186" s="3"/>
      <c r="D186" s="3"/>
      <c r="E186" s="3"/>
      <c r="F186" s="3"/>
    </row>
    <row r="187" spans="2:6" ht="15">
      <c r="B187" s="3"/>
      <c r="C187" s="3"/>
      <c r="D187" s="3"/>
      <c r="E187" s="3"/>
      <c r="F187" s="3"/>
    </row>
    <row r="188" spans="2:6" ht="15">
      <c r="B188" s="3"/>
      <c r="C188" s="3"/>
      <c r="D188" s="3"/>
      <c r="E188" s="3"/>
      <c r="F188" s="3"/>
    </row>
    <row r="189" spans="2:6" ht="15">
      <c r="B189" s="3"/>
      <c r="C189" s="3"/>
      <c r="D189" s="3"/>
      <c r="E189" s="3"/>
      <c r="F189" s="3"/>
    </row>
    <row r="190" spans="2:6" ht="15">
      <c r="B190" s="3"/>
      <c r="C190" s="3"/>
      <c r="D190" s="3"/>
      <c r="E190" s="3"/>
      <c r="F190" s="3"/>
    </row>
    <row r="191" spans="2:6" ht="15">
      <c r="B191" s="3"/>
      <c r="C191" s="3"/>
      <c r="D191" s="3"/>
      <c r="E191" s="3"/>
      <c r="F191" s="3"/>
    </row>
    <row r="192" spans="2:6" ht="15">
      <c r="B192" s="3"/>
      <c r="C192" s="3"/>
      <c r="D192" s="3"/>
      <c r="E192" s="3"/>
      <c r="F192" s="3"/>
    </row>
    <row r="193" spans="2:6" ht="15">
      <c r="B193" s="3"/>
      <c r="C193" s="3"/>
      <c r="D193" s="3"/>
      <c r="E193" s="3"/>
      <c r="F193" s="3"/>
    </row>
    <row r="194" spans="2:6" ht="15">
      <c r="B194" s="3"/>
      <c r="C194" s="3"/>
      <c r="D194" s="3"/>
      <c r="E194" s="3"/>
      <c r="F194" s="3"/>
    </row>
    <row r="195" spans="2:6" ht="15">
      <c r="B195" s="3"/>
      <c r="C195" s="3"/>
      <c r="D195" s="3"/>
      <c r="E195" s="3"/>
      <c r="F195" s="3"/>
    </row>
    <row r="196" spans="2:6" ht="15">
      <c r="B196" s="3"/>
      <c r="C196" s="3"/>
      <c r="D196" s="3"/>
      <c r="E196" s="3"/>
      <c r="F196" s="3"/>
    </row>
    <row r="197" spans="2:6" ht="15">
      <c r="B197" s="3"/>
      <c r="C197" s="3"/>
      <c r="D197" s="3"/>
      <c r="E197" s="3"/>
      <c r="F197" s="3"/>
    </row>
    <row r="198" spans="2:6" ht="15">
      <c r="B198" s="3"/>
      <c r="C198" s="3"/>
      <c r="D198" s="3"/>
      <c r="E198" s="3"/>
      <c r="F198" s="3"/>
    </row>
    <row r="199" spans="2:6" ht="15">
      <c r="B199" s="3"/>
      <c r="C199" s="3"/>
      <c r="D199" s="3"/>
      <c r="E199" s="3"/>
      <c r="F199" s="3"/>
    </row>
    <row r="200" spans="2:6" ht="15">
      <c r="B200" s="3"/>
      <c r="C200" s="3"/>
      <c r="D200" s="3"/>
      <c r="E200" s="3"/>
      <c r="F200" s="3"/>
    </row>
    <row r="201" spans="2:6" ht="15">
      <c r="B201" s="3"/>
      <c r="C201" s="3"/>
      <c r="D201" s="3"/>
      <c r="E201" s="3"/>
      <c r="F201" s="3"/>
    </row>
    <row r="202" spans="2:6" ht="15">
      <c r="B202" s="3"/>
      <c r="C202" s="3"/>
      <c r="D202" s="3"/>
      <c r="E202" s="3"/>
      <c r="F202" s="3"/>
    </row>
    <row r="203" spans="2:6" ht="15">
      <c r="B203" s="3"/>
      <c r="C203" s="3"/>
      <c r="D203" s="3"/>
      <c r="E203" s="3"/>
      <c r="F203" s="3"/>
    </row>
    <row r="204" spans="2:6" ht="15">
      <c r="B204" s="3"/>
      <c r="C204" s="3"/>
      <c r="D204" s="3"/>
      <c r="E204" s="3"/>
      <c r="F204" s="3"/>
    </row>
    <row r="205" spans="2:6" ht="15">
      <c r="B205" s="3"/>
      <c r="C205" s="3"/>
      <c r="D205" s="3"/>
      <c r="E205" s="3"/>
      <c r="F205" s="3"/>
    </row>
    <row r="206" spans="2:6" ht="15">
      <c r="B206" s="3"/>
      <c r="C206" s="3"/>
      <c r="D206" s="3"/>
      <c r="E206" s="3"/>
      <c r="F206" s="3"/>
    </row>
    <row r="207" spans="2:6" ht="15">
      <c r="B207" s="3"/>
      <c r="C207" s="3"/>
      <c r="D207" s="3"/>
      <c r="E207" s="3"/>
      <c r="F207" s="3"/>
    </row>
    <row r="208" spans="2:6" ht="15">
      <c r="B208" s="3"/>
      <c r="C208" s="3"/>
      <c r="D208" s="3"/>
      <c r="E208" s="3"/>
      <c r="F208" s="3"/>
    </row>
    <row r="209" spans="2:6" ht="15">
      <c r="B209" s="3"/>
      <c r="C209" s="3"/>
      <c r="D209" s="3"/>
      <c r="E209" s="3"/>
      <c r="F209" s="3"/>
    </row>
    <row r="210" spans="2:6" ht="15">
      <c r="B210" s="3"/>
      <c r="C210" s="3"/>
      <c r="D210" s="3"/>
      <c r="E210" s="3"/>
      <c r="F210" s="3"/>
    </row>
    <row r="211" spans="2:6" ht="15">
      <c r="B211" s="3"/>
      <c r="C211" s="3"/>
      <c r="D211" s="3"/>
      <c r="E211" s="3"/>
      <c r="F211" s="3"/>
    </row>
    <row r="212" spans="2:6" ht="15">
      <c r="B212" s="3"/>
      <c r="C212" s="3"/>
      <c r="D212" s="3"/>
      <c r="E212" s="3"/>
      <c r="F212" s="3"/>
    </row>
    <row r="213" spans="2:6" ht="15">
      <c r="B213" s="3"/>
      <c r="C213" s="3"/>
      <c r="D213" s="3"/>
      <c r="E213" s="3"/>
      <c r="F213" s="3"/>
    </row>
    <row r="214" spans="2:6" ht="15">
      <c r="B214" s="3"/>
      <c r="C214" s="3"/>
      <c r="D214" s="3"/>
      <c r="E214" s="3"/>
      <c r="F214" s="3"/>
    </row>
    <row r="215" spans="2:6" ht="15">
      <c r="B215" s="3"/>
      <c r="C215" s="3"/>
      <c r="D215" s="3"/>
      <c r="E215" s="3"/>
      <c r="F215" s="3"/>
    </row>
    <row r="216" spans="2:6" ht="15">
      <c r="B216" s="3"/>
      <c r="C216" s="3"/>
      <c r="D216" s="3"/>
      <c r="E216" s="3"/>
      <c r="F216" s="3"/>
    </row>
    <row r="217" spans="2:6" ht="15">
      <c r="B217" s="3"/>
      <c r="C217" s="3"/>
      <c r="D217" s="3"/>
      <c r="E217" s="3"/>
      <c r="F217" s="3"/>
    </row>
    <row r="218" spans="2:6" ht="15">
      <c r="B218" s="3"/>
      <c r="C218" s="3"/>
      <c r="D218" s="3"/>
      <c r="E218" s="3"/>
      <c r="F218" s="3"/>
    </row>
    <row r="219" spans="2:6" ht="15">
      <c r="B219" s="3"/>
      <c r="C219" s="3"/>
      <c r="D219" s="3"/>
      <c r="E219" s="3"/>
      <c r="F219" s="3"/>
    </row>
    <row r="220" spans="2:6" ht="15">
      <c r="B220" s="3"/>
      <c r="C220" s="3"/>
      <c r="D220" s="3"/>
      <c r="E220" s="3"/>
      <c r="F220" s="3"/>
    </row>
    <row r="221" spans="2:6" ht="15">
      <c r="B221" s="3"/>
      <c r="C221" s="3"/>
      <c r="D221" s="3"/>
      <c r="E221" s="3"/>
      <c r="F221" s="3"/>
    </row>
    <row r="222" spans="2:6" ht="15">
      <c r="B222" s="3"/>
      <c r="C222" s="3"/>
      <c r="D222" s="3"/>
      <c r="E222" s="3"/>
      <c r="F222" s="3"/>
    </row>
    <row r="223" spans="2:6" ht="15">
      <c r="B223" s="3"/>
      <c r="C223" s="3"/>
      <c r="D223" s="3"/>
      <c r="E223" s="3"/>
      <c r="F223" s="3"/>
    </row>
    <row r="224" spans="2:6" ht="15">
      <c r="B224" s="3"/>
      <c r="C224" s="3"/>
      <c r="D224" s="3"/>
      <c r="E224" s="3"/>
      <c r="F224" s="3"/>
    </row>
    <row r="225" spans="2:6" ht="15">
      <c r="B225" s="3"/>
      <c r="C225" s="3"/>
      <c r="D225" s="3"/>
      <c r="E225" s="3"/>
      <c r="F225" s="3"/>
    </row>
    <row r="226" spans="2:6" ht="15">
      <c r="B226" s="3"/>
      <c r="C226" s="3"/>
      <c r="D226" s="3"/>
      <c r="E226" s="3"/>
      <c r="F226" s="3"/>
    </row>
    <row r="227" spans="2:6" ht="15">
      <c r="B227" s="3"/>
      <c r="C227" s="3"/>
      <c r="D227" s="3"/>
      <c r="E227" s="3"/>
      <c r="F227" s="3"/>
    </row>
    <row r="228" spans="2:6" ht="15">
      <c r="B228" s="3"/>
      <c r="C228" s="3"/>
      <c r="D228" s="3"/>
      <c r="E228" s="3"/>
      <c r="F228" s="3"/>
    </row>
    <row r="229" spans="2:6" ht="15">
      <c r="B229" s="3"/>
      <c r="C229" s="3"/>
      <c r="D229" s="3"/>
      <c r="E229" s="3"/>
      <c r="F229" s="3"/>
    </row>
    <row r="230" spans="2:6" ht="15">
      <c r="B230" s="3"/>
      <c r="C230" s="3"/>
      <c r="D230" s="3"/>
      <c r="E230" s="3"/>
      <c r="F230" s="3"/>
    </row>
    <row r="231" spans="2:6" ht="15">
      <c r="B231" s="3"/>
      <c r="C231" s="3"/>
      <c r="D231" s="3"/>
      <c r="E231" s="3"/>
      <c r="F231" s="3"/>
    </row>
    <row r="232" spans="2:6" ht="15">
      <c r="B232" s="3"/>
      <c r="C232" s="3"/>
      <c r="D232" s="3"/>
      <c r="E232" s="3"/>
      <c r="F232" s="3"/>
    </row>
    <row r="233" spans="2:6" ht="15">
      <c r="B233" s="3"/>
      <c r="C233" s="3"/>
      <c r="D233" s="3"/>
      <c r="E233" s="3"/>
      <c r="F233" s="3"/>
    </row>
    <row r="234" spans="2:6" ht="15">
      <c r="B234" s="3"/>
      <c r="C234" s="3"/>
      <c r="D234" s="3"/>
      <c r="E234" s="3"/>
      <c r="F234" s="3"/>
    </row>
    <row r="235" spans="2:6" ht="15">
      <c r="B235" s="3"/>
      <c r="C235" s="3"/>
      <c r="D235" s="3"/>
      <c r="E235" s="3"/>
      <c r="F235" s="3"/>
    </row>
    <row r="236" spans="2:6" ht="15">
      <c r="B236" s="3"/>
      <c r="C236" s="3"/>
      <c r="D236" s="3"/>
      <c r="E236" s="3"/>
      <c r="F236" s="3"/>
    </row>
    <row r="237" spans="2:6" ht="15">
      <c r="B237" s="3"/>
      <c r="C237" s="3"/>
      <c r="D237" s="3"/>
      <c r="E237" s="3"/>
      <c r="F237" s="3"/>
    </row>
    <row r="238" spans="2:6" ht="15">
      <c r="B238" s="3"/>
      <c r="C238" s="3"/>
      <c r="D238" s="3"/>
      <c r="E238" s="3"/>
      <c r="F238" s="3"/>
    </row>
    <row r="239" spans="2:6" ht="15">
      <c r="B239" s="3"/>
      <c r="C239" s="3"/>
      <c r="D239" s="3"/>
      <c r="E239" s="3"/>
      <c r="F239" s="3"/>
    </row>
    <row r="240" spans="2:6" ht="15">
      <c r="B240" s="3"/>
      <c r="C240" s="3"/>
      <c r="D240" s="3"/>
      <c r="E240" s="3"/>
      <c r="F240" s="3"/>
    </row>
    <row r="241" spans="2:6" ht="15">
      <c r="B241" s="3"/>
      <c r="C241" s="3"/>
      <c r="D241" s="3"/>
      <c r="E241" s="3"/>
      <c r="F241" s="3"/>
    </row>
    <row r="242" spans="2:6" ht="15">
      <c r="B242" s="3"/>
      <c r="C242" s="3"/>
      <c r="D242" s="3"/>
      <c r="E242" s="3"/>
      <c r="F242" s="3"/>
    </row>
    <row r="243" spans="2:6" ht="15">
      <c r="B243" s="3"/>
      <c r="C243" s="3"/>
      <c r="D243" s="3"/>
      <c r="E243" s="3"/>
      <c r="F243" s="3"/>
    </row>
    <row r="244" spans="2:6" ht="15">
      <c r="B244" s="3"/>
      <c r="C244" s="3"/>
      <c r="D244" s="3"/>
      <c r="E244" s="3"/>
      <c r="F244" s="3"/>
    </row>
    <row r="245" spans="2:6" ht="15">
      <c r="B245" s="3"/>
      <c r="C245" s="3"/>
      <c r="D245" s="3"/>
      <c r="E245" s="3"/>
      <c r="F245" s="3"/>
    </row>
    <row r="246" spans="2:6" ht="15">
      <c r="B246" s="3"/>
      <c r="C246" s="3"/>
      <c r="D246" s="3"/>
      <c r="E246" s="3"/>
      <c r="F246" s="3"/>
    </row>
    <row r="247" spans="2:6" ht="15">
      <c r="B247" s="3"/>
      <c r="C247" s="3"/>
      <c r="D247" s="3"/>
      <c r="E247" s="3"/>
      <c r="F247" s="3"/>
    </row>
    <row r="248" spans="2:6" ht="15">
      <c r="B248" s="3"/>
      <c r="C248" s="3"/>
      <c r="D248" s="3"/>
      <c r="E248" s="3"/>
      <c r="F248" s="3"/>
    </row>
    <row r="249" spans="2:6" ht="15">
      <c r="B249" s="3"/>
      <c r="C249" s="3"/>
      <c r="D249" s="3"/>
      <c r="E249" s="3"/>
      <c r="F249" s="3"/>
    </row>
    <row r="250" spans="2:6" ht="15">
      <c r="B250" s="3"/>
      <c r="C250" s="3"/>
      <c r="D250" s="3"/>
      <c r="E250" s="3"/>
      <c r="F250" s="3"/>
    </row>
    <row r="251" spans="2:6" ht="15">
      <c r="B251" s="3"/>
      <c r="C251" s="3"/>
      <c r="D251" s="3"/>
      <c r="E251" s="3"/>
      <c r="F251" s="3"/>
    </row>
    <row r="252" spans="2:6" ht="15">
      <c r="B252" s="3"/>
      <c r="C252" s="3"/>
      <c r="D252" s="3"/>
      <c r="E252" s="3"/>
      <c r="F252" s="3"/>
    </row>
    <row r="253" spans="2:6" ht="15">
      <c r="B253" s="3"/>
      <c r="C253" s="3"/>
      <c r="D253" s="3"/>
      <c r="E253" s="3"/>
      <c r="F253" s="3"/>
    </row>
    <row r="254" spans="2:6" ht="15">
      <c r="B254" s="3"/>
      <c r="C254" s="3"/>
      <c r="D254" s="3"/>
      <c r="E254" s="3"/>
      <c r="F254" s="3"/>
    </row>
    <row r="255" spans="2:6" ht="15">
      <c r="B255" s="3"/>
      <c r="C255" s="3"/>
      <c r="D255" s="3"/>
      <c r="E255" s="3"/>
      <c r="F255" s="3"/>
    </row>
    <row r="256" spans="2:6" ht="15">
      <c r="B256" s="3"/>
      <c r="C256" s="3"/>
      <c r="D256" s="3"/>
      <c r="E256" s="3"/>
      <c r="F256" s="3"/>
    </row>
    <row r="257" spans="2:6" ht="15">
      <c r="B257" s="3"/>
      <c r="C257" s="3"/>
      <c r="D257" s="3"/>
      <c r="E257" s="3"/>
      <c r="F257" s="3"/>
    </row>
    <row r="258" spans="2:6" ht="15">
      <c r="B258" s="3"/>
      <c r="C258" s="3"/>
      <c r="D258" s="3"/>
      <c r="E258" s="3"/>
      <c r="F258" s="3"/>
    </row>
    <row r="259" spans="2:6" ht="15">
      <c r="B259" s="3"/>
      <c r="C259" s="3"/>
      <c r="D259" s="3"/>
      <c r="E259" s="3"/>
      <c r="F259" s="3"/>
    </row>
    <row r="260" spans="2:6" ht="15">
      <c r="B260" s="3"/>
      <c r="C260" s="3"/>
      <c r="D260" s="3"/>
      <c r="E260" s="3"/>
      <c r="F260" s="3"/>
    </row>
    <row r="261" spans="2:6" ht="15">
      <c r="B261" s="3"/>
      <c r="C261" s="3"/>
      <c r="D261" s="3"/>
      <c r="E261" s="3"/>
      <c r="F261" s="3"/>
    </row>
    <row r="262" spans="2:6" ht="15">
      <c r="B262" s="3"/>
      <c r="C262" s="3"/>
      <c r="D262" s="3"/>
      <c r="E262" s="3"/>
      <c r="F262" s="3"/>
    </row>
    <row r="263" spans="2:6" ht="15">
      <c r="B263" s="3"/>
      <c r="C263" s="3"/>
      <c r="D263" s="3"/>
      <c r="E263" s="3"/>
      <c r="F263" s="3"/>
    </row>
    <row r="264" spans="2:6" ht="15">
      <c r="B264" s="3"/>
      <c r="C264" s="3"/>
      <c r="D264" s="3"/>
      <c r="E264" s="3"/>
      <c r="F264" s="3"/>
    </row>
    <row r="265" spans="2:6" ht="15">
      <c r="B265" s="3"/>
      <c r="C265" s="3"/>
      <c r="D265" s="3"/>
      <c r="E265" s="3"/>
      <c r="F265" s="3"/>
    </row>
    <row r="266" spans="2:6" ht="15">
      <c r="B266" s="3"/>
      <c r="C266" s="3"/>
      <c r="D266" s="3"/>
      <c r="E266" s="3"/>
      <c r="F266" s="3"/>
    </row>
    <row r="267" spans="2:6" ht="15">
      <c r="B267" s="3"/>
      <c r="C267" s="3"/>
      <c r="D267" s="3"/>
      <c r="E267" s="3"/>
      <c r="F267" s="3"/>
    </row>
    <row r="268" spans="2:6" ht="15">
      <c r="B268" s="3"/>
      <c r="C268" s="3"/>
      <c r="D268" s="3"/>
      <c r="E268" s="3"/>
      <c r="F268" s="3"/>
    </row>
    <row r="269" spans="2:6" ht="15">
      <c r="B269" s="3"/>
      <c r="C269" s="3"/>
      <c r="D269" s="3"/>
      <c r="E269" s="3"/>
      <c r="F269" s="3"/>
    </row>
    <row r="270" spans="2:6" ht="15">
      <c r="B270" s="3"/>
      <c r="C270" s="3"/>
      <c r="D270" s="3"/>
      <c r="E270" s="3"/>
      <c r="F270" s="3"/>
    </row>
    <row r="271" spans="2:6" ht="15">
      <c r="B271" s="3"/>
      <c r="C271" s="3"/>
      <c r="D271" s="3"/>
      <c r="E271" s="3"/>
      <c r="F271" s="3"/>
    </row>
    <row r="272" spans="2:6" ht="15">
      <c r="B272" s="3"/>
      <c r="C272" s="3"/>
      <c r="D272" s="3"/>
      <c r="E272" s="3"/>
      <c r="F272" s="3"/>
    </row>
    <row r="273" spans="2:6" ht="15">
      <c r="B273" s="3"/>
      <c r="C273" s="3"/>
      <c r="D273" s="3"/>
      <c r="E273" s="3"/>
      <c r="F273" s="3"/>
    </row>
    <row r="274" spans="2:6" ht="15">
      <c r="B274" s="3"/>
      <c r="C274" s="3"/>
      <c r="D274" s="3"/>
      <c r="E274" s="3"/>
      <c r="F274" s="3"/>
    </row>
    <row r="275" spans="2:6" ht="15">
      <c r="B275" s="3"/>
      <c r="C275" s="3"/>
      <c r="D275" s="3"/>
      <c r="E275" s="3"/>
      <c r="F275" s="3"/>
    </row>
    <row r="276" spans="2:6" ht="15">
      <c r="B276" s="3"/>
      <c r="C276" s="3"/>
      <c r="D276" s="3"/>
      <c r="E276" s="3"/>
      <c r="F276" s="3"/>
    </row>
    <row r="277" spans="2:6" ht="15">
      <c r="B277" s="3"/>
      <c r="C277" s="3"/>
      <c r="D277" s="3"/>
      <c r="E277" s="3"/>
      <c r="F277" s="3"/>
    </row>
    <row r="278" spans="2:6" ht="15">
      <c r="B278" s="3"/>
      <c r="C278" s="3"/>
      <c r="D278" s="3"/>
      <c r="E278" s="3"/>
      <c r="F278" s="3"/>
    </row>
    <row r="279" spans="2:6" ht="15">
      <c r="B279" s="3"/>
      <c r="C279" s="3"/>
      <c r="D279" s="3"/>
      <c r="E279" s="3"/>
      <c r="F279" s="3"/>
    </row>
    <row r="280" spans="2:6" ht="15">
      <c r="B280" s="3"/>
      <c r="C280" s="3"/>
      <c r="D280" s="3"/>
      <c r="E280" s="3"/>
      <c r="F280" s="3"/>
    </row>
    <row r="281" spans="2:6" ht="15">
      <c r="B281" s="3"/>
      <c r="C281" s="3"/>
      <c r="D281" s="3"/>
      <c r="E281" s="3"/>
      <c r="F281" s="3"/>
    </row>
    <row r="282" spans="2:6" ht="15">
      <c r="B282" s="3"/>
      <c r="C282" s="3"/>
      <c r="D282" s="3"/>
      <c r="E282" s="3"/>
      <c r="F282" s="3"/>
    </row>
    <row r="283" spans="2:6" ht="15">
      <c r="B283" s="3"/>
      <c r="C283" s="3"/>
      <c r="D283" s="3"/>
      <c r="E283" s="3"/>
      <c r="F283" s="3"/>
    </row>
    <row r="284" spans="2:6" ht="15">
      <c r="B284" s="3"/>
      <c r="C284" s="3"/>
      <c r="D284" s="3"/>
      <c r="E284" s="3"/>
      <c r="F284" s="3"/>
    </row>
    <row r="285" spans="2:6" ht="15">
      <c r="B285" s="3"/>
      <c r="C285" s="3"/>
      <c r="D285" s="3"/>
      <c r="E285" s="3"/>
      <c r="F285" s="3"/>
    </row>
    <row r="286" spans="2:6" ht="15">
      <c r="B286" s="3"/>
      <c r="C286" s="3"/>
      <c r="D286" s="3"/>
      <c r="E286" s="3"/>
      <c r="F286" s="3"/>
    </row>
    <row r="287" spans="2:6" ht="15">
      <c r="B287" s="3"/>
      <c r="C287" s="3"/>
      <c r="D287" s="3"/>
      <c r="E287" s="3"/>
      <c r="F287" s="3"/>
    </row>
    <row r="288" spans="2:6" ht="15">
      <c r="B288" s="3"/>
      <c r="C288" s="3"/>
      <c r="D288" s="3"/>
      <c r="E288" s="3"/>
      <c r="F288" s="3"/>
    </row>
    <row r="289" spans="2:6" ht="15">
      <c r="B289" s="3"/>
      <c r="C289" s="3"/>
      <c r="D289" s="3"/>
      <c r="E289" s="3"/>
      <c r="F289" s="3"/>
    </row>
    <row r="290" spans="2:6" ht="15">
      <c r="B290" s="3"/>
      <c r="C290" s="3"/>
      <c r="D290" s="3"/>
      <c r="E290" s="3"/>
      <c r="F290" s="3"/>
    </row>
    <row r="291" spans="2:6" ht="15">
      <c r="B291" s="3"/>
      <c r="C291" s="3"/>
      <c r="D291" s="3"/>
      <c r="E291" s="3"/>
      <c r="F291" s="3"/>
    </row>
    <row r="292" spans="2:6" ht="15">
      <c r="B292" s="3"/>
      <c r="C292" s="3"/>
      <c r="D292" s="3"/>
      <c r="E292" s="3"/>
      <c r="F292" s="3"/>
    </row>
    <row r="293" spans="2:6" ht="15">
      <c r="B293" s="3"/>
      <c r="C293" s="3"/>
      <c r="D293" s="3"/>
      <c r="E293" s="3"/>
      <c r="F293" s="3"/>
    </row>
    <row r="294" spans="2:6" ht="15">
      <c r="B294" s="3"/>
      <c r="C294" s="3"/>
      <c r="D294" s="3"/>
      <c r="E294" s="3"/>
      <c r="F294" s="3"/>
    </row>
    <row r="295" spans="2:6" ht="15">
      <c r="B295" s="3"/>
      <c r="C295" s="3"/>
      <c r="D295" s="3"/>
      <c r="E295" s="3"/>
      <c r="F295" s="3"/>
    </row>
    <row r="296" spans="2:6" ht="15">
      <c r="B296" s="3"/>
      <c r="C296" s="3"/>
      <c r="D296" s="3"/>
      <c r="E296" s="3"/>
      <c r="F296" s="3"/>
    </row>
    <row r="297" spans="2:6" ht="15">
      <c r="B297" s="3"/>
      <c r="C297" s="3"/>
      <c r="D297" s="3"/>
      <c r="E297" s="3"/>
      <c r="F297" s="3"/>
    </row>
    <row r="298" spans="2:6" ht="15">
      <c r="B298" s="3"/>
      <c r="C298" s="3"/>
      <c r="D298" s="3"/>
      <c r="E298" s="3"/>
      <c r="F298" s="3"/>
    </row>
    <row r="299" spans="2:6" ht="15">
      <c r="B299" s="3"/>
      <c r="C299" s="3"/>
      <c r="D299" s="3"/>
      <c r="E299" s="3"/>
      <c r="F299" s="3"/>
    </row>
    <row r="300" spans="2:6" ht="15">
      <c r="B300" s="3"/>
      <c r="C300" s="3"/>
      <c r="D300" s="3"/>
      <c r="E300" s="3"/>
      <c r="F300" s="3"/>
    </row>
    <row r="301" spans="2:6" ht="15">
      <c r="B301" s="3"/>
      <c r="C301" s="3"/>
      <c r="D301" s="3"/>
      <c r="E301" s="3"/>
      <c r="F301" s="3"/>
    </row>
    <row r="302" spans="2:6" ht="15">
      <c r="B302" s="3"/>
      <c r="C302" s="3"/>
      <c r="D302" s="3"/>
      <c r="E302" s="3"/>
      <c r="F302" s="3"/>
    </row>
    <row r="303" spans="2:6" ht="15">
      <c r="B303" s="3"/>
      <c r="C303" s="3"/>
      <c r="D303" s="3"/>
      <c r="E303" s="3"/>
      <c r="F303" s="3"/>
    </row>
    <row r="304" spans="2:6" ht="15">
      <c r="B304" s="3"/>
      <c r="C304" s="3"/>
      <c r="D304" s="3"/>
      <c r="E304" s="3"/>
      <c r="F304" s="3"/>
    </row>
    <row r="305" spans="2:6" ht="15">
      <c r="B305" s="3"/>
      <c r="C305" s="3"/>
      <c r="D305" s="3"/>
      <c r="E305" s="3"/>
      <c r="F305" s="3"/>
    </row>
    <row r="306" spans="2:6" ht="15">
      <c r="B306" s="3"/>
      <c r="C306" s="3"/>
      <c r="D306" s="3"/>
      <c r="E306" s="3"/>
      <c r="F306" s="3"/>
    </row>
    <row r="307" spans="2:6" ht="15">
      <c r="B307" s="3"/>
      <c r="C307" s="3"/>
      <c r="D307" s="3"/>
      <c r="E307" s="3"/>
      <c r="F307" s="3"/>
    </row>
    <row r="308" spans="2:6" ht="15">
      <c r="B308" s="3"/>
      <c r="C308" s="3"/>
      <c r="D308" s="3"/>
      <c r="E308" s="3"/>
      <c r="F308" s="3"/>
    </row>
    <row r="309" spans="2:6" ht="15">
      <c r="B309" s="3"/>
      <c r="C309" s="3"/>
      <c r="D309" s="3"/>
      <c r="E309" s="3"/>
      <c r="F309" s="3"/>
    </row>
    <row r="310" spans="2:6" ht="15">
      <c r="B310" s="3"/>
      <c r="C310" s="3"/>
      <c r="D310" s="3"/>
      <c r="E310" s="3"/>
      <c r="F310" s="3"/>
    </row>
    <row r="311" spans="2:6" ht="15">
      <c r="B311" s="3"/>
      <c r="C311" s="3"/>
      <c r="D311" s="3"/>
      <c r="E311" s="3"/>
      <c r="F311" s="3"/>
    </row>
    <row r="312" spans="2:6" ht="15">
      <c r="B312" s="3"/>
      <c r="C312" s="3"/>
      <c r="D312" s="3"/>
      <c r="E312" s="3"/>
      <c r="F312" s="3"/>
    </row>
    <row r="313" spans="2:6" ht="15">
      <c r="B313" s="3"/>
      <c r="C313" s="3"/>
      <c r="D313" s="3"/>
      <c r="E313" s="3"/>
      <c r="F313" s="3"/>
    </row>
    <row r="314" spans="2:6" ht="15">
      <c r="B314" s="3"/>
      <c r="C314" s="3"/>
      <c r="D314" s="3"/>
      <c r="E314" s="3"/>
      <c r="F314" s="3"/>
    </row>
    <row r="315" spans="2:6" ht="15">
      <c r="B315" s="3"/>
      <c r="C315" s="3"/>
      <c r="D315" s="3"/>
      <c r="E315" s="3"/>
      <c r="F315" s="3"/>
    </row>
    <row r="316" spans="2:6" ht="15">
      <c r="B316" s="3"/>
      <c r="C316" s="3"/>
      <c r="D316" s="3"/>
      <c r="E316" s="3"/>
      <c r="F316" s="3"/>
    </row>
    <row r="317" spans="2:6" ht="15">
      <c r="B317" s="3"/>
      <c r="C317" s="3"/>
      <c r="D317" s="3"/>
      <c r="E317" s="3"/>
      <c r="F317" s="3"/>
    </row>
    <row r="318" spans="2:6" ht="15">
      <c r="B318" s="3"/>
      <c r="C318" s="3"/>
      <c r="D318" s="3"/>
      <c r="E318" s="3"/>
      <c r="F318" s="3"/>
    </row>
    <row r="319" spans="2:6" ht="15">
      <c r="B319" s="3"/>
      <c r="C319" s="3"/>
      <c r="D319" s="3"/>
      <c r="E319" s="3"/>
      <c r="F319" s="3"/>
    </row>
    <row r="320" spans="2:6" ht="15">
      <c r="B320" s="3"/>
      <c r="C320" s="3"/>
      <c r="D320" s="3"/>
      <c r="E320" s="3"/>
      <c r="F320" s="3"/>
    </row>
    <row r="321" spans="2:6" ht="15">
      <c r="B321" s="3"/>
      <c r="C321" s="3"/>
      <c r="D321" s="3"/>
      <c r="E321" s="3"/>
      <c r="F321" s="3"/>
    </row>
    <row r="322" spans="2:6" ht="15">
      <c r="B322" s="3"/>
      <c r="C322" s="3"/>
      <c r="D322" s="3"/>
      <c r="E322" s="3"/>
      <c r="F322" s="3"/>
    </row>
    <row r="323" spans="2:6" ht="15">
      <c r="B323" s="3"/>
      <c r="C323" s="3"/>
      <c r="D323" s="3"/>
      <c r="E323" s="3"/>
      <c r="F323" s="3"/>
    </row>
    <row r="324" spans="2:6" ht="15">
      <c r="B324" s="3"/>
      <c r="C324" s="3"/>
      <c r="D324" s="3"/>
      <c r="E324" s="3"/>
      <c r="F324" s="3"/>
    </row>
    <row r="325" spans="2:6" ht="15">
      <c r="B325" s="3"/>
      <c r="C325" s="3"/>
      <c r="D325" s="3"/>
      <c r="E325" s="3"/>
      <c r="F325" s="3"/>
    </row>
    <row r="326" spans="2:6" ht="15">
      <c r="B326" s="3"/>
      <c r="C326" s="3"/>
      <c r="D326" s="3"/>
      <c r="E326" s="3"/>
      <c r="F326" s="3"/>
    </row>
    <row r="327" spans="2:6" ht="15">
      <c r="B327" s="3"/>
      <c r="C327" s="3"/>
      <c r="D327" s="3"/>
      <c r="E327" s="3"/>
      <c r="F327" s="3"/>
    </row>
    <row r="328" spans="2:6" ht="15">
      <c r="B328" s="3"/>
      <c r="C328" s="3"/>
      <c r="D328" s="3"/>
      <c r="E328" s="3"/>
      <c r="F328" s="3"/>
    </row>
    <row r="329" spans="2:6" ht="15">
      <c r="B329" s="3"/>
      <c r="C329" s="3"/>
      <c r="D329" s="3"/>
      <c r="E329" s="3"/>
      <c r="F329" s="3"/>
    </row>
    <row r="330" spans="2:6" ht="15">
      <c r="B330" s="3"/>
      <c r="C330" s="3"/>
      <c r="D330" s="3"/>
      <c r="E330" s="3"/>
      <c r="F330" s="3"/>
    </row>
    <row r="331" spans="2:6" ht="15">
      <c r="B331" s="3"/>
      <c r="C331" s="3"/>
      <c r="D331" s="3"/>
      <c r="E331" s="3"/>
      <c r="F331" s="3"/>
    </row>
    <row r="332" spans="2:6" ht="15">
      <c r="B332" s="3"/>
      <c r="C332" s="3"/>
      <c r="D332" s="3"/>
      <c r="E332" s="3"/>
      <c r="F332" s="3"/>
    </row>
    <row r="333" spans="2:6" ht="15">
      <c r="B333" s="3"/>
      <c r="C333" s="3"/>
      <c r="D333" s="3"/>
      <c r="E333" s="3"/>
      <c r="F333" s="3"/>
    </row>
    <row r="334" spans="2:6" ht="15">
      <c r="B334" s="3"/>
      <c r="C334" s="3"/>
      <c r="D334" s="3"/>
      <c r="E334" s="3"/>
      <c r="F334" s="3"/>
    </row>
    <row r="335" spans="2:6" ht="15">
      <c r="B335" s="3"/>
      <c r="C335" s="3"/>
      <c r="D335" s="3"/>
      <c r="E335" s="3"/>
      <c r="F335" s="3"/>
    </row>
    <row r="336" spans="2:6" ht="15">
      <c r="B336" s="3"/>
      <c r="C336" s="3"/>
      <c r="D336" s="3"/>
      <c r="E336" s="3"/>
      <c r="F336" s="3"/>
    </row>
    <row r="337" spans="2:6" ht="15">
      <c r="B337" s="3"/>
      <c r="C337" s="3"/>
      <c r="D337" s="3"/>
      <c r="E337" s="3"/>
      <c r="F337" s="3"/>
    </row>
    <row r="338" spans="2:6" ht="15">
      <c r="B338" s="3"/>
      <c r="C338" s="3"/>
      <c r="D338" s="3"/>
      <c r="E338" s="3"/>
      <c r="F338" s="3"/>
    </row>
    <row r="339" spans="2:6" ht="15">
      <c r="B339" s="3"/>
      <c r="C339" s="3"/>
      <c r="D339" s="3"/>
      <c r="E339" s="3"/>
      <c r="F339" s="3"/>
    </row>
    <row r="340" spans="2:6" ht="15">
      <c r="B340" s="3"/>
      <c r="C340" s="3"/>
      <c r="D340" s="3"/>
      <c r="E340" s="3"/>
      <c r="F340" s="3"/>
    </row>
    <row r="341" spans="2:6" ht="15">
      <c r="B341" s="3"/>
      <c r="C341" s="3"/>
      <c r="D341" s="3"/>
      <c r="E341" s="3"/>
      <c r="F341" s="3"/>
    </row>
    <row r="342" spans="2:6" ht="15">
      <c r="B342" s="3"/>
      <c r="C342" s="3"/>
      <c r="D342" s="3"/>
      <c r="E342" s="3"/>
      <c r="F342" s="3"/>
    </row>
    <row r="343" spans="2:6" ht="15">
      <c r="B343" s="3"/>
      <c r="C343" s="3"/>
      <c r="D343" s="3"/>
      <c r="E343" s="3"/>
      <c r="F343" s="3"/>
    </row>
    <row r="344" spans="2:6" ht="15">
      <c r="B344" s="3"/>
      <c r="C344" s="3"/>
      <c r="D344" s="3"/>
      <c r="E344" s="3"/>
      <c r="F344" s="3"/>
    </row>
    <row r="345" spans="2:6" ht="15">
      <c r="B345" s="3"/>
      <c r="C345" s="3"/>
      <c r="D345" s="3"/>
      <c r="E345" s="3"/>
      <c r="F345" s="3"/>
    </row>
    <row r="346" spans="2:6" ht="15">
      <c r="B346" s="3"/>
      <c r="C346" s="3"/>
      <c r="D346" s="3"/>
      <c r="E346" s="3"/>
      <c r="F346" s="3"/>
    </row>
    <row r="347" spans="2:6" ht="15">
      <c r="B347" s="3"/>
      <c r="C347" s="3"/>
      <c r="D347" s="3"/>
      <c r="E347" s="3"/>
      <c r="F347" s="3"/>
    </row>
    <row r="348" spans="2:6" ht="15">
      <c r="B348" s="3"/>
      <c r="C348" s="3"/>
      <c r="D348" s="3"/>
      <c r="E348" s="3"/>
      <c r="F348" s="3"/>
    </row>
    <row r="349" spans="2:6" ht="15">
      <c r="B349" s="3"/>
      <c r="C349" s="3"/>
      <c r="D349" s="3"/>
      <c r="E349" s="3"/>
      <c r="F349" s="3"/>
    </row>
    <row r="350" spans="2:6" ht="15">
      <c r="B350" s="3"/>
      <c r="C350" s="3"/>
      <c r="D350" s="3"/>
      <c r="E350" s="3"/>
      <c r="F350" s="3"/>
    </row>
    <row r="351" spans="2:6" ht="15">
      <c r="B351" s="3"/>
      <c r="C351" s="3"/>
      <c r="D351" s="3"/>
      <c r="E351" s="3"/>
      <c r="F351" s="3"/>
    </row>
    <row r="352" spans="2:6" ht="15">
      <c r="B352" s="3"/>
      <c r="C352" s="3"/>
      <c r="D352" s="3"/>
      <c r="E352" s="3"/>
      <c r="F352" s="3"/>
    </row>
    <row r="353" spans="2:6" ht="15">
      <c r="B353" s="3"/>
      <c r="C353" s="3"/>
      <c r="D353" s="3"/>
      <c r="E353" s="3"/>
      <c r="F353" s="3"/>
    </row>
    <row r="354" spans="2:6" ht="15">
      <c r="B354" s="3"/>
      <c r="C354" s="3"/>
      <c r="D354" s="3"/>
      <c r="E354" s="3"/>
      <c r="F354" s="3"/>
    </row>
    <row r="355" spans="2:6" ht="15">
      <c r="B355" s="3"/>
      <c r="C355" s="3"/>
      <c r="D355" s="3"/>
      <c r="E355" s="3"/>
      <c r="F355" s="3"/>
    </row>
    <row r="356" spans="2:6" ht="15">
      <c r="B356" s="3"/>
      <c r="C356" s="3"/>
      <c r="D356" s="3"/>
      <c r="E356" s="3"/>
      <c r="F356" s="3"/>
    </row>
    <row r="357" spans="2:6" ht="15">
      <c r="B357" s="3"/>
      <c r="C357" s="3"/>
      <c r="D357" s="3"/>
      <c r="E357" s="3"/>
      <c r="F357" s="3"/>
    </row>
    <row r="358" spans="2:6" ht="15">
      <c r="B358" s="3"/>
      <c r="C358" s="3"/>
      <c r="D358" s="3"/>
      <c r="E358" s="3"/>
      <c r="F358" s="3"/>
    </row>
    <row r="359" spans="2:6" ht="15">
      <c r="B359" s="3"/>
      <c r="C359" s="3"/>
      <c r="D359" s="3"/>
      <c r="E359" s="3"/>
      <c r="F359" s="3"/>
    </row>
    <row r="360" spans="2:6" ht="15">
      <c r="B360" s="3"/>
      <c r="C360" s="3"/>
      <c r="D360" s="3"/>
      <c r="E360" s="3"/>
      <c r="F360" s="3"/>
    </row>
    <row r="361" spans="2:6" ht="15">
      <c r="B361" s="3"/>
      <c r="C361" s="3"/>
      <c r="D361" s="3"/>
      <c r="E361" s="3"/>
      <c r="F361" s="3"/>
    </row>
    <row r="362" spans="2:6" ht="15">
      <c r="B362" s="3"/>
      <c r="C362" s="3"/>
      <c r="D362" s="3"/>
      <c r="E362" s="3"/>
      <c r="F362" s="3"/>
    </row>
    <row r="363" spans="2:6" ht="15">
      <c r="B363" s="3"/>
      <c r="C363" s="3"/>
      <c r="D363" s="3"/>
      <c r="E363" s="3"/>
      <c r="F363" s="3"/>
    </row>
    <row r="364" spans="2:6" ht="15">
      <c r="B364" s="3"/>
      <c r="C364" s="3"/>
      <c r="D364" s="3"/>
      <c r="E364" s="3"/>
      <c r="F364" s="3"/>
    </row>
    <row r="365" spans="2:6" ht="15">
      <c r="B365" s="3"/>
      <c r="C365" s="3"/>
      <c r="D365" s="3"/>
      <c r="E365" s="3"/>
      <c r="F365" s="3"/>
    </row>
    <row r="366" spans="2:6" ht="15">
      <c r="B366" s="3"/>
      <c r="C366" s="3"/>
      <c r="D366" s="3"/>
      <c r="E366" s="3"/>
      <c r="F366" s="3"/>
    </row>
    <row r="367" spans="2:6" ht="15">
      <c r="B367" s="3"/>
      <c r="C367" s="3"/>
      <c r="D367" s="3"/>
      <c r="E367" s="3"/>
      <c r="F367" s="3"/>
    </row>
    <row r="368" spans="2:6" ht="15">
      <c r="B368" s="3"/>
      <c r="C368" s="3"/>
      <c r="D368" s="3"/>
      <c r="E368" s="3"/>
      <c r="F368" s="3"/>
    </row>
    <row r="369" spans="2:6" ht="15">
      <c r="B369" s="3"/>
      <c r="C369" s="3"/>
      <c r="D369" s="3"/>
      <c r="E369" s="3"/>
      <c r="F369" s="3"/>
    </row>
    <row r="370" spans="2:6" ht="15">
      <c r="B370" s="3"/>
      <c r="C370" s="3"/>
      <c r="D370" s="3"/>
      <c r="E370" s="3"/>
      <c r="F370" s="3"/>
    </row>
    <row r="371" spans="2:6" ht="15">
      <c r="B371" s="3"/>
      <c r="C371" s="3"/>
      <c r="D371" s="3"/>
      <c r="E371" s="3"/>
      <c r="F371" s="3"/>
    </row>
    <row r="372" spans="2:6" ht="15">
      <c r="B372" s="3"/>
      <c r="C372" s="3"/>
      <c r="D372" s="3"/>
      <c r="E372" s="3"/>
      <c r="F372" s="3"/>
    </row>
    <row r="373" spans="2:6" ht="15">
      <c r="B373" s="3"/>
      <c r="C373" s="3"/>
      <c r="D373" s="3"/>
      <c r="E373" s="3"/>
      <c r="F373" s="3"/>
    </row>
    <row r="374" spans="2:6" ht="15">
      <c r="B374" s="3"/>
      <c r="C374" s="3"/>
      <c r="D374" s="3"/>
      <c r="E374" s="3"/>
      <c r="F374" s="3"/>
    </row>
    <row r="375" spans="2:6" ht="15">
      <c r="B375" s="3"/>
      <c r="C375" s="3"/>
      <c r="D375" s="3"/>
      <c r="E375" s="3"/>
      <c r="F375" s="3"/>
    </row>
    <row r="376" spans="2:6" ht="15">
      <c r="B376" s="3"/>
      <c r="C376" s="3"/>
      <c r="D376" s="3"/>
      <c r="E376" s="3"/>
      <c r="F376" s="3"/>
    </row>
    <row r="377" spans="2:6" ht="15">
      <c r="B377" s="3"/>
      <c r="C377" s="3"/>
      <c r="D377" s="3"/>
      <c r="E377" s="3"/>
      <c r="F377" s="3"/>
    </row>
    <row r="378" spans="2:6" ht="15">
      <c r="B378" s="3"/>
      <c r="C378" s="3"/>
      <c r="D378" s="3"/>
      <c r="E378" s="3"/>
      <c r="F378" s="3"/>
    </row>
    <row r="379" spans="2:6" ht="15">
      <c r="B379" s="3"/>
      <c r="C379" s="3"/>
      <c r="D379" s="3"/>
      <c r="E379" s="3"/>
      <c r="F379" s="3"/>
    </row>
    <row r="380" spans="2:6" ht="15">
      <c r="B380" s="3"/>
      <c r="C380" s="3"/>
      <c r="D380" s="3"/>
      <c r="E380" s="3"/>
      <c r="F380" s="3"/>
    </row>
    <row r="381" spans="2:6" ht="15">
      <c r="B381" s="3"/>
      <c r="C381" s="3"/>
      <c r="D381" s="3"/>
      <c r="E381" s="3"/>
      <c r="F381" s="3"/>
    </row>
    <row r="382" spans="2:6" ht="15">
      <c r="B382" s="3"/>
      <c r="C382" s="3"/>
      <c r="D382" s="3"/>
      <c r="E382" s="3"/>
      <c r="F382" s="3"/>
    </row>
    <row r="383" spans="2:6" ht="15">
      <c r="B383" s="3"/>
      <c r="C383" s="3"/>
      <c r="D383" s="3"/>
      <c r="E383" s="3"/>
      <c r="F383" s="3"/>
    </row>
    <row r="384" spans="2:6" ht="15">
      <c r="B384" s="3"/>
      <c r="C384" s="3"/>
      <c r="D384" s="3"/>
      <c r="E384" s="3"/>
      <c r="F384" s="3"/>
    </row>
    <row r="385" spans="2:6" ht="15">
      <c r="B385" s="3"/>
      <c r="C385" s="3"/>
      <c r="D385" s="3"/>
      <c r="E385" s="3"/>
      <c r="F385" s="3"/>
    </row>
    <row r="386" spans="2:6" ht="15">
      <c r="B386" s="3"/>
      <c r="C386" s="3"/>
      <c r="D386" s="3"/>
      <c r="E386" s="3"/>
      <c r="F386" s="3"/>
    </row>
    <row r="387" spans="2:6" ht="15">
      <c r="B387" s="3"/>
      <c r="C387" s="3"/>
      <c r="D387" s="3"/>
      <c r="E387" s="3"/>
      <c r="F387" s="3"/>
    </row>
    <row r="388" spans="2:6" ht="15">
      <c r="B388" s="3"/>
      <c r="C388" s="3"/>
      <c r="D388" s="3"/>
      <c r="E388" s="3"/>
      <c r="F388" s="3"/>
    </row>
    <row r="389" spans="2:6" ht="15">
      <c r="B389" s="3"/>
      <c r="C389" s="3"/>
      <c r="D389" s="3"/>
      <c r="E389" s="3"/>
      <c r="F389" s="3"/>
    </row>
    <row r="390" spans="2:6" ht="15">
      <c r="B390" s="3"/>
      <c r="C390" s="3"/>
      <c r="D390" s="3"/>
      <c r="E390" s="3"/>
      <c r="F390" s="3"/>
    </row>
    <row r="391" spans="2:6" ht="15">
      <c r="B391" s="3"/>
      <c r="C391" s="3"/>
      <c r="D391" s="3"/>
      <c r="E391" s="3"/>
      <c r="F391" s="3"/>
    </row>
    <row r="392" spans="2:6" ht="15">
      <c r="B392" s="3"/>
      <c r="C392" s="3"/>
      <c r="D392" s="3"/>
      <c r="E392" s="3"/>
      <c r="F392" s="3"/>
    </row>
    <row r="393" spans="2:6" ht="15">
      <c r="B393" s="3"/>
      <c r="C393" s="3"/>
      <c r="D393" s="3"/>
      <c r="E393" s="3"/>
      <c r="F393" s="3"/>
    </row>
    <row r="394" spans="2:6" ht="15">
      <c r="B394" s="3"/>
      <c r="C394" s="3"/>
      <c r="D394" s="3"/>
      <c r="E394" s="3"/>
      <c r="F394" s="3"/>
    </row>
    <row r="395" spans="2:6" ht="15">
      <c r="B395" s="3"/>
      <c r="C395" s="3"/>
      <c r="D395" s="3"/>
      <c r="E395" s="3"/>
      <c r="F395" s="3"/>
    </row>
    <row r="396" spans="2:6" ht="15">
      <c r="B396" s="3"/>
      <c r="C396" s="3"/>
      <c r="D396" s="3"/>
      <c r="E396" s="3"/>
      <c r="F396" s="3"/>
    </row>
    <row r="397" spans="2:6" ht="15">
      <c r="B397" s="3"/>
      <c r="C397" s="3"/>
      <c r="D397" s="3"/>
      <c r="E397" s="3"/>
      <c r="F397" s="3"/>
    </row>
    <row r="398" spans="2:6" ht="15">
      <c r="B398" s="3"/>
      <c r="C398" s="3"/>
      <c r="D398" s="3"/>
      <c r="E398" s="3"/>
      <c r="F398" s="3"/>
    </row>
    <row r="399" spans="2:6" ht="15">
      <c r="B399" s="3"/>
      <c r="C399" s="3"/>
      <c r="D399" s="3"/>
      <c r="E399" s="3"/>
      <c r="F399" s="3"/>
    </row>
    <row r="400" spans="2:6" ht="15">
      <c r="B400" s="3"/>
      <c r="C400" s="3"/>
      <c r="D400" s="3"/>
      <c r="E400" s="3"/>
      <c r="F400" s="3"/>
    </row>
    <row r="401" spans="2:6" ht="15">
      <c r="B401" s="3"/>
      <c r="C401" s="3"/>
      <c r="D401" s="3"/>
      <c r="E401" s="3"/>
      <c r="F401" s="3"/>
    </row>
    <row r="402" spans="2:6" ht="15">
      <c r="B402" s="3"/>
      <c r="C402" s="3"/>
      <c r="D402" s="3"/>
      <c r="E402" s="3"/>
      <c r="F402" s="3"/>
    </row>
    <row r="403" spans="2:6" ht="15">
      <c r="B403" s="3"/>
      <c r="C403" s="3"/>
      <c r="D403" s="3"/>
      <c r="E403" s="3"/>
      <c r="F403" s="3"/>
    </row>
    <row r="404" spans="2:6" ht="15">
      <c r="B404" s="3"/>
      <c r="C404" s="3"/>
      <c r="D404" s="3"/>
      <c r="E404" s="3"/>
      <c r="F404" s="3"/>
    </row>
    <row r="405" spans="2:6" ht="15">
      <c r="B405" s="3"/>
      <c r="C405" s="3"/>
      <c r="D405" s="3"/>
      <c r="E405" s="3"/>
      <c r="F405" s="3"/>
    </row>
    <row r="406" spans="2:6" ht="15">
      <c r="B406" s="3"/>
      <c r="C406" s="3"/>
      <c r="D406" s="3"/>
      <c r="E406" s="3"/>
      <c r="F406" s="3"/>
    </row>
    <row r="407" spans="2:6" ht="15">
      <c r="B407" s="3"/>
      <c r="C407" s="3"/>
      <c r="D407" s="3"/>
      <c r="E407" s="3"/>
      <c r="F407" s="3"/>
    </row>
    <row r="408" spans="2:6" ht="15">
      <c r="B408" s="3"/>
      <c r="C408" s="3"/>
      <c r="D408" s="3"/>
      <c r="E408" s="3"/>
      <c r="F408" s="3"/>
    </row>
    <row r="409" spans="2:6" ht="15">
      <c r="B409" s="3"/>
      <c r="C409" s="3"/>
      <c r="D409" s="3"/>
      <c r="E409" s="3"/>
      <c r="F409" s="3"/>
    </row>
    <row r="410" spans="2:6" ht="15">
      <c r="B410" s="3"/>
      <c r="C410" s="3"/>
      <c r="D410" s="3"/>
      <c r="E410" s="3"/>
      <c r="F410" s="3"/>
    </row>
    <row r="411" spans="2:6" ht="15">
      <c r="B411" s="3"/>
      <c r="C411" s="3"/>
      <c r="D411" s="3"/>
      <c r="E411" s="3"/>
      <c r="F411" s="3"/>
    </row>
    <row r="412" spans="2:6" ht="15">
      <c r="B412" s="3"/>
      <c r="C412" s="3"/>
      <c r="D412" s="3"/>
      <c r="E412" s="3"/>
      <c r="F412" s="3"/>
    </row>
    <row r="413" spans="2:6" ht="15">
      <c r="B413" s="3"/>
      <c r="C413" s="3"/>
      <c r="D413" s="3"/>
      <c r="E413" s="3"/>
      <c r="F413" s="3"/>
    </row>
    <row r="414" spans="2:6" ht="15">
      <c r="B414" s="3"/>
      <c r="C414" s="3"/>
      <c r="D414" s="3"/>
      <c r="E414" s="3"/>
      <c r="F414" s="3"/>
    </row>
    <row r="415" spans="2:6" ht="15">
      <c r="B415" s="3"/>
      <c r="C415" s="3"/>
      <c r="D415" s="3"/>
      <c r="E415" s="3"/>
      <c r="F415" s="3"/>
    </row>
    <row r="416" spans="2:6" ht="15">
      <c r="B416" s="3"/>
      <c r="C416" s="3"/>
      <c r="D416" s="3"/>
      <c r="E416" s="3"/>
      <c r="F416" s="3"/>
    </row>
    <row r="417" spans="2:6" ht="15">
      <c r="B417" s="3"/>
      <c r="C417" s="3"/>
      <c r="D417" s="3"/>
      <c r="E417" s="3"/>
      <c r="F417" s="3"/>
    </row>
    <row r="418" spans="2:6" ht="15">
      <c r="B418" s="3"/>
      <c r="C418" s="3"/>
      <c r="D418" s="3"/>
      <c r="E418" s="3"/>
      <c r="F418" s="3"/>
    </row>
    <row r="419" spans="2:6" ht="15">
      <c r="B419" s="3"/>
      <c r="C419" s="3"/>
      <c r="D419" s="3"/>
      <c r="E419" s="3"/>
      <c r="F419" s="3"/>
    </row>
    <row r="420" spans="2:6" ht="15">
      <c r="B420" s="3"/>
      <c r="C420" s="3"/>
      <c r="D420" s="3"/>
      <c r="E420" s="3"/>
      <c r="F420" s="3"/>
    </row>
    <row r="421" spans="2:6" ht="15">
      <c r="B421" s="3"/>
      <c r="C421" s="3"/>
      <c r="D421" s="3"/>
      <c r="E421" s="3"/>
      <c r="F421" s="3"/>
    </row>
    <row r="422" spans="2:6" ht="15">
      <c r="B422" s="3"/>
      <c r="C422" s="3"/>
      <c r="D422" s="3"/>
      <c r="E422" s="3"/>
      <c r="F422" s="3"/>
    </row>
    <row r="423" spans="2:6" ht="15">
      <c r="B423" s="3"/>
      <c r="C423" s="3"/>
      <c r="D423" s="3"/>
      <c r="E423" s="3"/>
      <c r="F423" s="3"/>
    </row>
    <row r="424" spans="2:6" ht="15">
      <c r="B424" s="3"/>
      <c r="C424" s="3"/>
      <c r="D424" s="3"/>
      <c r="E424" s="3"/>
      <c r="F424" s="3"/>
    </row>
    <row r="425" spans="2:6" ht="15">
      <c r="B425" s="3"/>
      <c r="C425" s="3"/>
      <c r="D425" s="3"/>
      <c r="E425" s="3"/>
      <c r="F425" s="3"/>
    </row>
    <row r="426" spans="2:6" ht="15">
      <c r="B426" s="3"/>
      <c r="C426" s="3"/>
      <c r="D426" s="3"/>
      <c r="E426" s="3"/>
      <c r="F426" s="3"/>
    </row>
    <row r="427" spans="2:6" ht="15">
      <c r="B427" s="3"/>
      <c r="C427" s="3"/>
      <c r="D427" s="3"/>
      <c r="E427" s="3"/>
      <c r="F427" s="3"/>
    </row>
    <row r="428" spans="2:6" ht="15">
      <c r="B428" s="3"/>
      <c r="C428" s="3"/>
      <c r="D428" s="3"/>
      <c r="E428" s="3"/>
      <c r="F428" s="3"/>
    </row>
    <row r="429" spans="2:6" ht="15">
      <c r="B429" s="3"/>
      <c r="C429" s="3"/>
      <c r="D429" s="3"/>
      <c r="E429" s="3"/>
      <c r="F429" s="3"/>
    </row>
    <row r="430" spans="2:6" ht="15">
      <c r="B430" s="3"/>
      <c r="C430" s="3"/>
      <c r="D430" s="3"/>
      <c r="E430" s="3"/>
      <c r="F430" s="3"/>
    </row>
    <row r="431" spans="2:6" ht="15">
      <c r="B431" s="3"/>
      <c r="C431" s="3"/>
      <c r="D431" s="3"/>
      <c r="E431" s="3"/>
      <c r="F431" s="3"/>
    </row>
    <row r="432" spans="2:6" ht="15">
      <c r="B432" s="3"/>
      <c r="C432" s="3"/>
      <c r="D432" s="3"/>
      <c r="E432" s="3"/>
      <c r="F432" s="3"/>
    </row>
    <row r="433" spans="2:6" ht="15">
      <c r="B433" s="3"/>
      <c r="C433" s="3"/>
      <c r="D433" s="3"/>
      <c r="E433" s="3"/>
      <c r="F433" s="3"/>
    </row>
    <row r="434" spans="2:6" ht="15">
      <c r="B434" s="3"/>
      <c r="C434" s="3"/>
      <c r="D434" s="3"/>
      <c r="E434" s="3"/>
      <c r="F434" s="3"/>
    </row>
    <row r="435" spans="2:6" ht="15">
      <c r="B435" s="3"/>
      <c r="C435" s="3"/>
      <c r="D435" s="3"/>
      <c r="E435" s="3"/>
      <c r="F435" s="3"/>
    </row>
    <row r="436" spans="2:6" ht="15">
      <c r="B436" s="3"/>
      <c r="C436" s="3"/>
      <c r="D436" s="3"/>
      <c r="E436" s="3"/>
      <c r="F436" s="3"/>
    </row>
    <row r="437" spans="2:6" ht="15">
      <c r="B437" s="3"/>
      <c r="C437" s="3"/>
      <c r="D437" s="3"/>
      <c r="E437" s="3"/>
      <c r="F437" s="3"/>
    </row>
    <row r="438" spans="2:6" ht="15">
      <c r="B438" s="3"/>
      <c r="C438" s="3"/>
      <c r="D438" s="3"/>
      <c r="E438" s="3"/>
      <c r="F438" s="3"/>
    </row>
    <row r="439" spans="2:6" ht="15">
      <c r="B439" s="3"/>
      <c r="C439" s="3"/>
      <c r="D439" s="3"/>
      <c r="E439" s="3"/>
      <c r="F439" s="3"/>
    </row>
    <row r="440" spans="2:6" ht="15">
      <c r="B440" s="3"/>
      <c r="C440" s="3"/>
      <c r="D440" s="3"/>
      <c r="E440" s="3"/>
      <c r="F440" s="3"/>
    </row>
    <row r="441" spans="2:6" ht="15">
      <c r="B441" s="3"/>
      <c r="C441" s="3"/>
      <c r="D441" s="3"/>
      <c r="E441" s="3"/>
      <c r="F441" s="3"/>
    </row>
    <row r="442" spans="2:6" ht="15">
      <c r="B442" s="3"/>
      <c r="C442" s="3"/>
      <c r="D442" s="3"/>
      <c r="E442" s="3"/>
      <c r="F442" s="3"/>
    </row>
    <row r="443" spans="2:6" ht="15">
      <c r="B443" s="3"/>
      <c r="C443" s="3"/>
      <c r="D443" s="3"/>
      <c r="E443" s="3"/>
      <c r="F443" s="3"/>
    </row>
    <row r="444" spans="2:6" ht="15">
      <c r="B444" s="3"/>
      <c r="C444" s="3"/>
      <c r="D444" s="3"/>
      <c r="E444" s="3"/>
      <c r="F444" s="3"/>
    </row>
    <row r="445" spans="2:6" ht="15">
      <c r="B445" s="3"/>
      <c r="C445" s="3"/>
      <c r="D445" s="3"/>
      <c r="E445" s="3"/>
      <c r="F445" s="3"/>
    </row>
    <row r="446" spans="2:6" ht="15">
      <c r="B446" s="3"/>
      <c r="C446" s="3"/>
      <c r="D446" s="3"/>
      <c r="E446" s="3"/>
      <c r="F446" s="3"/>
    </row>
    <row r="447" spans="2:6" ht="15">
      <c r="B447" s="3"/>
      <c r="C447" s="3"/>
      <c r="D447" s="3"/>
      <c r="E447" s="3"/>
      <c r="F447" s="3"/>
    </row>
    <row r="448" spans="2:6" ht="15">
      <c r="B448" s="3"/>
      <c r="C448" s="3"/>
      <c r="D448" s="3"/>
      <c r="E448" s="3"/>
      <c r="F448" s="3"/>
    </row>
    <row r="449" spans="2:6" ht="15">
      <c r="B449" s="3"/>
      <c r="C449" s="3"/>
      <c r="D449" s="3"/>
      <c r="E449" s="3"/>
      <c r="F449" s="3"/>
    </row>
    <row r="450" spans="2:6" ht="15">
      <c r="B450" s="3"/>
      <c r="C450" s="3"/>
      <c r="D450" s="3"/>
      <c r="E450" s="3"/>
      <c r="F450" s="3"/>
    </row>
    <row r="451" spans="2:6" ht="15">
      <c r="B451" s="3"/>
      <c r="C451" s="3"/>
      <c r="D451" s="3"/>
      <c r="E451" s="3"/>
      <c r="F451" s="3"/>
    </row>
    <row r="452" spans="2:6" ht="15">
      <c r="B452" s="3"/>
      <c r="C452" s="3"/>
      <c r="D452" s="3"/>
      <c r="E452" s="3"/>
      <c r="F452" s="3"/>
    </row>
    <row r="453" spans="2:6" ht="15">
      <c r="B453" s="3"/>
      <c r="C453" s="3"/>
      <c r="D453" s="3"/>
      <c r="E453" s="3"/>
      <c r="F453" s="3"/>
    </row>
    <row r="454" spans="2:6" ht="15">
      <c r="B454" s="3"/>
      <c r="C454" s="3"/>
      <c r="D454" s="3"/>
      <c r="E454" s="3"/>
      <c r="F454" s="3"/>
    </row>
    <row r="455" spans="2:6" ht="15">
      <c r="B455" s="3"/>
      <c r="C455" s="3"/>
      <c r="D455" s="3"/>
      <c r="E455" s="3"/>
      <c r="F455" s="3"/>
    </row>
    <row r="456" spans="2:6" ht="15">
      <c r="B456" s="3"/>
      <c r="C456" s="3"/>
      <c r="D456" s="3"/>
      <c r="E456" s="3"/>
      <c r="F456" s="3"/>
    </row>
    <row r="457" spans="2:6" ht="15">
      <c r="B457" s="3"/>
      <c r="C457" s="3"/>
      <c r="D457" s="3"/>
      <c r="E457" s="3"/>
      <c r="F457" s="3"/>
    </row>
    <row r="458" spans="2:6" ht="15">
      <c r="B458" s="3"/>
      <c r="C458" s="3"/>
      <c r="D458" s="3"/>
      <c r="E458" s="3"/>
      <c r="F458" s="3"/>
    </row>
    <row r="459" spans="2:6" ht="15">
      <c r="B459" s="3"/>
      <c r="C459" s="3"/>
      <c r="D459" s="3"/>
      <c r="E459" s="3"/>
      <c r="F459" s="3"/>
    </row>
    <row r="460" spans="2:6" ht="15">
      <c r="B460" s="3"/>
      <c r="C460" s="3"/>
      <c r="D460" s="3"/>
      <c r="E460" s="3"/>
      <c r="F460" s="3"/>
    </row>
    <row r="461" spans="2:6" ht="15">
      <c r="B461" s="3"/>
      <c r="C461" s="3"/>
      <c r="D461" s="3"/>
      <c r="E461" s="3"/>
      <c r="F461" s="3"/>
    </row>
    <row r="462" spans="2:6" ht="15">
      <c r="B462" s="3"/>
      <c r="C462" s="3"/>
      <c r="D462" s="3"/>
      <c r="E462" s="3"/>
      <c r="F462" s="3"/>
    </row>
    <row r="463" spans="2:6" ht="15">
      <c r="B463" s="3"/>
      <c r="C463" s="3"/>
      <c r="D463" s="3"/>
      <c r="E463" s="3"/>
      <c r="F463" s="3"/>
    </row>
    <row r="464" spans="2:6" ht="15">
      <c r="B464" s="3"/>
      <c r="C464" s="3"/>
      <c r="D464" s="3"/>
      <c r="E464" s="3"/>
      <c r="F464" s="3"/>
    </row>
    <row r="465" spans="2:6" ht="15">
      <c r="B465" s="3"/>
      <c r="C465" s="3"/>
      <c r="D465" s="3"/>
      <c r="E465" s="3"/>
      <c r="F465" s="3"/>
    </row>
    <row r="466" spans="2:6" ht="15">
      <c r="B466" s="3"/>
      <c r="C466" s="3"/>
      <c r="D466" s="3"/>
      <c r="E466" s="3"/>
      <c r="F466" s="3"/>
    </row>
    <row r="467" spans="2:6" ht="15">
      <c r="B467" s="3"/>
      <c r="C467" s="3"/>
      <c r="D467" s="3"/>
      <c r="E467" s="3"/>
      <c r="F467" s="3"/>
    </row>
    <row r="468" spans="2:6" ht="15">
      <c r="B468" s="3"/>
      <c r="C468" s="3"/>
      <c r="D468" s="3"/>
      <c r="E468" s="3"/>
      <c r="F468" s="3"/>
    </row>
    <row r="469" spans="2:6" ht="15">
      <c r="B469" s="3"/>
      <c r="C469" s="3"/>
      <c r="D469" s="3"/>
      <c r="E469" s="3"/>
      <c r="F469" s="3"/>
    </row>
    <row r="470" spans="2:6" ht="15">
      <c r="B470" s="3"/>
      <c r="C470" s="3"/>
      <c r="D470" s="3"/>
      <c r="E470" s="3"/>
      <c r="F470" s="3"/>
    </row>
    <row r="471" spans="2:6" ht="15">
      <c r="B471" s="3"/>
      <c r="C471" s="3"/>
      <c r="D471" s="3"/>
      <c r="E471" s="3"/>
      <c r="F471" s="3"/>
    </row>
    <row r="472" spans="2:6" ht="15">
      <c r="B472" s="3"/>
      <c r="C472" s="3"/>
      <c r="D472" s="3"/>
      <c r="E472" s="3"/>
      <c r="F472" s="3"/>
    </row>
    <row r="473" spans="2:6" ht="15">
      <c r="B473" s="3"/>
      <c r="C473" s="3"/>
      <c r="D473" s="3"/>
      <c r="E473" s="3"/>
      <c r="F473" s="3"/>
    </row>
    <row r="474" spans="2:6" ht="15">
      <c r="B474" s="3"/>
      <c r="C474" s="3"/>
      <c r="D474" s="3"/>
      <c r="E474" s="3"/>
      <c r="F474" s="3"/>
    </row>
    <row r="475" spans="2:6" ht="15">
      <c r="B475" s="3"/>
      <c r="C475" s="3"/>
      <c r="D475" s="3"/>
      <c r="E475" s="3"/>
      <c r="F475" s="3"/>
    </row>
    <row r="476" spans="2:6" ht="15">
      <c r="B476" s="3"/>
      <c r="C476" s="3"/>
      <c r="D476" s="3"/>
      <c r="E476" s="3"/>
      <c r="F476" s="3"/>
    </row>
    <row r="477" spans="2:6" ht="15">
      <c r="B477" s="3"/>
      <c r="C477" s="3"/>
      <c r="D477" s="3"/>
      <c r="E477" s="3"/>
      <c r="F477" s="3"/>
    </row>
    <row r="478" spans="2:6" ht="15">
      <c r="B478" s="3"/>
      <c r="C478" s="3"/>
      <c r="D478" s="3"/>
      <c r="E478" s="3"/>
      <c r="F478" s="3"/>
    </row>
    <row r="479" spans="2:6" ht="15">
      <c r="B479" s="3"/>
      <c r="C479" s="3"/>
      <c r="D479" s="3"/>
      <c r="E479" s="3"/>
      <c r="F479" s="3"/>
    </row>
    <row r="480" spans="2:6" ht="15">
      <c r="B480" s="3"/>
      <c r="C480" s="3"/>
      <c r="D480" s="3"/>
      <c r="E480" s="3"/>
      <c r="F480" s="3"/>
    </row>
    <row r="481" spans="2:6" ht="15">
      <c r="B481" s="3"/>
      <c r="C481" s="3"/>
      <c r="D481" s="3"/>
      <c r="E481" s="3"/>
      <c r="F481" s="3"/>
    </row>
    <row r="482" spans="2:6" ht="15">
      <c r="B482" s="3"/>
      <c r="C482" s="3"/>
      <c r="D482" s="3"/>
      <c r="E482" s="3"/>
      <c r="F482" s="3"/>
    </row>
    <row r="483" spans="2:6" ht="15">
      <c r="B483" s="3"/>
      <c r="C483" s="3"/>
      <c r="D483" s="3"/>
      <c r="E483" s="3"/>
      <c r="F483" s="3"/>
    </row>
    <row r="484" spans="2:6" ht="15">
      <c r="B484" s="3"/>
      <c r="C484" s="3"/>
      <c r="D484" s="3"/>
      <c r="E484" s="3"/>
      <c r="F484" s="3"/>
    </row>
    <row r="485" spans="2:6" ht="15">
      <c r="B485" s="3"/>
      <c r="C485" s="3"/>
      <c r="D485" s="3"/>
      <c r="E485" s="3"/>
      <c r="F485" s="3"/>
    </row>
    <row r="486" spans="2:6" ht="15">
      <c r="B486" s="3"/>
      <c r="C486" s="3"/>
      <c r="D486" s="3"/>
      <c r="E486" s="3"/>
      <c r="F486" s="3"/>
    </row>
    <row r="487" spans="2:6" ht="15">
      <c r="B487" s="3"/>
      <c r="C487" s="3"/>
      <c r="D487" s="3"/>
      <c r="E487" s="3"/>
      <c r="F487" s="3"/>
    </row>
    <row r="488" spans="2:6" ht="15">
      <c r="B488" s="3"/>
      <c r="C488" s="3"/>
      <c r="D488" s="3"/>
      <c r="E488" s="3"/>
      <c r="F488" s="3"/>
    </row>
    <row r="489" spans="2:6" ht="15">
      <c r="B489" s="3"/>
      <c r="C489" s="3"/>
      <c r="D489" s="3"/>
      <c r="E489" s="3"/>
      <c r="F489" s="3"/>
    </row>
    <row r="490" spans="2:6" ht="15">
      <c r="B490" s="3"/>
      <c r="C490" s="3"/>
      <c r="D490" s="3"/>
      <c r="E490" s="3"/>
      <c r="F490" s="3"/>
    </row>
    <row r="491" spans="2:6" ht="15">
      <c r="B491" s="3"/>
      <c r="C491" s="3"/>
      <c r="D491" s="3"/>
      <c r="E491" s="3"/>
      <c r="F491" s="3"/>
    </row>
    <row r="492" spans="2:6" ht="15">
      <c r="B492" s="3"/>
      <c r="C492" s="3"/>
      <c r="D492" s="3"/>
      <c r="E492" s="3"/>
      <c r="F492" s="3"/>
    </row>
    <row r="493" spans="2:6" ht="15">
      <c r="B493" s="3"/>
      <c r="C493" s="3"/>
      <c r="D493" s="3"/>
      <c r="E493" s="3"/>
      <c r="F493" s="3"/>
    </row>
    <row r="494" spans="2:6" ht="15">
      <c r="B494" s="3"/>
      <c r="C494" s="3"/>
      <c r="D494" s="3"/>
      <c r="E494" s="3"/>
      <c r="F494" s="3"/>
    </row>
    <row r="495" spans="2:6" ht="15">
      <c r="B495" s="3"/>
      <c r="C495" s="3"/>
      <c r="D495" s="3"/>
      <c r="E495" s="3"/>
      <c r="F495" s="3"/>
    </row>
    <row r="496" spans="2:6" ht="15">
      <c r="B496" s="3"/>
      <c r="C496" s="3"/>
      <c r="D496" s="3"/>
      <c r="E496" s="3"/>
      <c r="F496" s="3"/>
    </row>
    <row r="497" spans="2:6" ht="15">
      <c r="B497" s="3"/>
      <c r="C497" s="3"/>
      <c r="D497" s="3"/>
      <c r="E497" s="3"/>
      <c r="F497" s="3"/>
    </row>
    <row r="498" spans="2:6" ht="15">
      <c r="B498" s="3"/>
      <c r="C498" s="3"/>
      <c r="D498" s="3"/>
      <c r="E498" s="3"/>
      <c r="F498" s="3"/>
    </row>
    <row r="499" spans="2:6" ht="15">
      <c r="B499" s="3"/>
      <c r="C499" s="3"/>
      <c r="D499" s="3"/>
      <c r="E499" s="3"/>
      <c r="F499" s="3"/>
    </row>
    <row r="500" spans="2:6" ht="15">
      <c r="B500" s="3"/>
      <c r="C500" s="3"/>
      <c r="D500" s="3"/>
      <c r="E500" s="3"/>
      <c r="F500" s="3"/>
    </row>
    <row r="501" spans="2:6" ht="15">
      <c r="B501" s="3"/>
      <c r="C501" s="3"/>
      <c r="D501" s="3"/>
      <c r="E501" s="3"/>
      <c r="F501" s="3"/>
    </row>
    <row r="502" spans="2:6" ht="15">
      <c r="B502" s="3"/>
      <c r="C502" s="3"/>
      <c r="D502" s="3"/>
      <c r="E502" s="3"/>
      <c r="F502" s="3"/>
    </row>
    <row r="503" spans="2:6" ht="15">
      <c r="B503" s="3"/>
      <c r="C503" s="3"/>
      <c r="D503" s="3"/>
      <c r="E503" s="3"/>
      <c r="F503" s="3"/>
    </row>
    <row r="504" spans="2:6" ht="15">
      <c r="B504" s="3"/>
      <c r="C504" s="3"/>
      <c r="D504" s="3"/>
      <c r="E504" s="3"/>
      <c r="F504" s="3"/>
    </row>
    <row r="505" spans="2:6" ht="15">
      <c r="B505" s="3"/>
      <c r="C505" s="3"/>
      <c r="D505" s="3"/>
      <c r="E505" s="3"/>
      <c r="F505" s="3"/>
    </row>
    <row r="506" spans="2:6" ht="15">
      <c r="B506" s="3"/>
      <c r="C506" s="3"/>
      <c r="D506" s="3"/>
      <c r="E506" s="3"/>
      <c r="F506" s="3"/>
    </row>
    <row r="507" spans="2:6" ht="15">
      <c r="B507" s="3"/>
      <c r="C507" s="3"/>
      <c r="D507" s="3"/>
      <c r="E507" s="3"/>
      <c r="F507" s="3"/>
    </row>
    <row r="508" spans="2:6" ht="15">
      <c r="B508" s="3"/>
      <c r="C508" s="3"/>
      <c r="D508" s="3"/>
      <c r="E508" s="3"/>
      <c r="F508" s="3"/>
    </row>
    <row r="509" spans="2:6" ht="15">
      <c r="B509" s="3"/>
      <c r="C509" s="3"/>
      <c r="D509" s="3"/>
      <c r="E509" s="3"/>
      <c r="F509" s="3"/>
    </row>
    <row r="510" spans="2:6" ht="15">
      <c r="B510" s="3"/>
      <c r="C510" s="3"/>
      <c r="D510" s="3"/>
      <c r="E510" s="3"/>
      <c r="F510" s="3"/>
    </row>
    <row r="511" spans="2:6" ht="15">
      <c r="B511" s="3"/>
      <c r="C511" s="3"/>
      <c r="D511" s="3"/>
      <c r="E511" s="3"/>
      <c r="F511" s="3"/>
    </row>
    <row r="512" spans="2:6" ht="15">
      <c r="B512" s="3"/>
      <c r="C512" s="3"/>
      <c r="D512" s="3"/>
      <c r="E512" s="3"/>
      <c r="F512" s="3"/>
    </row>
    <row r="513" spans="2:6" ht="15">
      <c r="B513" s="3"/>
      <c r="C513" s="3"/>
      <c r="D513" s="3"/>
      <c r="E513" s="3"/>
      <c r="F513" s="3"/>
    </row>
    <row r="514" spans="2:6" ht="15">
      <c r="B514" s="3"/>
      <c r="C514" s="3"/>
      <c r="D514" s="3"/>
      <c r="E514" s="3"/>
      <c r="F514" s="3"/>
    </row>
    <row r="515" spans="2:6" ht="15">
      <c r="B515" s="3"/>
      <c r="C515" s="3"/>
      <c r="D515" s="3"/>
      <c r="E515" s="3"/>
      <c r="F515" s="3"/>
    </row>
    <row r="516" spans="2:6" ht="15">
      <c r="B516" s="3"/>
      <c r="C516" s="3"/>
      <c r="D516" s="3"/>
      <c r="E516" s="3"/>
      <c r="F516" s="3"/>
    </row>
    <row r="517" spans="2:6" ht="15">
      <c r="B517" s="3"/>
      <c r="C517" s="3"/>
      <c r="D517" s="3"/>
      <c r="E517" s="3"/>
      <c r="F517" s="3"/>
    </row>
    <row r="518" spans="2:6" ht="15">
      <c r="B518" s="3"/>
      <c r="C518" s="3"/>
      <c r="D518" s="3"/>
      <c r="E518" s="3"/>
      <c r="F518" s="3"/>
    </row>
    <row r="519" spans="2:6" ht="15">
      <c r="B519" s="3"/>
      <c r="C519" s="3"/>
      <c r="D519" s="3"/>
      <c r="E519" s="3"/>
      <c r="F519" s="3"/>
    </row>
    <row r="520" spans="2:6" ht="15">
      <c r="B520" s="3"/>
      <c r="C520" s="3"/>
      <c r="D520" s="3"/>
      <c r="E520" s="3"/>
      <c r="F520" s="3"/>
    </row>
    <row r="521" spans="2:6" ht="15">
      <c r="B521" s="3"/>
      <c r="C521" s="3"/>
      <c r="D521" s="3"/>
      <c r="E521" s="3"/>
      <c r="F521" s="3"/>
    </row>
    <row r="522" spans="2:6" ht="15">
      <c r="B522" s="3"/>
      <c r="C522" s="3"/>
      <c r="D522" s="3"/>
      <c r="E522" s="3"/>
      <c r="F522" s="3"/>
    </row>
    <row r="523" spans="2:6" ht="15">
      <c r="B523" s="3"/>
      <c r="C523" s="3"/>
      <c r="D523" s="3"/>
      <c r="E523" s="3"/>
      <c r="F523" s="3"/>
    </row>
    <row r="524" spans="2:6" ht="15">
      <c r="B524" s="3"/>
      <c r="C524" s="3"/>
      <c r="D524" s="3"/>
      <c r="E524" s="3"/>
      <c r="F524" s="3"/>
    </row>
    <row r="525" spans="2:6" ht="15">
      <c r="B525" s="3"/>
      <c r="C525" s="3"/>
      <c r="D525" s="3"/>
      <c r="E525" s="3"/>
      <c r="F525" s="3"/>
    </row>
    <row r="526" spans="2:6" ht="15">
      <c r="B526" s="3"/>
      <c r="C526" s="3"/>
      <c r="D526" s="3"/>
      <c r="E526" s="3"/>
      <c r="F526" s="3"/>
    </row>
    <row r="527" spans="2:6" ht="15">
      <c r="B527" s="3"/>
      <c r="C527" s="3"/>
      <c r="D527" s="3"/>
      <c r="E527" s="3"/>
      <c r="F527" s="3"/>
    </row>
    <row r="528" spans="2:6" ht="15">
      <c r="B528" s="3"/>
      <c r="C528" s="3"/>
      <c r="D528" s="3"/>
      <c r="E528" s="3"/>
      <c r="F528" s="3"/>
    </row>
    <row r="529" spans="2:6" ht="15">
      <c r="B529" s="3"/>
      <c r="C529" s="3"/>
      <c r="D529" s="3"/>
      <c r="E529" s="3"/>
      <c r="F529" s="3"/>
    </row>
    <row r="530" spans="2:6" ht="15">
      <c r="B530" s="3"/>
      <c r="C530" s="3"/>
      <c r="D530" s="3"/>
      <c r="E530" s="3"/>
      <c r="F530" s="3"/>
    </row>
    <row r="531" spans="2:6" ht="15">
      <c r="B531" s="3"/>
      <c r="C531" s="3"/>
      <c r="D531" s="3"/>
      <c r="E531" s="3"/>
      <c r="F531" s="3"/>
    </row>
    <row r="532" spans="2:6" ht="15">
      <c r="B532" s="3"/>
      <c r="C532" s="3"/>
      <c r="D532" s="3"/>
      <c r="E532" s="3"/>
      <c r="F532" s="3"/>
    </row>
    <row r="533" spans="2:6" ht="15">
      <c r="B533" s="3"/>
      <c r="C533" s="3"/>
      <c r="D533" s="3"/>
      <c r="E533" s="3"/>
      <c r="F533" s="3"/>
    </row>
    <row r="534" spans="2:6" ht="15">
      <c r="B534" s="3"/>
      <c r="C534" s="3"/>
      <c r="D534" s="3"/>
      <c r="E534" s="3"/>
      <c r="F534" s="3"/>
    </row>
    <row r="535" spans="2:6" ht="15">
      <c r="B535" s="3"/>
      <c r="C535" s="3"/>
      <c r="D535" s="3"/>
      <c r="E535" s="3"/>
      <c r="F535" s="3"/>
    </row>
    <row r="536" spans="2:6" ht="15">
      <c r="B536" s="3"/>
      <c r="C536" s="3"/>
      <c r="D536" s="3"/>
      <c r="E536" s="3"/>
      <c r="F536" s="3"/>
    </row>
    <row r="537" spans="2:6" ht="15">
      <c r="B537" s="3"/>
      <c r="C537" s="3"/>
      <c r="D537" s="3"/>
      <c r="E537" s="3"/>
      <c r="F537" s="3"/>
    </row>
    <row r="538" spans="2:6" ht="15">
      <c r="B538" s="3"/>
      <c r="C538" s="3"/>
      <c r="D538" s="3"/>
      <c r="E538" s="3"/>
      <c r="F538" s="3"/>
    </row>
    <row r="539" spans="2:6" ht="15">
      <c r="B539" s="3"/>
      <c r="C539" s="3"/>
      <c r="D539" s="3"/>
      <c r="E539" s="3"/>
      <c r="F539" s="3"/>
    </row>
    <row r="540" spans="2:6" ht="15">
      <c r="B540" s="3"/>
      <c r="C540" s="3"/>
      <c r="D540" s="3"/>
      <c r="E540" s="3"/>
      <c r="F540" s="3"/>
    </row>
    <row r="541" spans="2:6" ht="15">
      <c r="B541" s="3"/>
      <c r="C541" s="3"/>
      <c r="D541" s="3"/>
      <c r="E541" s="3"/>
      <c r="F541" s="3"/>
    </row>
    <row r="542" spans="2:6" ht="15">
      <c r="B542" s="3"/>
      <c r="C542" s="3"/>
      <c r="D542" s="3"/>
      <c r="E542" s="3"/>
      <c r="F542" s="3"/>
    </row>
    <row r="543" spans="2:6" ht="15">
      <c r="B543" s="3"/>
      <c r="C543" s="3"/>
      <c r="D543" s="3"/>
      <c r="E543" s="3"/>
      <c r="F543" s="3"/>
    </row>
    <row r="544" spans="2:6" ht="15">
      <c r="B544" s="3"/>
      <c r="C544" s="3"/>
      <c r="D544" s="3"/>
      <c r="E544" s="3"/>
      <c r="F544" s="3"/>
    </row>
    <row r="545" spans="2:6" ht="15">
      <c r="B545" s="3"/>
      <c r="C545" s="3"/>
      <c r="D545" s="3"/>
      <c r="E545" s="3"/>
      <c r="F545" s="3"/>
    </row>
    <row r="546" spans="2:6" ht="15">
      <c r="B546" s="3"/>
      <c r="C546" s="3"/>
      <c r="D546" s="3"/>
      <c r="E546" s="3"/>
      <c r="F546" s="3"/>
    </row>
    <row r="547" spans="2:6" ht="15">
      <c r="B547" s="3"/>
      <c r="C547" s="3"/>
      <c r="D547" s="3"/>
      <c r="E547" s="3"/>
      <c r="F547" s="3"/>
    </row>
    <row r="548" spans="2:6" ht="15">
      <c r="B548" s="3"/>
      <c r="C548" s="3"/>
      <c r="D548" s="3"/>
      <c r="E548" s="3"/>
      <c r="F548" s="3"/>
    </row>
    <row r="549" spans="2:6" ht="15">
      <c r="B549" s="3"/>
      <c r="C549" s="3"/>
      <c r="D549" s="3"/>
      <c r="E549" s="3"/>
      <c r="F549" s="3"/>
    </row>
    <row r="550" spans="2:6" ht="15">
      <c r="B550" s="3"/>
      <c r="C550" s="3"/>
      <c r="D550" s="3"/>
      <c r="E550" s="3"/>
      <c r="F550" s="3"/>
    </row>
    <row r="551" spans="2:6" ht="15">
      <c r="B551" s="3"/>
      <c r="C551" s="3"/>
      <c r="D551" s="3"/>
      <c r="E551" s="3"/>
      <c r="F551" s="3"/>
    </row>
    <row r="552" spans="2:6" ht="15">
      <c r="B552" s="3"/>
      <c r="C552" s="3"/>
      <c r="D552" s="3"/>
      <c r="E552" s="3"/>
      <c r="F552" s="3"/>
    </row>
    <row r="553" spans="2:6" ht="15">
      <c r="B553" s="3"/>
      <c r="C553" s="3"/>
      <c r="D553" s="3"/>
      <c r="E553" s="3"/>
      <c r="F553" s="3"/>
    </row>
    <row r="554" spans="2:6" ht="15">
      <c r="B554" s="3"/>
      <c r="C554" s="3"/>
      <c r="D554" s="3"/>
      <c r="E554" s="3"/>
      <c r="F554" s="3"/>
    </row>
    <row r="555" spans="2:6" ht="15">
      <c r="B555" s="3"/>
      <c r="C555" s="3"/>
      <c r="D555" s="3"/>
      <c r="E555" s="3"/>
      <c r="F555" s="3"/>
    </row>
    <row r="556" spans="2:6" ht="15">
      <c r="B556" s="3"/>
      <c r="C556" s="3"/>
      <c r="D556" s="3"/>
      <c r="E556" s="3"/>
      <c r="F556" s="3"/>
    </row>
    <row r="557" spans="2:6" ht="15">
      <c r="B557" s="3"/>
      <c r="C557" s="3"/>
      <c r="D557" s="3"/>
      <c r="E557" s="3"/>
      <c r="F557" s="3"/>
    </row>
    <row r="558" spans="2:6" ht="15">
      <c r="B558" s="3"/>
      <c r="C558" s="3"/>
      <c r="D558" s="3"/>
      <c r="E558" s="3"/>
      <c r="F558" s="3"/>
    </row>
    <row r="559" spans="2:6" ht="15">
      <c r="B559" s="3"/>
      <c r="C559" s="3"/>
      <c r="D559" s="3"/>
      <c r="E559" s="3"/>
      <c r="F559" s="3"/>
    </row>
    <row r="560" spans="2:6" ht="15">
      <c r="B560" s="3"/>
      <c r="C560" s="3"/>
      <c r="D560" s="3"/>
      <c r="E560" s="3"/>
      <c r="F560" s="3"/>
    </row>
    <row r="561" spans="2:6" ht="15">
      <c r="B561" s="3"/>
      <c r="C561" s="3"/>
      <c r="D561" s="3"/>
      <c r="E561" s="3"/>
      <c r="F561" s="3"/>
    </row>
    <row r="562" spans="2:6" ht="15">
      <c r="B562" s="3"/>
      <c r="C562" s="3"/>
      <c r="D562" s="3"/>
      <c r="E562" s="3"/>
      <c r="F562" s="3"/>
    </row>
    <row r="563" spans="2:6" ht="15">
      <c r="B563" s="3"/>
      <c r="C563" s="3"/>
      <c r="D563" s="3"/>
      <c r="E563" s="3"/>
      <c r="F563" s="3"/>
    </row>
    <row r="564" spans="2:6" ht="15">
      <c r="B564" s="3"/>
      <c r="C564" s="3"/>
      <c r="D564" s="3"/>
      <c r="E564" s="3"/>
      <c r="F564" s="3"/>
    </row>
    <row r="565" spans="2:6" ht="15">
      <c r="B565" s="3"/>
      <c r="C565" s="3"/>
      <c r="D565" s="3"/>
      <c r="E565" s="3"/>
      <c r="F565" s="3"/>
    </row>
    <row r="566" spans="2:6" ht="15">
      <c r="B566" s="3"/>
      <c r="C566" s="3"/>
      <c r="D566" s="3"/>
      <c r="E566" s="3"/>
      <c r="F566" s="3"/>
    </row>
    <row r="567" spans="2:6" ht="15">
      <c r="B567" s="3"/>
      <c r="C567" s="3"/>
      <c r="D567" s="3"/>
      <c r="E567" s="3"/>
      <c r="F567" s="3"/>
    </row>
    <row r="568" spans="2:6" ht="15">
      <c r="B568" s="3"/>
      <c r="C568" s="3"/>
      <c r="D568" s="3"/>
      <c r="E568" s="3"/>
      <c r="F568" s="3"/>
    </row>
    <row r="569" spans="2:6" ht="15">
      <c r="B569" s="3"/>
      <c r="C569" s="3"/>
      <c r="D569" s="3"/>
      <c r="E569" s="3"/>
      <c r="F569" s="3"/>
    </row>
    <row r="570" spans="2:6" ht="15">
      <c r="B570" s="3"/>
      <c r="C570" s="3"/>
      <c r="D570" s="3"/>
      <c r="E570" s="3"/>
      <c r="F570" s="3"/>
    </row>
    <row r="571" spans="2:6" ht="15">
      <c r="B571" s="3"/>
      <c r="C571" s="3"/>
      <c r="D571" s="3"/>
      <c r="E571" s="3"/>
      <c r="F571" s="3"/>
    </row>
    <row r="572" spans="2:6" ht="15">
      <c r="B572" s="3"/>
      <c r="C572" s="3"/>
      <c r="D572" s="3"/>
      <c r="E572" s="3"/>
      <c r="F572" s="3"/>
    </row>
    <row r="573" spans="2:6" ht="15">
      <c r="B573" s="3"/>
      <c r="C573" s="3"/>
      <c r="D573" s="3"/>
      <c r="E573" s="3"/>
      <c r="F573" s="3"/>
    </row>
    <row r="574" spans="2:6" ht="15">
      <c r="B574" s="3"/>
      <c r="C574" s="3"/>
      <c r="D574" s="3"/>
      <c r="E574" s="3"/>
      <c r="F574" s="3"/>
    </row>
    <row r="575" spans="2:6" ht="15">
      <c r="B575" s="3"/>
      <c r="C575" s="3"/>
      <c r="D575" s="3"/>
      <c r="E575" s="3"/>
      <c r="F575" s="3"/>
    </row>
    <row r="576" spans="2:6" ht="15">
      <c r="B576" s="3"/>
      <c r="C576" s="3"/>
      <c r="D576" s="3"/>
      <c r="E576" s="3"/>
      <c r="F576" s="3"/>
    </row>
    <row r="577" spans="2:6" ht="15">
      <c r="B577" s="3"/>
      <c r="C577" s="3"/>
      <c r="D577" s="3"/>
      <c r="E577" s="3"/>
      <c r="F577" s="3"/>
    </row>
    <row r="578" spans="2:6" ht="15">
      <c r="B578" s="3"/>
      <c r="C578" s="3"/>
      <c r="D578" s="3"/>
      <c r="E578" s="3"/>
      <c r="F578" s="3"/>
    </row>
    <row r="579" spans="2:6" ht="15">
      <c r="B579" s="3"/>
      <c r="C579" s="3"/>
      <c r="D579" s="3"/>
      <c r="E579" s="3"/>
      <c r="F579" s="3"/>
    </row>
    <row r="580" spans="2:6" ht="15">
      <c r="B580" s="3"/>
      <c r="C580" s="3"/>
      <c r="D580" s="3"/>
      <c r="E580" s="3"/>
      <c r="F580" s="3"/>
    </row>
    <row r="581" spans="2:6" ht="15">
      <c r="B581" s="3"/>
      <c r="C581" s="3"/>
      <c r="D581" s="3"/>
      <c r="E581" s="3"/>
      <c r="F581" s="3"/>
    </row>
    <row r="582" spans="2:6" ht="15">
      <c r="B582" s="3"/>
      <c r="C582" s="3"/>
      <c r="D582" s="3"/>
      <c r="E582" s="3"/>
      <c r="F582" s="3"/>
    </row>
    <row r="583" spans="2:6" ht="15">
      <c r="B583" s="3"/>
      <c r="C583" s="3"/>
      <c r="D583" s="3"/>
      <c r="E583" s="3"/>
      <c r="F583" s="3"/>
    </row>
    <row r="584" spans="2:6" ht="15">
      <c r="B584" s="3"/>
      <c r="C584" s="3"/>
      <c r="D584" s="3"/>
      <c r="E584" s="3"/>
      <c r="F584" s="3"/>
    </row>
    <row r="585" spans="2:6" ht="15">
      <c r="B585" s="3"/>
      <c r="C585" s="3"/>
      <c r="D585" s="3"/>
      <c r="E585" s="3"/>
      <c r="F585" s="3"/>
    </row>
    <row r="586" spans="2:6" ht="15">
      <c r="B586" s="3"/>
      <c r="C586" s="3"/>
      <c r="D586" s="3"/>
      <c r="E586" s="3"/>
      <c r="F586" s="3"/>
    </row>
    <row r="587" spans="2:6" ht="15">
      <c r="B587" s="3"/>
      <c r="C587" s="3"/>
      <c r="D587" s="3"/>
      <c r="E587" s="3"/>
      <c r="F587" s="3"/>
    </row>
    <row r="588" spans="2:6" ht="15">
      <c r="B588" s="3"/>
      <c r="C588" s="3"/>
      <c r="D588" s="3"/>
      <c r="E588" s="3"/>
      <c r="F588" s="3"/>
    </row>
    <row r="589" spans="2:6" ht="15">
      <c r="B589" s="3"/>
      <c r="C589" s="3"/>
      <c r="D589" s="3"/>
      <c r="E589" s="3"/>
      <c r="F589" s="3"/>
    </row>
    <row r="590" spans="2:6" ht="15">
      <c r="B590" s="3"/>
      <c r="C590" s="3"/>
      <c r="D590" s="3"/>
      <c r="E590" s="3"/>
      <c r="F590" s="3"/>
    </row>
    <row r="591" spans="2:6" ht="15">
      <c r="B591" s="3"/>
      <c r="C591" s="3"/>
      <c r="D591" s="3"/>
      <c r="E591" s="3"/>
      <c r="F591" s="3"/>
    </row>
    <row r="592" spans="2:6" ht="15">
      <c r="B592" s="3"/>
      <c r="C592" s="3"/>
      <c r="D592" s="3"/>
      <c r="E592" s="3"/>
      <c r="F592" s="3"/>
    </row>
    <row r="593" spans="2:6" ht="15">
      <c r="B593" s="3"/>
      <c r="C593" s="3"/>
      <c r="D593" s="3"/>
      <c r="E593" s="3"/>
      <c r="F593" s="3"/>
    </row>
    <row r="594" spans="2:6" ht="15">
      <c r="B594" s="3"/>
      <c r="C594" s="3"/>
      <c r="D594" s="3"/>
      <c r="E594" s="3"/>
      <c r="F594" s="3"/>
    </row>
    <row r="595" spans="2:6" ht="15">
      <c r="B595" s="3"/>
      <c r="C595" s="3"/>
      <c r="D595" s="3"/>
      <c r="E595" s="3"/>
      <c r="F595" s="3"/>
    </row>
    <row r="596" spans="2:6" ht="15">
      <c r="B596" s="3"/>
      <c r="C596" s="3"/>
      <c r="D596" s="3"/>
      <c r="E596" s="3"/>
      <c r="F596" s="3"/>
    </row>
    <row r="597" spans="2:6" ht="15">
      <c r="B597" s="3"/>
      <c r="C597" s="3"/>
      <c r="D597" s="3"/>
      <c r="E597" s="3"/>
      <c r="F597" s="3"/>
    </row>
    <row r="598" spans="2:6" ht="15">
      <c r="B598" s="3"/>
      <c r="C598" s="3"/>
      <c r="D598" s="3"/>
      <c r="E598" s="3"/>
      <c r="F598" s="3"/>
    </row>
    <row r="599" spans="2:6" ht="15">
      <c r="B599" s="3"/>
      <c r="C599" s="3"/>
      <c r="D599" s="3"/>
      <c r="E599" s="3"/>
      <c r="F599" s="3"/>
    </row>
    <row r="600" spans="2:6" ht="15">
      <c r="B600" s="3"/>
      <c r="C600" s="3"/>
      <c r="D600" s="3"/>
      <c r="E600" s="3"/>
      <c r="F600" s="3"/>
    </row>
    <row r="601" spans="2:6" ht="15">
      <c r="B601" s="3"/>
      <c r="C601" s="3"/>
      <c r="D601" s="3"/>
      <c r="E601" s="3"/>
      <c r="F601" s="3"/>
    </row>
    <row r="602" spans="2:6" ht="15">
      <c r="B602" s="3"/>
      <c r="C602" s="3"/>
      <c r="D602" s="3"/>
      <c r="E602" s="3"/>
      <c r="F602" s="3"/>
    </row>
    <row r="603" spans="2:6" ht="15">
      <c r="B603" s="3"/>
      <c r="C603" s="3"/>
      <c r="D603" s="3"/>
      <c r="E603" s="3"/>
      <c r="F603" s="3"/>
    </row>
    <row r="604" spans="2:6" ht="15">
      <c r="B604" s="3"/>
      <c r="C604" s="3"/>
      <c r="D604" s="3"/>
      <c r="E604" s="3"/>
      <c r="F604" s="3"/>
    </row>
    <row r="605" spans="2:6" ht="15">
      <c r="B605" s="3"/>
      <c r="C605" s="3"/>
      <c r="D605" s="3"/>
      <c r="E605" s="3"/>
      <c r="F605" s="3"/>
    </row>
    <row r="606" spans="2:6" ht="15">
      <c r="B606" s="3"/>
      <c r="C606" s="3"/>
      <c r="D606" s="3"/>
      <c r="E606" s="3"/>
      <c r="F606" s="3"/>
    </row>
    <row r="607" spans="2:6" ht="15">
      <c r="B607" s="3"/>
      <c r="C607" s="3"/>
      <c r="D607" s="3"/>
      <c r="E607" s="3"/>
      <c r="F607" s="3"/>
    </row>
    <row r="608" spans="2:6" ht="15">
      <c r="B608" s="3"/>
      <c r="C608" s="3"/>
      <c r="D608" s="3"/>
      <c r="E608" s="3"/>
      <c r="F608" s="3"/>
    </row>
    <row r="609" spans="2:6" ht="15">
      <c r="B609" s="3"/>
      <c r="C609" s="3"/>
      <c r="D609" s="3"/>
      <c r="E609" s="3"/>
      <c r="F609" s="3"/>
    </row>
    <row r="610" spans="2:6" ht="15">
      <c r="B610" s="3"/>
      <c r="C610" s="3"/>
      <c r="D610" s="3"/>
      <c r="E610" s="3"/>
      <c r="F610" s="3"/>
    </row>
    <row r="611" spans="2:6" ht="15">
      <c r="B611" s="3"/>
      <c r="C611" s="3"/>
      <c r="D611" s="3"/>
      <c r="E611" s="3"/>
      <c r="F611" s="3"/>
    </row>
    <row r="612" spans="2:6" ht="15">
      <c r="B612" s="3"/>
      <c r="C612" s="3"/>
      <c r="D612" s="3"/>
      <c r="E612" s="3"/>
      <c r="F612" s="3"/>
    </row>
    <row r="613" spans="2:6" ht="15">
      <c r="B613" s="3"/>
      <c r="C613" s="3"/>
      <c r="D613" s="3"/>
      <c r="E613" s="3"/>
      <c r="F613" s="3"/>
    </row>
    <row r="614" spans="2:6" ht="15">
      <c r="B614" s="3"/>
      <c r="C614" s="3"/>
      <c r="D614" s="3"/>
      <c r="E614" s="3"/>
      <c r="F614" s="3"/>
    </row>
    <row r="615" spans="2:6" ht="15">
      <c r="B615" s="3"/>
      <c r="C615" s="3"/>
      <c r="D615" s="3"/>
      <c r="E615" s="3"/>
      <c r="F615" s="3"/>
    </row>
    <row r="616" spans="2:6" ht="15">
      <c r="B616" s="3"/>
      <c r="C616" s="3"/>
      <c r="D616" s="3"/>
      <c r="E616" s="3"/>
      <c r="F616" s="3"/>
    </row>
    <row r="617" spans="2:6" ht="15">
      <c r="B617" s="3"/>
      <c r="C617" s="3"/>
      <c r="D617" s="3"/>
      <c r="E617" s="3"/>
      <c r="F617" s="3"/>
    </row>
    <row r="618" spans="2:6" ht="15">
      <c r="B618" s="3"/>
      <c r="C618" s="3"/>
      <c r="D618" s="3"/>
      <c r="E618" s="3"/>
      <c r="F618" s="3"/>
    </row>
    <row r="619" spans="2:6" ht="15">
      <c r="B619" s="3"/>
      <c r="C619" s="3"/>
      <c r="D619" s="3"/>
      <c r="E619" s="3"/>
      <c r="F619" s="3"/>
    </row>
    <row r="620" spans="2:6" ht="15">
      <c r="B620" s="3"/>
      <c r="C620" s="3"/>
      <c r="D620" s="3"/>
      <c r="E620" s="3"/>
      <c r="F620" s="3"/>
    </row>
    <row r="621" spans="2:6" ht="15">
      <c r="B621" s="3"/>
      <c r="C621" s="3"/>
      <c r="D621" s="3"/>
      <c r="E621" s="3"/>
      <c r="F621" s="3"/>
    </row>
    <row r="622" spans="2:6" ht="15">
      <c r="B622" s="3"/>
      <c r="C622" s="3"/>
      <c r="D622" s="3"/>
      <c r="E622" s="3"/>
      <c r="F622" s="3"/>
    </row>
    <row r="623" spans="2:6" ht="15">
      <c r="B623" s="3"/>
      <c r="C623" s="3"/>
      <c r="D623" s="3"/>
      <c r="E623" s="3"/>
      <c r="F623" s="3"/>
    </row>
    <row r="624" spans="2:6" ht="15">
      <c r="B624" s="3"/>
      <c r="C624" s="3"/>
      <c r="D624" s="3"/>
      <c r="E624" s="3"/>
      <c r="F624" s="3"/>
    </row>
    <row r="625" spans="2:6" ht="15">
      <c r="B625" s="3"/>
      <c r="C625" s="3"/>
      <c r="D625" s="3"/>
      <c r="E625" s="3"/>
      <c r="F625" s="3"/>
    </row>
    <row r="626" spans="2:6" ht="15">
      <c r="B626" s="3"/>
      <c r="C626" s="3"/>
      <c r="D626" s="3"/>
      <c r="E626" s="3"/>
      <c r="F626" s="3"/>
    </row>
    <row r="627" spans="2:6" ht="15">
      <c r="B627" s="3"/>
      <c r="C627" s="3"/>
      <c r="D627" s="3"/>
      <c r="E627" s="3"/>
      <c r="F627" s="3"/>
    </row>
    <row r="628" spans="2:6" ht="15">
      <c r="B628" s="3"/>
      <c r="C628" s="3"/>
      <c r="D628" s="3"/>
      <c r="E628" s="3"/>
      <c r="F628" s="3"/>
    </row>
    <row r="629" spans="2:6" ht="15">
      <c r="B629" s="3"/>
      <c r="C629" s="3"/>
      <c r="D629" s="3"/>
      <c r="E629" s="3"/>
      <c r="F629" s="3"/>
    </row>
    <row r="630" spans="2:6" ht="15">
      <c r="B630" s="3"/>
      <c r="C630" s="3"/>
      <c r="D630" s="3"/>
      <c r="E630" s="3"/>
      <c r="F630" s="3"/>
    </row>
    <row r="631" spans="2:6" ht="15">
      <c r="B631" s="3"/>
      <c r="C631" s="3"/>
      <c r="D631" s="3"/>
      <c r="E631" s="3"/>
      <c r="F631" s="3"/>
    </row>
    <row r="632" spans="2:6" ht="15">
      <c r="B632" s="3"/>
      <c r="C632" s="3"/>
      <c r="D632" s="3"/>
      <c r="E632" s="3"/>
      <c r="F632" s="3"/>
    </row>
    <row r="633" spans="2:6" ht="15">
      <c r="B633" s="3"/>
      <c r="C633" s="3"/>
      <c r="D633" s="3"/>
      <c r="E633" s="3"/>
      <c r="F633" s="3"/>
    </row>
    <row r="634" spans="2:6" ht="15">
      <c r="B634" s="3"/>
      <c r="C634" s="3"/>
      <c r="D634" s="3"/>
      <c r="E634" s="3"/>
      <c r="F634" s="3"/>
    </row>
    <row r="635" spans="2:6" ht="15">
      <c r="B635" s="3"/>
      <c r="C635" s="3"/>
      <c r="D635" s="3"/>
      <c r="E635" s="3"/>
      <c r="F635" s="3"/>
    </row>
    <row r="636" spans="2:6" ht="15">
      <c r="B636" s="3"/>
      <c r="C636" s="3"/>
      <c r="D636" s="3"/>
      <c r="E636" s="3"/>
      <c r="F636" s="3"/>
    </row>
    <row r="637" spans="2:6" ht="15">
      <c r="B637" s="3"/>
      <c r="C637" s="3"/>
      <c r="D637" s="3"/>
      <c r="E637" s="3"/>
      <c r="F637" s="3"/>
    </row>
    <row r="638" spans="2:6" ht="15">
      <c r="B638" s="3"/>
      <c r="C638" s="3"/>
      <c r="D638" s="3"/>
      <c r="E638" s="3"/>
      <c r="F638" s="3"/>
    </row>
    <row r="639" spans="2:6" ht="15">
      <c r="B639" s="3"/>
      <c r="C639" s="3"/>
      <c r="D639" s="3"/>
      <c r="E639" s="3"/>
      <c r="F639" s="3"/>
    </row>
    <row r="640" spans="2:6" ht="15">
      <c r="B640" s="3"/>
      <c r="C640" s="3"/>
      <c r="D640" s="3"/>
      <c r="E640" s="3"/>
      <c r="F640" s="3"/>
    </row>
    <row r="641" spans="2:6" ht="15">
      <c r="B641" s="3"/>
      <c r="C641" s="3"/>
      <c r="D641" s="3"/>
      <c r="E641" s="3"/>
      <c r="F641" s="3"/>
    </row>
    <row r="642" spans="2:6" ht="15">
      <c r="B642" s="3"/>
      <c r="C642" s="3"/>
      <c r="D642" s="3"/>
      <c r="E642" s="3"/>
      <c r="F642" s="3"/>
    </row>
    <row r="643" spans="2:6" ht="15">
      <c r="B643" s="3"/>
      <c r="C643" s="3"/>
      <c r="D643" s="3"/>
      <c r="E643" s="3"/>
      <c r="F643" s="3"/>
    </row>
    <row r="644" spans="2:6" ht="15">
      <c r="B644" s="3"/>
      <c r="C644" s="3"/>
      <c r="D644" s="3"/>
      <c r="E644" s="3"/>
      <c r="F644" s="3"/>
    </row>
    <row r="645" spans="2:6" ht="15">
      <c r="B645" s="3"/>
      <c r="C645" s="3"/>
      <c r="D645" s="3"/>
      <c r="E645" s="3"/>
      <c r="F645" s="3"/>
    </row>
    <row r="646" spans="2:6" ht="15">
      <c r="B646" s="3"/>
      <c r="C646" s="3"/>
      <c r="D646" s="3"/>
      <c r="E646" s="3"/>
      <c r="F646" s="3"/>
    </row>
    <row r="647" spans="2:6" ht="15">
      <c r="B647" s="3"/>
      <c r="C647" s="3"/>
      <c r="D647" s="3"/>
      <c r="E647" s="3"/>
      <c r="F647" s="3"/>
    </row>
    <row r="648" spans="2:6" ht="15">
      <c r="B648" s="3"/>
      <c r="C648" s="3"/>
      <c r="D648" s="3"/>
      <c r="E648" s="3"/>
      <c r="F648" s="3"/>
    </row>
    <row r="649" spans="2:6" ht="15">
      <c r="B649" s="3"/>
      <c r="C649" s="3"/>
      <c r="D649" s="3"/>
      <c r="E649" s="3"/>
      <c r="F649" s="3"/>
    </row>
    <row r="650" spans="2:6" ht="15">
      <c r="B650" s="3"/>
      <c r="C650" s="3"/>
      <c r="D650" s="3"/>
      <c r="E650" s="3"/>
      <c r="F650" s="3"/>
    </row>
    <row r="651" spans="2:6" ht="15">
      <c r="B651" s="3"/>
      <c r="C651" s="3"/>
      <c r="D651" s="3"/>
      <c r="E651" s="3"/>
      <c r="F651" s="3"/>
    </row>
    <row r="652" spans="2:6" ht="15">
      <c r="B652" s="3"/>
      <c r="C652" s="3"/>
      <c r="D652" s="3"/>
      <c r="E652" s="3"/>
      <c r="F652" s="3"/>
    </row>
    <row r="653" spans="2:6" ht="15">
      <c r="B653" s="3"/>
      <c r="C653" s="3"/>
      <c r="D653" s="3"/>
      <c r="E653" s="3"/>
      <c r="F653" s="3"/>
    </row>
    <row r="654" spans="2:6" ht="15">
      <c r="B654" s="3"/>
      <c r="C654" s="3"/>
      <c r="D654" s="3"/>
      <c r="E654" s="3"/>
      <c r="F654" s="3"/>
    </row>
    <row r="655" spans="2:6" ht="15">
      <c r="B655" s="3"/>
      <c r="C655" s="3"/>
      <c r="D655" s="3"/>
      <c r="E655" s="3"/>
      <c r="F655" s="3"/>
    </row>
    <row r="656" spans="2:6" ht="15">
      <c r="B656" s="3"/>
      <c r="C656" s="3"/>
      <c r="D656" s="3"/>
      <c r="E656" s="3"/>
      <c r="F656" s="3"/>
    </row>
    <row r="657" spans="2:6" ht="15">
      <c r="B657" s="3"/>
      <c r="C657" s="3"/>
      <c r="D657" s="3"/>
      <c r="E657" s="3"/>
      <c r="F657" s="3"/>
    </row>
    <row r="658" spans="2:6" ht="15">
      <c r="B658" s="3"/>
      <c r="C658" s="3"/>
      <c r="D658" s="3"/>
      <c r="E658" s="3"/>
      <c r="F658" s="3"/>
    </row>
    <row r="659" spans="2:6" ht="15">
      <c r="B659" s="3"/>
      <c r="C659" s="3"/>
      <c r="D659" s="3"/>
      <c r="E659" s="3"/>
      <c r="F659" s="3"/>
    </row>
    <row r="660" spans="2:6" ht="15">
      <c r="B660" s="3"/>
      <c r="C660" s="3"/>
      <c r="D660" s="3"/>
      <c r="E660" s="3"/>
      <c r="F660" s="3"/>
    </row>
    <row r="661" spans="2:6" ht="15">
      <c r="B661" s="3"/>
      <c r="C661" s="3"/>
      <c r="D661" s="3"/>
      <c r="E661" s="3"/>
      <c r="F661" s="3"/>
    </row>
    <row r="662" spans="2:6" ht="15">
      <c r="B662" s="3"/>
      <c r="C662" s="3"/>
      <c r="D662" s="3"/>
      <c r="E662" s="3"/>
      <c r="F662" s="3"/>
    </row>
    <row r="663" spans="2:6" ht="15">
      <c r="B663" s="3"/>
      <c r="C663" s="3"/>
      <c r="D663" s="3"/>
      <c r="E663" s="3"/>
      <c r="F663" s="3"/>
    </row>
    <row r="664" spans="2:6" ht="15">
      <c r="B664" s="3"/>
      <c r="C664" s="3"/>
      <c r="D664" s="3"/>
      <c r="E664" s="3"/>
      <c r="F664" s="3"/>
    </row>
    <row r="665" spans="2:6" ht="15">
      <c r="B665" s="3"/>
      <c r="C665" s="3"/>
      <c r="D665" s="3"/>
      <c r="E665" s="3"/>
      <c r="F665" s="3"/>
    </row>
    <row r="666" spans="2:6" ht="15">
      <c r="B666" s="3"/>
      <c r="C666" s="3"/>
      <c r="D666" s="3"/>
      <c r="E666" s="3"/>
      <c r="F666" s="3"/>
    </row>
    <row r="667" spans="2:6" ht="15">
      <c r="B667" s="3"/>
      <c r="C667" s="3"/>
      <c r="D667" s="3"/>
      <c r="E667" s="3"/>
      <c r="F667" s="3"/>
    </row>
    <row r="668" spans="2:6" ht="15">
      <c r="B668" s="3"/>
      <c r="C668" s="3"/>
      <c r="D668" s="3"/>
      <c r="E668" s="3"/>
      <c r="F668" s="3"/>
    </row>
    <row r="669" spans="2:6" ht="15">
      <c r="B669" s="3"/>
      <c r="C669" s="3"/>
      <c r="D669" s="3"/>
      <c r="E669" s="3"/>
      <c r="F669" s="3"/>
    </row>
    <row r="670" spans="2:6" ht="15">
      <c r="B670" s="3"/>
      <c r="C670" s="3"/>
      <c r="D670" s="3"/>
      <c r="E670" s="3"/>
      <c r="F670" s="3"/>
    </row>
    <row r="671" spans="2:6" ht="15">
      <c r="B671" s="3"/>
      <c r="C671" s="3"/>
      <c r="D671" s="3"/>
      <c r="E671" s="3"/>
      <c r="F671" s="3"/>
    </row>
    <row r="672" spans="2:6" ht="15">
      <c r="B672" s="3"/>
      <c r="C672" s="3"/>
      <c r="D672" s="3"/>
      <c r="E672" s="3"/>
      <c r="F672" s="3"/>
    </row>
    <row r="673" spans="2:6" ht="15">
      <c r="B673" s="3"/>
      <c r="C673" s="3"/>
      <c r="D673" s="3"/>
      <c r="E673" s="3"/>
      <c r="F673" s="3"/>
    </row>
    <row r="674" spans="2:6" ht="15">
      <c r="B674" s="3"/>
      <c r="C674" s="3"/>
      <c r="D674" s="3"/>
      <c r="E674" s="3"/>
      <c r="F674" s="3"/>
    </row>
    <row r="675" spans="2:6" ht="15">
      <c r="B675" s="3"/>
      <c r="C675" s="3"/>
      <c r="D675" s="3"/>
      <c r="E675" s="3"/>
      <c r="F675" s="3"/>
    </row>
    <row r="676" spans="2:6" ht="15">
      <c r="B676" s="3"/>
      <c r="C676" s="3"/>
      <c r="D676" s="3"/>
      <c r="E676" s="3"/>
      <c r="F676" s="3"/>
    </row>
    <row r="677" spans="2:6" ht="15">
      <c r="B677" s="3"/>
      <c r="C677" s="3"/>
      <c r="D677" s="3"/>
      <c r="E677" s="3"/>
      <c r="F677" s="3"/>
    </row>
    <row r="678" spans="2:6" ht="15">
      <c r="B678" s="3"/>
      <c r="C678" s="3"/>
      <c r="D678" s="3"/>
      <c r="E678" s="3"/>
      <c r="F678" s="3"/>
    </row>
    <row r="679" spans="2:6" ht="15">
      <c r="B679" s="3"/>
      <c r="C679" s="3"/>
      <c r="D679" s="3"/>
      <c r="E679" s="3"/>
      <c r="F679" s="3"/>
    </row>
    <row r="680" spans="2:6" ht="15">
      <c r="B680" s="3"/>
      <c r="C680" s="3"/>
      <c r="D680" s="3"/>
      <c r="E680" s="3"/>
      <c r="F680" s="3"/>
    </row>
    <row r="681" spans="2:6" ht="15">
      <c r="B681" s="3"/>
      <c r="C681" s="3"/>
      <c r="D681" s="3"/>
      <c r="E681" s="3"/>
      <c r="F681" s="3"/>
    </row>
    <row r="682" spans="2:6" ht="15">
      <c r="B682" s="3"/>
      <c r="C682" s="3"/>
      <c r="D682" s="3"/>
      <c r="E682" s="3"/>
      <c r="F682" s="3"/>
    </row>
    <row r="683" spans="2:6" ht="15">
      <c r="B683" s="3"/>
      <c r="C683" s="3"/>
      <c r="D683" s="3"/>
      <c r="E683" s="3"/>
      <c r="F683" s="3"/>
    </row>
    <row r="684" spans="2:6" ht="15">
      <c r="B684" s="3"/>
      <c r="C684" s="3"/>
      <c r="D684" s="3"/>
      <c r="E684" s="3"/>
      <c r="F684" s="3"/>
    </row>
    <row r="685" spans="2:6" ht="15">
      <c r="B685" s="3"/>
      <c r="C685" s="3"/>
      <c r="D685" s="3"/>
      <c r="E685" s="3"/>
      <c r="F685" s="3"/>
    </row>
    <row r="686" spans="2:6" ht="15">
      <c r="B686" s="3"/>
      <c r="C686" s="3"/>
      <c r="D686" s="3"/>
      <c r="E686" s="3"/>
      <c r="F686" s="3"/>
    </row>
    <row r="687" spans="2:6" ht="15">
      <c r="B687" s="3"/>
      <c r="C687" s="3"/>
      <c r="D687" s="3"/>
      <c r="E687" s="3"/>
      <c r="F687" s="3"/>
    </row>
    <row r="688" spans="2:6" ht="15">
      <c r="B688" s="3"/>
      <c r="C688" s="3"/>
      <c r="D688" s="3"/>
      <c r="E688" s="3"/>
      <c r="F688" s="3"/>
    </row>
    <row r="689" spans="2:6" ht="15">
      <c r="B689" s="3"/>
      <c r="C689" s="3"/>
      <c r="D689" s="3"/>
      <c r="E689" s="3"/>
      <c r="F689" s="3"/>
    </row>
    <row r="690" spans="2:6" ht="15">
      <c r="B690" s="3"/>
      <c r="C690" s="3"/>
      <c r="D690" s="3"/>
      <c r="E690" s="3"/>
      <c r="F690" s="3"/>
    </row>
    <row r="691" spans="2:6" ht="15">
      <c r="B691" s="3"/>
      <c r="C691" s="3"/>
      <c r="D691" s="3"/>
      <c r="E691" s="3"/>
      <c r="F691" s="3"/>
    </row>
    <row r="692" spans="2:6" ht="15">
      <c r="B692" s="3"/>
      <c r="C692" s="3"/>
      <c r="D692" s="3"/>
      <c r="E692" s="3"/>
      <c r="F692" s="3"/>
    </row>
    <row r="693" spans="2:6" ht="15">
      <c r="B693" s="3"/>
      <c r="C693" s="3"/>
      <c r="D693" s="3"/>
      <c r="E693" s="3"/>
      <c r="F693" s="3"/>
    </row>
    <row r="694" spans="2:6" ht="15">
      <c r="B694" s="3"/>
      <c r="C694" s="3"/>
      <c r="D694" s="3"/>
      <c r="E694" s="3"/>
      <c r="F694" s="3"/>
    </row>
    <row r="695" spans="2:6" ht="15">
      <c r="B695" s="3"/>
      <c r="C695" s="3"/>
      <c r="D695" s="3"/>
      <c r="E695" s="3"/>
      <c r="F695" s="3"/>
    </row>
    <row r="696" spans="2:6" ht="15">
      <c r="B696" s="3"/>
      <c r="C696" s="3"/>
      <c r="D696" s="3"/>
      <c r="E696" s="3"/>
      <c r="F696" s="3"/>
    </row>
    <row r="697" spans="2:6" ht="15">
      <c r="B697" s="3"/>
      <c r="C697" s="3"/>
      <c r="D697" s="3"/>
      <c r="E697" s="3"/>
      <c r="F697" s="3"/>
    </row>
    <row r="698" spans="2:6" ht="15">
      <c r="B698" s="3"/>
      <c r="C698" s="3"/>
      <c r="D698" s="3"/>
      <c r="E698" s="3"/>
      <c r="F698" s="3"/>
    </row>
    <row r="699" spans="2:6" ht="15">
      <c r="B699" s="3"/>
      <c r="C699" s="3"/>
      <c r="D699" s="3"/>
      <c r="E699" s="3"/>
      <c r="F699" s="3"/>
    </row>
    <row r="700" spans="2:6" ht="15">
      <c r="B700" s="3"/>
      <c r="C700" s="3"/>
      <c r="D700" s="3"/>
      <c r="E700" s="3"/>
      <c r="F700" s="3"/>
    </row>
    <row r="701" spans="2:6" ht="15">
      <c r="B701" s="3"/>
      <c r="C701" s="3"/>
      <c r="D701" s="3"/>
      <c r="E701" s="3"/>
      <c r="F701" s="3"/>
    </row>
    <row r="702" spans="2:6" ht="15">
      <c r="B702" s="3"/>
      <c r="C702" s="3"/>
      <c r="D702" s="3"/>
      <c r="E702" s="3"/>
      <c r="F702" s="3"/>
    </row>
    <row r="703" spans="2:6" ht="15">
      <c r="B703" s="3"/>
      <c r="C703" s="3"/>
      <c r="D703" s="3"/>
      <c r="E703" s="3"/>
      <c r="F703" s="3"/>
    </row>
    <row r="704" spans="2:6" ht="15">
      <c r="B704" s="3"/>
      <c r="C704" s="3"/>
      <c r="D704" s="3"/>
      <c r="E704" s="3"/>
      <c r="F704" s="3"/>
    </row>
    <row r="705" spans="2:6" ht="15">
      <c r="B705" s="3"/>
      <c r="C705" s="3"/>
      <c r="D705" s="3"/>
      <c r="E705" s="3"/>
      <c r="F705" s="3"/>
    </row>
    <row r="706" spans="2:6" ht="15">
      <c r="B706" s="3"/>
      <c r="C706" s="3"/>
      <c r="D706" s="3"/>
      <c r="E706" s="3"/>
      <c r="F706" s="3"/>
    </row>
    <row r="707" spans="2:6" ht="15">
      <c r="B707" s="3"/>
      <c r="C707" s="3"/>
      <c r="D707" s="3"/>
      <c r="E707" s="3"/>
      <c r="F707" s="3"/>
    </row>
    <row r="708" spans="2:6" ht="15">
      <c r="B708" s="3"/>
      <c r="C708" s="3"/>
      <c r="D708" s="3"/>
      <c r="E708" s="3"/>
      <c r="F708" s="3"/>
    </row>
    <row r="709" spans="2:6" ht="15">
      <c r="B709" s="3"/>
      <c r="C709" s="3"/>
      <c r="D709" s="3"/>
      <c r="E709" s="3"/>
      <c r="F709" s="3"/>
    </row>
    <row r="710" spans="2:6" ht="15">
      <c r="B710" s="3"/>
      <c r="C710" s="3"/>
      <c r="D710" s="3"/>
      <c r="E710" s="3"/>
      <c r="F710" s="3"/>
    </row>
    <row r="711" spans="2:6" ht="15">
      <c r="B711" s="3"/>
      <c r="C711" s="3"/>
      <c r="D711" s="3"/>
      <c r="E711" s="3"/>
      <c r="F711" s="3"/>
    </row>
    <row r="712" spans="2:6" ht="15">
      <c r="B712" s="3"/>
      <c r="C712" s="3"/>
      <c r="D712" s="3"/>
      <c r="E712" s="3"/>
      <c r="F712" s="3"/>
    </row>
    <row r="713" spans="2:6" ht="15">
      <c r="B713" s="3"/>
      <c r="C713" s="3"/>
      <c r="D713" s="3"/>
      <c r="E713" s="3"/>
      <c r="F713" s="3"/>
    </row>
    <row r="714" spans="2:6" ht="15">
      <c r="B714" s="3"/>
      <c r="C714" s="3"/>
      <c r="D714" s="3"/>
      <c r="E714" s="3"/>
      <c r="F714" s="3"/>
    </row>
    <row r="715" spans="2:6" ht="15">
      <c r="B715" s="3"/>
      <c r="C715" s="3"/>
      <c r="D715" s="3"/>
      <c r="E715" s="3"/>
      <c r="F715" s="3"/>
    </row>
    <row r="716" spans="2:6" ht="15">
      <c r="B716" s="3"/>
      <c r="C716" s="3"/>
      <c r="D716" s="3"/>
      <c r="E716" s="3"/>
      <c r="F716" s="3"/>
    </row>
    <row r="717" spans="2:6" ht="15">
      <c r="B717" s="3"/>
      <c r="C717" s="3"/>
      <c r="D717" s="3"/>
      <c r="E717" s="3"/>
      <c r="F717" s="3"/>
    </row>
    <row r="718" spans="2:6" ht="15">
      <c r="B718" s="3"/>
      <c r="C718" s="3"/>
      <c r="D718" s="3"/>
      <c r="E718" s="3"/>
      <c r="F718" s="3"/>
    </row>
    <row r="719" spans="2:6" ht="15">
      <c r="B719" s="3"/>
      <c r="C719" s="3"/>
      <c r="D719" s="3"/>
      <c r="E719" s="3"/>
      <c r="F719" s="3"/>
    </row>
    <row r="720" spans="2:6" ht="15">
      <c r="B720" s="3"/>
      <c r="C720" s="3"/>
      <c r="D720" s="3"/>
      <c r="E720" s="3"/>
      <c r="F720" s="3"/>
    </row>
    <row r="721" spans="2:6" ht="15">
      <c r="B721" s="3"/>
      <c r="C721" s="3"/>
      <c r="D721" s="3"/>
      <c r="E721" s="3"/>
      <c r="F721" s="3"/>
    </row>
    <row r="722" spans="2:6" ht="15">
      <c r="B722" s="3"/>
      <c r="C722" s="3"/>
      <c r="D722" s="3"/>
      <c r="E722" s="3"/>
      <c r="F722" s="3"/>
    </row>
    <row r="723" spans="2:6" ht="15">
      <c r="B723" s="3"/>
      <c r="C723" s="3"/>
      <c r="D723" s="3"/>
      <c r="E723" s="3"/>
      <c r="F723" s="3"/>
    </row>
    <row r="724" spans="2:6" ht="15">
      <c r="B724" s="3"/>
      <c r="C724" s="3"/>
      <c r="D724" s="3"/>
      <c r="E724" s="3"/>
      <c r="F724" s="3"/>
    </row>
    <row r="725" spans="2:6" ht="15">
      <c r="B725" s="3"/>
      <c r="C725" s="3"/>
      <c r="D725" s="3"/>
      <c r="E725" s="3"/>
      <c r="F725" s="3"/>
    </row>
    <row r="726" spans="2:6" ht="15">
      <c r="B726" s="3"/>
      <c r="C726" s="3"/>
      <c r="D726" s="3"/>
      <c r="E726" s="3"/>
      <c r="F726" s="3"/>
    </row>
    <row r="727" spans="2:6" ht="15">
      <c r="B727" s="3"/>
      <c r="C727" s="3"/>
      <c r="D727" s="3"/>
      <c r="E727" s="3"/>
      <c r="F727" s="3"/>
    </row>
    <row r="728" spans="2:6" ht="15">
      <c r="B728" s="3"/>
      <c r="C728" s="3"/>
      <c r="D728" s="3"/>
      <c r="E728" s="3"/>
      <c r="F728" s="3"/>
    </row>
    <row r="729" spans="2:6" ht="15">
      <c r="B729" s="3"/>
      <c r="C729" s="3"/>
      <c r="D729" s="3"/>
      <c r="E729" s="3"/>
      <c r="F729" s="3"/>
    </row>
    <row r="730" spans="2:6" ht="15">
      <c r="B730" s="3"/>
      <c r="C730" s="3"/>
      <c r="D730" s="3"/>
      <c r="E730" s="3"/>
      <c r="F730" s="3"/>
    </row>
    <row r="731" spans="2:6" ht="15">
      <c r="B731" s="3"/>
      <c r="C731" s="3"/>
      <c r="D731" s="3"/>
      <c r="E731" s="3"/>
      <c r="F731" s="3"/>
    </row>
    <row r="732" spans="2:6" ht="15">
      <c r="B732" s="3"/>
      <c r="C732" s="3"/>
      <c r="D732" s="3"/>
      <c r="E732" s="3"/>
      <c r="F732" s="3"/>
    </row>
    <row r="733" spans="2:6" ht="15">
      <c r="B733" s="3"/>
      <c r="C733" s="3"/>
      <c r="D733" s="3"/>
      <c r="E733" s="3"/>
      <c r="F733" s="3"/>
    </row>
    <row r="734" spans="2:6" ht="15">
      <c r="B734" s="3"/>
      <c r="C734" s="3"/>
      <c r="D734" s="3"/>
      <c r="E734" s="3"/>
      <c r="F734" s="3"/>
    </row>
    <row r="735" spans="2:6" ht="15">
      <c r="B735" s="3"/>
      <c r="C735" s="3"/>
      <c r="D735" s="3"/>
      <c r="E735" s="3"/>
      <c r="F735" s="3"/>
    </row>
    <row r="736" spans="2:6" ht="15">
      <c r="B736" s="3"/>
      <c r="C736" s="3"/>
      <c r="D736" s="3"/>
      <c r="E736" s="3"/>
      <c r="F736" s="3"/>
    </row>
    <row r="737" spans="2:6" ht="15">
      <c r="B737" s="3"/>
      <c r="C737" s="3"/>
      <c r="D737" s="3"/>
      <c r="E737" s="3"/>
      <c r="F737" s="3"/>
    </row>
    <row r="738" spans="2:6" ht="15">
      <c r="B738" s="3"/>
      <c r="C738" s="3"/>
      <c r="D738" s="3"/>
      <c r="E738" s="3"/>
      <c r="F738" s="3"/>
    </row>
    <row r="739" spans="2:6" ht="15">
      <c r="B739" s="3"/>
      <c r="C739" s="3"/>
      <c r="D739" s="3"/>
      <c r="E739" s="3"/>
      <c r="F739" s="3"/>
    </row>
    <row r="740" spans="2:6" ht="15">
      <c r="B740" s="3"/>
      <c r="C740" s="3"/>
      <c r="D740" s="3"/>
      <c r="E740" s="3"/>
      <c r="F740" s="3"/>
    </row>
    <row r="741" spans="2:6" ht="15">
      <c r="B741" s="3"/>
      <c r="C741" s="3"/>
      <c r="D741" s="3"/>
      <c r="E741" s="3"/>
      <c r="F741" s="3"/>
    </row>
    <row r="742" spans="2:6" ht="15">
      <c r="B742" s="3"/>
      <c r="C742" s="3"/>
      <c r="D742" s="3"/>
      <c r="E742" s="3"/>
      <c r="F742" s="3"/>
    </row>
    <row r="743" spans="2:6" ht="15">
      <c r="B743" s="3"/>
      <c r="C743" s="3"/>
      <c r="D743" s="3"/>
      <c r="E743" s="3"/>
      <c r="F743" s="3"/>
    </row>
    <row r="744" spans="2:6" ht="15">
      <c r="B744" s="3"/>
      <c r="C744" s="3"/>
      <c r="D744" s="3"/>
      <c r="E744" s="3"/>
      <c r="F744" s="3"/>
    </row>
    <row r="745" spans="2:6" ht="15">
      <c r="B745" s="3"/>
      <c r="C745" s="3"/>
      <c r="D745" s="3"/>
      <c r="E745" s="3"/>
      <c r="F745" s="3"/>
    </row>
    <row r="746" spans="2:6" ht="15">
      <c r="B746" s="3"/>
      <c r="C746" s="3"/>
      <c r="D746" s="3"/>
      <c r="E746" s="3"/>
      <c r="F746" s="3"/>
    </row>
    <row r="747" spans="2:6" ht="15">
      <c r="B747" s="3"/>
      <c r="C747" s="3"/>
      <c r="D747" s="3"/>
      <c r="E747" s="3"/>
      <c r="F747" s="3"/>
    </row>
    <row r="748" spans="2:6" ht="15">
      <c r="B748" s="3"/>
      <c r="C748" s="3"/>
      <c r="D748" s="3"/>
      <c r="E748" s="3"/>
      <c r="F748" s="3"/>
    </row>
    <row r="749" spans="2:6" ht="15">
      <c r="B749" s="3"/>
      <c r="C749" s="3"/>
      <c r="D749" s="3"/>
      <c r="E749" s="3"/>
      <c r="F749" s="3"/>
    </row>
    <row r="750" spans="2:6" ht="15">
      <c r="B750" s="3"/>
      <c r="C750" s="3"/>
      <c r="D750" s="3"/>
      <c r="E750" s="3"/>
      <c r="F750" s="3"/>
    </row>
    <row r="751" spans="2:6" ht="15">
      <c r="B751" s="3"/>
      <c r="C751" s="3"/>
      <c r="D751" s="3"/>
      <c r="E751" s="3"/>
      <c r="F751" s="3"/>
    </row>
    <row r="752" spans="2:6" ht="15">
      <c r="B752" s="3"/>
      <c r="C752" s="3"/>
      <c r="D752" s="3"/>
      <c r="E752" s="3"/>
      <c r="F752" s="3"/>
    </row>
    <row r="753" spans="2:6" ht="15">
      <c r="B753" s="3"/>
      <c r="C753" s="3"/>
      <c r="D753" s="3"/>
      <c r="E753" s="3"/>
      <c r="F753" s="3"/>
    </row>
    <row r="754" spans="2:6" ht="15">
      <c r="B754" s="3"/>
      <c r="C754" s="3"/>
      <c r="D754" s="3"/>
      <c r="E754" s="3"/>
      <c r="F754" s="3"/>
    </row>
    <row r="755" spans="2:6" ht="15">
      <c r="B755" s="3"/>
      <c r="C755" s="3"/>
      <c r="D755" s="3"/>
      <c r="E755" s="3"/>
      <c r="F755" s="3"/>
    </row>
    <row r="756" spans="2:6" ht="15">
      <c r="B756" s="3"/>
      <c r="C756" s="3"/>
      <c r="D756" s="3"/>
      <c r="E756" s="3"/>
      <c r="F756" s="3"/>
    </row>
    <row r="757" spans="2:6" ht="15">
      <c r="B757" s="3"/>
      <c r="C757" s="3"/>
      <c r="D757" s="3"/>
      <c r="E757" s="3"/>
      <c r="F757" s="3"/>
    </row>
    <row r="758" spans="2:6" ht="15">
      <c r="B758" s="3"/>
      <c r="C758" s="3"/>
      <c r="D758" s="3"/>
      <c r="E758" s="3"/>
      <c r="F758" s="3"/>
    </row>
    <row r="759" spans="2:6" ht="15">
      <c r="B759" s="3"/>
      <c r="C759" s="3"/>
      <c r="D759" s="3"/>
      <c r="E759" s="3"/>
      <c r="F759" s="3"/>
    </row>
    <row r="760" spans="2:6" ht="15">
      <c r="B760" s="3"/>
      <c r="C760" s="3"/>
      <c r="D760" s="3"/>
      <c r="E760" s="3"/>
      <c r="F760" s="3"/>
    </row>
    <row r="761" spans="2:6" ht="15">
      <c r="B761" s="3"/>
      <c r="C761" s="3"/>
      <c r="D761" s="3"/>
      <c r="E761" s="3"/>
      <c r="F761" s="3"/>
    </row>
    <row r="762" spans="2:6" ht="15">
      <c r="B762" s="3"/>
      <c r="C762" s="3"/>
      <c r="D762" s="3"/>
      <c r="E762" s="3"/>
      <c r="F762" s="3"/>
    </row>
    <row r="763" spans="2:6" ht="15">
      <c r="B763" s="3"/>
      <c r="C763" s="3"/>
      <c r="D763" s="3"/>
      <c r="E763" s="3"/>
      <c r="F763" s="3"/>
    </row>
    <row r="764" spans="2:6" ht="15">
      <c r="B764" s="3"/>
      <c r="C764" s="3"/>
      <c r="D764" s="3"/>
      <c r="E764" s="3"/>
      <c r="F764" s="3"/>
    </row>
    <row r="765" spans="2:6" ht="15">
      <c r="B765" s="3"/>
      <c r="C765" s="3"/>
      <c r="D765" s="3"/>
      <c r="E765" s="3"/>
      <c r="F765" s="3"/>
    </row>
    <row r="766" spans="2:6" ht="15">
      <c r="B766" s="3"/>
      <c r="C766" s="3"/>
      <c r="D766" s="3"/>
      <c r="E766" s="3"/>
      <c r="F766" s="3"/>
    </row>
    <row r="767" spans="2:6" ht="15">
      <c r="B767" s="3"/>
      <c r="C767" s="3"/>
      <c r="D767" s="3"/>
      <c r="E767" s="3"/>
      <c r="F767" s="3"/>
    </row>
    <row r="768" spans="2:6" ht="15">
      <c r="B768" s="3"/>
      <c r="C768" s="3"/>
      <c r="D768" s="3"/>
      <c r="E768" s="3"/>
      <c r="F768" s="3"/>
    </row>
    <row r="769" spans="2:6" ht="15">
      <c r="B769" s="3"/>
      <c r="C769" s="3"/>
      <c r="D769" s="3"/>
      <c r="E769" s="3"/>
      <c r="F769" s="3"/>
    </row>
    <row r="770" spans="2:6" ht="15">
      <c r="B770" s="3"/>
      <c r="C770" s="3"/>
      <c r="D770" s="3"/>
      <c r="E770" s="3"/>
      <c r="F770" s="3"/>
    </row>
    <row r="771" spans="2:6" ht="15">
      <c r="B771" s="3"/>
      <c r="C771" s="3"/>
      <c r="D771" s="3"/>
      <c r="E771" s="3"/>
      <c r="F771" s="3"/>
    </row>
    <row r="772" spans="2:6" ht="15">
      <c r="B772" s="3"/>
      <c r="C772" s="3"/>
      <c r="D772" s="3"/>
      <c r="E772" s="3"/>
      <c r="F772" s="3"/>
    </row>
    <row r="773" spans="2:6" ht="15">
      <c r="B773" s="3"/>
      <c r="C773" s="3"/>
      <c r="D773" s="3"/>
      <c r="E773" s="3"/>
      <c r="F773" s="3"/>
    </row>
    <row r="774" spans="2:6" ht="15">
      <c r="B774" s="3"/>
      <c r="C774" s="3"/>
      <c r="D774" s="3"/>
      <c r="E774" s="3"/>
      <c r="F774" s="3"/>
    </row>
    <row r="775" spans="2:6" ht="15">
      <c r="B775" s="3"/>
      <c r="C775" s="3"/>
      <c r="D775" s="3"/>
      <c r="E775" s="3"/>
      <c r="F775" s="3"/>
    </row>
    <row r="776" spans="2:6" ht="15">
      <c r="B776" s="3"/>
      <c r="C776" s="3"/>
      <c r="D776" s="3"/>
      <c r="E776" s="3"/>
      <c r="F776" s="3"/>
    </row>
    <row r="777" spans="2:6" ht="15">
      <c r="B777" s="3"/>
      <c r="C777" s="3"/>
      <c r="D777" s="3"/>
      <c r="E777" s="3"/>
      <c r="F777" s="3"/>
    </row>
    <row r="778" spans="2:6" ht="15">
      <c r="B778" s="3"/>
      <c r="C778" s="3"/>
      <c r="D778" s="3"/>
      <c r="E778" s="3"/>
      <c r="F778" s="3"/>
    </row>
    <row r="779" spans="2:6" ht="15">
      <c r="B779" s="3"/>
      <c r="C779" s="3"/>
      <c r="D779" s="3"/>
      <c r="E779" s="3"/>
      <c r="F779" s="3"/>
    </row>
    <row r="780" spans="2:6" ht="15">
      <c r="B780" s="3"/>
      <c r="C780" s="3"/>
      <c r="D780" s="3"/>
      <c r="E780" s="3"/>
      <c r="F780" s="3"/>
    </row>
    <row r="781" spans="2:6" ht="15">
      <c r="B781" s="3"/>
      <c r="C781" s="3"/>
      <c r="D781" s="3"/>
      <c r="E781" s="3"/>
      <c r="F781" s="3"/>
    </row>
    <row r="782" spans="2:6" ht="15">
      <c r="B782" s="3"/>
      <c r="C782" s="3"/>
      <c r="D782" s="3"/>
      <c r="E782" s="3"/>
      <c r="F782" s="3"/>
    </row>
    <row r="783" spans="2:6" ht="15">
      <c r="B783" s="3"/>
      <c r="C783" s="3"/>
      <c r="D783" s="3"/>
      <c r="E783" s="3"/>
      <c r="F783" s="3"/>
    </row>
    <row r="784" spans="2:6" ht="15">
      <c r="B784" s="3"/>
      <c r="C784" s="3"/>
      <c r="D784" s="3"/>
      <c r="E784" s="3"/>
      <c r="F784" s="3"/>
    </row>
    <row r="785" spans="2:6" ht="15">
      <c r="B785" s="3"/>
      <c r="C785" s="3"/>
      <c r="D785" s="3"/>
      <c r="E785" s="3"/>
      <c r="F785" s="3"/>
    </row>
    <row r="786" spans="2:6" ht="15">
      <c r="B786" s="3"/>
      <c r="C786" s="3"/>
      <c r="D786" s="3"/>
      <c r="E786" s="3"/>
      <c r="F786" s="3"/>
    </row>
    <row r="787" spans="2:6" ht="15">
      <c r="B787" s="3"/>
      <c r="C787" s="3"/>
      <c r="D787" s="3"/>
      <c r="E787" s="3"/>
      <c r="F787" s="3"/>
    </row>
    <row r="788" spans="2:6" ht="15">
      <c r="B788" s="3"/>
      <c r="C788" s="3"/>
      <c r="D788" s="3"/>
      <c r="E788" s="3"/>
      <c r="F788" s="3"/>
    </row>
    <row r="789" spans="2:6" ht="15">
      <c r="B789" s="3"/>
      <c r="C789" s="3"/>
      <c r="D789" s="3"/>
      <c r="E789" s="3"/>
      <c r="F789" s="3"/>
    </row>
    <row r="790" spans="2:6" ht="15">
      <c r="B790" s="3"/>
      <c r="C790" s="3"/>
      <c r="D790" s="3"/>
      <c r="E790" s="3"/>
      <c r="F790" s="3"/>
    </row>
    <row r="791" spans="2:6" ht="15">
      <c r="B791" s="3"/>
      <c r="C791" s="3"/>
      <c r="D791" s="3"/>
      <c r="E791" s="3"/>
      <c r="F791" s="3"/>
    </row>
    <row r="792" spans="2:6" ht="15">
      <c r="B792" s="3"/>
      <c r="C792" s="3"/>
      <c r="D792" s="3"/>
      <c r="E792" s="3"/>
      <c r="F792" s="3"/>
    </row>
    <row r="793" spans="2:6" ht="15">
      <c r="B793" s="3"/>
      <c r="C793" s="3"/>
      <c r="D793" s="3"/>
      <c r="E793" s="3"/>
      <c r="F793" s="3"/>
    </row>
    <row r="794" spans="2:6" ht="15">
      <c r="B794" s="3"/>
      <c r="C794" s="3"/>
      <c r="D794" s="3"/>
      <c r="E794" s="3"/>
      <c r="F794" s="3"/>
    </row>
    <row r="795" spans="2:6" ht="15">
      <c r="B795" s="3"/>
      <c r="C795" s="3"/>
      <c r="D795" s="3"/>
      <c r="E795" s="3"/>
      <c r="F795" s="3"/>
    </row>
    <row r="796" spans="2:6" ht="15">
      <c r="B796" s="3"/>
      <c r="C796" s="3"/>
      <c r="D796" s="3"/>
      <c r="E796" s="3"/>
      <c r="F796" s="3"/>
    </row>
    <row r="797" spans="2:6" ht="15">
      <c r="B797" s="3"/>
      <c r="C797" s="3"/>
      <c r="D797" s="3"/>
      <c r="E797" s="3"/>
      <c r="F797" s="3"/>
    </row>
    <row r="798" spans="2:6" ht="15">
      <c r="B798" s="3"/>
      <c r="C798" s="3"/>
      <c r="D798" s="3"/>
      <c r="E798" s="3"/>
      <c r="F798" s="3"/>
    </row>
    <row r="799" spans="2:6" ht="15">
      <c r="B799" s="3"/>
      <c r="C799" s="3"/>
      <c r="D799" s="3"/>
      <c r="E799" s="3"/>
      <c r="F799" s="3"/>
    </row>
    <row r="800" spans="2:6" ht="15">
      <c r="B800" s="3"/>
      <c r="C800" s="3"/>
      <c r="D800" s="3"/>
      <c r="E800" s="3"/>
      <c r="F800" s="3"/>
    </row>
    <row r="801" spans="2:6" ht="15">
      <c r="B801" s="3"/>
      <c r="C801" s="3"/>
      <c r="D801" s="3"/>
      <c r="E801" s="3"/>
      <c r="F801" s="3"/>
    </row>
    <row r="802" spans="2:6" ht="15">
      <c r="B802" s="3"/>
      <c r="C802" s="3"/>
      <c r="D802" s="3"/>
      <c r="E802" s="3"/>
      <c r="F802" s="3"/>
    </row>
    <row r="803" spans="2:6" ht="15">
      <c r="B803" s="3"/>
      <c r="C803" s="3"/>
      <c r="D803" s="3"/>
      <c r="E803" s="3"/>
      <c r="F803" s="3"/>
    </row>
    <row r="804" spans="2:6" ht="15">
      <c r="B804" s="3"/>
      <c r="C804" s="3"/>
      <c r="D804" s="3"/>
      <c r="E804" s="3"/>
      <c r="F804" s="3"/>
    </row>
    <row r="805" spans="2:6" ht="15">
      <c r="B805" s="3"/>
      <c r="C805" s="3"/>
      <c r="D805" s="3"/>
      <c r="E805" s="3"/>
      <c r="F805" s="3"/>
    </row>
    <row r="806" spans="2:6" ht="15">
      <c r="B806" s="3"/>
      <c r="C806" s="3"/>
      <c r="D806" s="3"/>
      <c r="E806" s="3"/>
      <c r="F806" s="3"/>
    </row>
    <row r="807" spans="2:6" ht="15">
      <c r="B807" s="3"/>
      <c r="C807" s="3"/>
      <c r="D807" s="3"/>
      <c r="E807" s="3"/>
      <c r="F807" s="3"/>
    </row>
    <row r="808" spans="2:6" ht="15">
      <c r="B808" s="3"/>
      <c r="C808" s="3"/>
      <c r="D808" s="3"/>
      <c r="E808" s="3"/>
      <c r="F808" s="3"/>
    </row>
    <row r="809" spans="2:6" ht="15">
      <c r="B809" s="3"/>
      <c r="C809" s="3"/>
      <c r="D809" s="3"/>
      <c r="E809" s="3"/>
      <c r="F809" s="3"/>
    </row>
    <row r="810" spans="2:6" ht="15">
      <c r="B810" s="3"/>
      <c r="C810" s="3"/>
      <c r="D810" s="3"/>
      <c r="E810" s="3"/>
      <c r="F810" s="3"/>
    </row>
    <row r="811" spans="2:6" ht="15">
      <c r="B811" s="3"/>
      <c r="C811" s="3"/>
      <c r="D811" s="3"/>
      <c r="E811" s="3"/>
      <c r="F811" s="3"/>
    </row>
    <row r="812" spans="2:6" ht="15">
      <c r="B812" s="3"/>
      <c r="C812" s="3"/>
      <c r="D812" s="3"/>
      <c r="E812" s="3"/>
      <c r="F812" s="3"/>
    </row>
    <row r="813" spans="2:6" ht="15">
      <c r="B813" s="3"/>
      <c r="C813" s="3"/>
      <c r="D813" s="3"/>
      <c r="E813" s="3"/>
      <c r="F813" s="3"/>
    </row>
    <row r="814" spans="2:6" ht="15">
      <c r="B814" s="3"/>
      <c r="C814" s="3"/>
      <c r="D814" s="3"/>
      <c r="E814" s="3"/>
      <c r="F814" s="3"/>
    </row>
    <row r="815" spans="2:6" ht="15">
      <c r="B815" s="3"/>
      <c r="C815" s="3"/>
      <c r="D815" s="3"/>
      <c r="E815" s="3"/>
      <c r="F815" s="3"/>
    </row>
    <row r="816" spans="2:6" ht="15">
      <c r="B816" s="3"/>
      <c r="C816" s="3"/>
      <c r="D816" s="3"/>
      <c r="E816" s="3"/>
      <c r="F816" s="3"/>
    </row>
    <row r="817" spans="2:6" ht="15">
      <c r="B817" s="3"/>
      <c r="C817" s="3"/>
      <c r="D817" s="3"/>
      <c r="E817" s="3"/>
      <c r="F817" s="3"/>
    </row>
    <row r="818" spans="2:6" ht="15">
      <c r="B818" s="3"/>
      <c r="C818" s="3"/>
      <c r="D818" s="3"/>
      <c r="E818" s="3"/>
      <c r="F818" s="3"/>
    </row>
    <row r="819" spans="2:6" ht="15">
      <c r="B819" s="3"/>
      <c r="C819" s="3"/>
      <c r="D819" s="3"/>
      <c r="E819" s="3"/>
      <c r="F819" s="3"/>
    </row>
    <row r="820" spans="2:6" ht="15">
      <c r="B820" s="3"/>
      <c r="C820" s="3"/>
      <c r="D820" s="3"/>
      <c r="E820" s="3"/>
      <c r="F820" s="3"/>
    </row>
    <row r="821" spans="2:6" ht="15">
      <c r="B821" s="3"/>
      <c r="C821" s="3"/>
      <c r="D821" s="3"/>
      <c r="E821" s="3"/>
      <c r="F821" s="3"/>
    </row>
    <row r="822" spans="2:6" ht="15">
      <c r="B822" s="3"/>
      <c r="C822" s="3"/>
      <c r="D822" s="3"/>
      <c r="E822" s="3"/>
      <c r="F822" s="3"/>
    </row>
    <row r="823" spans="2:6" ht="15">
      <c r="B823" s="3"/>
      <c r="C823" s="3"/>
      <c r="D823" s="3"/>
      <c r="E823" s="3"/>
      <c r="F823" s="3"/>
    </row>
    <row r="824" spans="2:6" ht="15">
      <c r="B824" s="3"/>
      <c r="C824" s="3"/>
      <c r="D824" s="3"/>
      <c r="E824" s="3"/>
      <c r="F824" s="3"/>
    </row>
    <row r="825" spans="2:6" ht="15">
      <c r="B825" s="3"/>
      <c r="C825" s="3"/>
      <c r="D825" s="3"/>
      <c r="E825" s="3"/>
      <c r="F825" s="3"/>
    </row>
    <row r="826" spans="2:6" ht="15">
      <c r="B826" s="3"/>
      <c r="C826" s="3"/>
      <c r="D826" s="3"/>
      <c r="E826" s="3"/>
      <c r="F826" s="3"/>
    </row>
    <row r="827" spans="2:6" ht="15">
      <c r="B827" s="3"/>
      <c r="C827" s="3"/>
      <c r="D827" s="3"/>
      <c r="E827" s="3"/>
      <c r="F827" s="3"/>
    </row>
    <row r="828" spans="2:6" ht="15">
      <c r="B828" s="3"/>
      <c r="C828" s="3"/>
      <c r="D828" s="3"/>
      <c r="E828" s="3"/>
      <c r="F828" s="3"/>
    </row>
    <row r="829" spans="2:6" ht="15">
      <c r="B829" s="3"/>
      <c r="C829" s="3"/>
      <c r="D829" s="3"/>
      <c r="E829" s="3"/>
      <c r="F829" s="3"/>
    </row>
    <row r="830" spans="2:6" ht="15">
      <c r="B830" s="3"/>
      <c r="C830" s="3"/>
      <c r="D830" s="3"/>
      <c r="E830" s="3"/>
      <c r="F830" s="3"/>
    </row>
    <row r="831" spans="2:6" ht="15">
      <c r="B831" s="3"/>
      <c r="C831" s="3"/>
      <c r="D831" s="3"/>
      <c r="E831" s="3"/>
      <c r="F831" s="3"/>
    </row>
    <row r="832" spans="2:6" ht="15">
      <c r="B832" s="3"/>
      <c r="C832" s="3"/>
      <c r="D832" s="3"/>
      <c r="E832" s="3"/>
      <c r="F832" s="3"/>
    </row>
    <row r="833" spans="2:6" ht="15">
      <c r="B833" s="3"/>
      <c r="C833" s="3"/>
      <c r="D833" s="3"/>
      <c r="E833" s="3"/>
      <c r="F833" s="3"/>
    </row>
    <row r="834" spans="2:6" ht="15">
      <c r="B834" s="3"/>
      <c r="C834" s="3"/>
      <c r="D834" s="3"/>
      <c r="E834" s="3"/>
      <c r="F834" s="3"/>
    </row>
    <row r="835" spans="2:6" ht="15">
      <c r="B835" s="3"/>
      <c r="C835" s="3"/>
      <c r="D835" s="3"/>
      <c r="E835" s="3"/>
      <c r="F835" s="3"/>
    </row>
    <row r="836" spans="2:6" ht="15">
      <c r="B836" s="3"/>
      <c r="C836" s="3"/>
      <c r="D836" s="3"/>
      <c r="E836" s="3"/>
      <c r="F836" s="3"/>
    </row>
    <row r="837" spans="2:6" ht="15">
      <c r="B837" s="3"/>
      <c r="C837" s="3"/>
      <c r="D837" s="3"/>
      <c r="E837" s="3"/>
      <c r="F837" s="3"/>
    </row>
    <row r="838" spans="2:6" ht="15">
      <c r="B838" s="3"/>
      <c r="C838" s="3"/>
      <c r="D838" s="3"/>
      <c r="E838" s="3"/>
      <c r="F838" s="3"/>
    </row>
    <row r="839" spans="2:6" ht="15">
      <c r="B839" s="3"/>
      <c r="C839" s="3"/>
      <c r="D839" s="3"/>
      <c r="E839" s="3"/>
      <c r="F839" s="3"/>
    </row>
    <row r="840" spans="2:6" ht="15">
      <c r="B840" s="3"/>
      <c r="C840" s="3"/>
      <c r="D840" s="3"/>
      <c r="E840" s="3"/>
      <c r="F840" s="3"/>
    </row>
    <row r="841" spans="2:6" ht="15">
      <c r="B841" s="3"/>
      <c r="C841" s="3"/>
      <c r="D841" s="3"/>
      <c r="E841" s="3"/>
      <c r="F841" s="3"/>
    </row>
    <row r="842" spans="2:6" ht="15">
      <c r="B842" s="3"/>
      <c r="C842" s="3"/>
      <c r="D842" s="3"/>
      <c r="E842" s="3"/>
      <c r="F842" s="3"/>
    </row>
    <row r="843" spans="2:6" ht="15">
      <c r="B843" s="3"/>
      <c r="C843" s="3"/>
      <c r="D843" s="3"/>
      <c r="E843" s="3"/>
      <c r="F843" s="3"/>
    </row>
    <row r="844" spans="2:6" ht="15">
      <c r="B844" s="3"/>
      <c r="C844" s="3"/>
      <c r="D844" s="3"/>
      <c r="E844" s="3"/>
      <c r="F844" s="3"/>
    </row>
    <row r="845" spans="2:6" ht="15">
      <c r="B845" s="3"/>
      <c r="C845" s="3"/>
      <c r="D845" s="3"/>
      <c r="E845" s="3"/>
      <c r="F845" s="3"/>
    </row>
    <row r="846" spans="2:6" ht="15">
      <c r="B846" s="3"/>
      <c r="C846" s="3"/>
      <c r="D846" s="3"/>
      <c r="E846" s="3"/>
      <c r="F846" s="3"/>
    </row>
    <row r="847" spans="2:6" ht="15">
      <c r="B847" s="3"/>
      <c r="C847" s="3"/>
      <c r="D847" s="3"/>
      <c r="E847" s="3"/>
      <c r="F847" s="3"/>
    </row>
    <row r="848" spans="2:6" ht="15">
      <c r="B848" s="3"/>
      <c r="C848" s="3"/>
      <c r="D848" s="3"/>
      <c r="E848" s="3"/>
      <c r="F848" s="3"/>
    </row>
    <row r="849" spans="2:6" ht="15">
      <c r="B849" s="3"/>
      <c r="C849" s="3"/>
      <c r="D849" s="3"/>
      <c r="E849" s="3"/>
      <c r="F849" s="3"/>
    </row>
    <row r="850" spans="2:6" ht="15">
      <c r="B850" s="3"/>
      <c r="C850" s="3"/>
      <c r="D850" s="3"/>
      <c r="E850" s="3"/>
      <c r="F850" s="3"/>
    </row>
    <row r="851" spans="2:6" ht="15">
      <c r="B851" s="3"/>
      <c r="C851" s="3"/>
      <c r="D851" s="3"/>
      <c r="E851" s="3"/>
      <c r="F851" s="3"/>
    </row>
    <row r="852" spans="2:6" ht="15">
      <c r="B852" s="3"/>
      <c r="C852" s="3"/>
      <c r="D852" s="3"/>
      <c r="E852" s="3"/>
      <c r="F852" s="3"/>
    </row>
    <row r="853" spans="2:6" ht="15">
      <c r="B853" s="3"/>
      <c r="C853" s="3"/>
      <c r="D853" s="3"/>
      <c r="E853" s="3"/>
      <c r="F853" s="3"/>
    </row>
    <row r="854" spans="2:6" ht="15">
      <c r="B854" s="3"/>
      <c r="C854" s="3"/>
      <c r="D854" s="3"/>
      <c r="E854" s="3"/>
      <c r="F854" s="3"/>
    </row>
    <row r="855" spans="2:6" ht="15">
      <c r="B855" s="3"/>
      <c r="C855" s="3"/>
      <c r="D855" s="3"/>
      <c r="E855" s="3"/>
      <c r="F855" s="3"/>
    </row>
    <row r="856" spans="2:6" ht="15">
      <c r="B856" s="3"/>
      <c r="C856" s="3"/>
      <c r="D856" s="3"/>
      <c r="E856" s="3"/>
      <c r="F856" s="3"/>
    </row>
    <row r="857" spans="2:6" ht="15">
      <c r="B857" s="3"/>
      <c r="C857" s="3"/>
      <c r="D857" s="3"/>
      <c r="E857" s="3"/>
      <c r="F857" s="3"/>
    </row>
    <row r="858" spans="2:6" ht="15">
      <c r="B858" s="3"/>
      <c r="C858" s="3"/>
      <c r="D858" s="3"/>
      <c r="E858" s="3"/>
      <c r="F858" s="3"/>
    </row>
    <row r="859" spans="2:6" ht="15">
      <c r="B859" s="3"/>
      <c r="C859" s="3"/>
      <c r="D859" s="3"/>
      <c r="E859" s="3"/>
      <c r="F859" s="3"/>
    </row>
    <row r="860" spans="2:6" ht="15">
      <c r="B860" s="3"/>
      <c r="C860" s="3"/>
      <c r="D860" s="3"/>
      <c r="E860" s="3"/>
      <c r="F860" s="3"/>
    </row>
    <row r="861" spans="2:6" ht="15">
      <c r="B861" s="3"/>
      <c r="C861" s="3"/>
      <c r="D861" s="3"/>
      <c r="E861" s="3"/>
      <c r="F861" s="3"/>
    </row>
    <row r="862" spans="2:6" ht="15">
      <c r="B862" s="3"/>
      <c r="C862" s="3"/>
      <c r="D862" s="3"/>
      <c r="E862" s="3"/>
      <c r="F862" s="3"/>
    </row>
    <row r="863" spans="2:6" ht="15">
      <c r="B863" s="3"/>
      <c r="C863" s="3"/>
      <c r="D863" s="3"/>
      <c r="E863" s="3"/>
      <c r="F863" s="3"/>
    </row>
    <row r="864" spans="2:6" ht="15">
      <c r="B864" s="3"/>
      <c r="C864" s="3"/>
      <c r="D864" s="3"/>
      <c r="E864" s="3"/>
      <c r="F864" s="3"/>
    </row>
    <row r="865" spans="2:6" ht="15">
      <c r="B865" s="3"/>
      <c r="C865" s="3"/>
      <c r="D865" s="3"/>
      <c r="E865" s="3"/>
      <c r="F865" s="3"/>
    </row>
    <row r="866" spans="2:6" ht="15">
      <c r="B866" s="3"/>
      <c r="C866" s="3"/>
      <c r="D866" s="3"/>
      <c r="E866" s="3"/>
      <c r="F866" s="3"/>
    </row>
    <row r="867" spans="2:6" ht="15">
      <c r="B867" s="3"/>
      <c r="C867" s="3"/>
      <c r="D867" s="3"/>
      <c r="E867" s="3"/>
      <c r="F867" s="3"/>
    </row>
    <row r="868" spans="2:6" ht="15">
      <c r="B868" s="3"/>
      <c r="C868" s="3"/>
      <c r="D868" s="3"/>
      <c r="E868" s="3"/>
      <c r="F868" s="3"/>
    </row>
    <row r="869" spans="2:6" ht="15">
      <c r="B869" s="3"/>
      <c r="C869" s="3"/>
      <c r="D869" s="3"/>
      <c r="E869" s="3"/>
      <c r="F869" s="3"/>
    </row>
    <row r="870" spans="2:6" ht="15">
      <c r="B870" s="3"/>
      <c r="C870" s="3"/>
      <c r="D870" s="3"/>
      <c r="E870" s="3"/>
      <c r="F870" s="3"/>
    </row>
    <row r="871" spans="2:6" ht="15">
      <c r="B871" s="3"/>
      <c r="C871" s="3"/>
      <c r="D871" s="3"/>
      <c r="E871" s="3"/>
      <c r="F871" s="3"/>
    </row>
    <row r="872" spans="2:6" ht="15">
      <c r="B872" s="3"/>
      <c r="C872" s="3"/>
      <c r="D872" s="3"/>
      <c r="E872" s="3"/>
      <c r="F872" s="3"/>
    </row>
    <row r="873" spans="2:6" ht="15">
      <c r="B873" s="3"/>
      <c r="C873" s="3"/>
      <c r="D873" s="3"/>
      <c r="E873" s="3"/>
      <c r="F873" s="3"/>
    </row>
    <row r="874" spans="2:6" ht="15">
      <c r="B874" s="3"/>
      <c r="C874" s="3"/>
      <c r="D874" s="3"/>
      <c r="E874" s="3"/>
      <c r="F874" s="3"/>
    </row>
    <row r="875" spans="2:6" ht="15">
      <c r="B875" s="3"/>
      <c r="C875" s="3"/>
      <c r="D875" s="3"/>
      <c r="E875" s="3"/>
      <c r="F875" s="3"/>
    </row>
    <row r="876" spans="2:6" ht="15">
      <c r="B876" s="3"/>
      <c r="C876" s="3"/>
      <c r="D876" s="3"/>
      <c r="E876" s="3"/>
      <c r="F876" s="3"/>
    </row>
    <row r="877" spans="2:6" ht="15">
      <c r="B877" s="3"/>
      <c r="C877" s="3"/>
      <c r="D877" s="3"/>
      <c r="E877" s="3"/>
      <c r="F877" s="3"/>
    </row>
    <row r="878" spans="2:6" ht="15">
      <c r="B878" s="3"/>
      <c r="C878" s="3"/>
      <c r="D878" s="3"/>
      <c r="E878" s="3"/>
      <c r="F878" s="3"/>
    </row>
    <row r="879" spans="2:6" ht="15">
      <c r="B879" s="3"/>
      <c r="C879" s="3"/>
      <c r="D879" s="3"/>
      <c r="E879" s="3"/>
      <c r="F879" s="3"/>
    </row>
    <row r="880" spans="2:6" ht="15">
      <c r="B880" s="3"/>
      <c r="C880" s="3"/>
      <c r="D880" s="3"/>
      <c r="E880" s="3"/>
      <c r="F880" s="3"/>
    </row>
    <row r="881" spans="2:6" ht="15">
      <c r="B881" s="3"/>
      <c r="C881" s="3"/>
      <c r="D881" s="3"/>
      <c r="E881" s="3"/>
      <c r="F881" s="3"/>
    </row>
    <row r="882" spans="2:6" ht="15">
      <c r="B882" s="3"/>
      <c r="C882" s="3"/>
      <c r="D882" s="3"/>
      <c r="E882" s="3"/>
      <c r="F882" s="3"/>
    </row>
    <row r="883" spans="2:6" ht="15">
      <c r="B883" s="3"/>
      <c r="C883" s="3"/>
      <c r="D883" s="3"/>
      <c r="E883" s="3"/>
      <c r="F883" s="3"/>
    </row>
    <row r="884" spans="2:6" ht="15">
      <c r="B884" s="3"/>
      <c r="C884" s="3"/>
      <c r="D884" s="3"/>
      <c r="E884" s="3"/>
      <c r="F884" s="3"/>
    </row>
    <row r="885" spans="2:6" ht="15">
      <c r="B885" s="3"/>
      <c r="C885" s="3"/>
      <c r="D885" s="3"/>
      <c r="E885" s="3"/>
      <c r="F885" s="3"/>
    </row>
    <row r="886" spans="2:6" ht="15">
      <c r="B886" s="3"/>
      <c r="C886" s="3"/>
      <c r="D886" s="3"/>
      <c r="E886" s="3"/>
      <c r="F886" s="3"/>
    </row>
    <row r="887" spans="2:6" ht="15">
      <c r="B887" s="3"/>
      <c r="C887" s="3"/>
      <c r="D887" s="3"/>
      <c r="E887" s="3"/>
      <c r="F887" s="3"/>
    </row>
    <row r="888" spans="2:6" ht="15">
      <c r="B888" s="3"/>
      <c r="C888" s="3"/>
      <c r="D888" s="3"/>
      <c r="E888" s="3"/>
      <c r="F888" s="3"/>
    </row>
    <row r="889" spans="2:6" ht="15">
      <c r="B889" s="3"/>
      <c r="C889" s="3"/>
      <c r="D889" s="3"/>
      <c r="E889" s="3"/>
      <c r="F889" s="3"/>
    </row>
    <row r="890" spans="2:6" ht="15">
      <c r="B890" s="3"/>
      <c r="C890" s="3"/>
      <c r="D890" s="3"/>
      <c r="E890" s="3"/>
      <c r="F890" s="3"/>
    </row>
    <row r="891" spans="2:6" ht="15">
      <c r="B891" s="3"/>
      <c r="C891" s="3"/>
      <c r="D891" s="3"/>
      <c r="E891" s="3"/>
      <c r="F891" s="3"/>
    </row>
    <row r="892" spans="2:6" ht="15">
      <c r="B892" s="3"/>
      <c r="C892" s="3"/>
      <c r="D892" s="3"/>
      <c r="E892" s="3"/>
      <c r="F892" s="3"/>
    </row>
    <row r="893" spans="2:6" ht="15">
      <c r="B893" s="3"/>
      <c r="C893" s="3"/>
      <c r="D893" s="3"/>
      <c r="E893" s="3"/>
      <c r="F893" s="3"/>
    </row>
    <row r="894" spans="2:6" ht="15">
      <c r="B894" s="3"/>
      <c r="C894" s="3"/>
      <c r="D894" s="3"/>
      <c r="E894" s="3"/>
      <c r="F894" s="3"/>
    </row>
    <row r="895" spans="2:6" ht="15">
      <c r="B895" s="3"/>
      <c r="C895" s="3"/>
      <c r="D895" s="3"/>
      <c r="E895" s="3"/>
      <c r="F895" s="3"/>
    </row>
    <row r="896" spans="2:6" ht="15">
      <c r="B896" s="3"/>
      <c r="C896" s="3"/>
      <c r="D896" s="3"/>
      <c r="E896" s="3"/>
      <c r="F896" s="3"/>
    </row>
    <row r="897" spans="2:6" ht="15">
      <c r="B897" s="3"/>
      <c r="C897" s="3"/>
      <c r="D897" s="3"/>
      <c r="E897" s="3"/>
      <c r="F897" s="3"/>
    </row>
    <row r="898" spans="2:6" ht="15">
      <c r="B898" s="3"/>
      <c r="C898" s="3"/>
      <c r="D898" s="3"/>
      <c r="E898" s="3"/>
      <c r="F898" s="3"/>
    </row>
    <row r="899" spans="2:6" ht="15">
      <c r="B899" s="3"/>
      <c r="C899" s="3"/>
      <c r="D899" s="3"/>
      <c r="E899" s="3"/>
      <c r="F899" s="3"/>
    </row>
    <row r="900" spans="2:6" ht="15">
      <c r="B900" s="3"/>
      <c r="C900" s="3"/>
      <c r="D900" s="3"/>
      <c r="E900" s="3"/>
      <c r="F900" s="3"/>
    </row>
    <row r="901" spans="2:6" ht="15">
      <c r="B901" s="3"/>
      <c r="C901" s="3"/>
      <c r="D901" s="3"/>
      <c r="E901" s="3"/>
      <c r="F901" s="3"/>
    </row>
    <row r="902" spans="2:6" ht="15">
      <c r="B902" s="3"/>
      <c r="C902" s="3"/>
      <c r="D902" s="3"/>
      <c r="E902" s="3"/>
      <c r="F902" s="3"/>
    </row>
    <row r="903" spans="2:6" ht="15">
      <c r="B903" s="3"/>
      <c r="C903" s="3"/>
      <c r="D903" s="3"/>
      <c r="E903" s="3"/>
      <c r="F903" s="3"/>
    </row>
    <row r="904" spans="2:6" ht="15">
      <c r="B904" s="3"/>
      <c r="C904" s="3"/>
      <c r="D904" s="3"/>
      <c r="E904" s="3"/>
      <c r="F904" s="3"/>
    </row>
    <row r="905" spans="2:6" ht="15">
      <c r="B905" s="3"/>
      <c r="C905" s="3"/>
      <c r="D905" s="3"/>
      <c r="E905" s="3"/>
      <c r="F905" s="3"/>
    </row>
    <row r="906" spans="2:6" ht="15">
      <c r="B906" s="3"/>
      <c r="C906" s="3"/>
      <c r="D906" s="3"/>
      <c r="E906" s="3"/>
      <c r="F906" s="3"/>
    </row>
    <row r="907" spans="2:6" ht="15">
      <c r="B907" s="3"/>
      <c r="C907" s="3"/>
      <c r="D907" s="3"/>
      <c r="E907" s="3"/>
      <c r="F907" s="3"/>
    </row>
    <row r="908" spans="2:6" ht="15">
      <c r="B908" s="3"/>
      <c r="C908" s="3"/>
      <c r="D908" s="3"/>
      <c r="E908" s="3"/>
      <c r="F908" s="3"/>
    </row>
    <row r="909" spans="2:6" ht="15">
      <c r="B909" s="3"/>
      <c r="C909" s="3"/>
      <c r="D909" s="3"/>
      <c r="E909" s="3"/>
      <c r="F909" s="3"/>
    </row>
    <row r="910" spans="2:6" ht="15">
      <c r="B910" s="3"/>
      <c r="C910" s="3"/>
      <c r="D910" s="3"/>
      <c r="E910" s="3"/>
      <c r="F910" s="3"/>
    </row>
    <row r="911" spans="2:6" ht="15">
      <c r="B911" s="3"/>
      <c r="C911" s="3"/>
      <c r="D911" s="3"/>
      <c r="E911" s="3"/>
      <c r="F911" s="3"/>
    </row>
    <row r="912" spans="2:6" ht="15">
      <c r="B912" s="3"/>
      <c r="C912" s="3"/>
      <c r="D912" s="3"/>
      <c r="E912" s="3"/>
      <c r="F912" s="3"/>
    </row>
    <row r="913" spans="2:6" ht="15">
      <c r="B913" s="3"/>
      <c r="C913" s="3"/>
      <c r="D913" s="3"/>
      <c r="E913" s="3"/>
      <c r="F913" s="3"/>
    </row>
    <row r="914" spans="2:6" ht="15">
      <c r="B914" s="3"/>
      <c r="C914" s="3"/>
      <c r="D914" s="3"/>
      <c r="E914" s="3"/>
      <c r="F914" s="3"/>
    </row>
    <row r="915" spans="2:6" ht="15">
      <c r="B915" s="3"/>
      <c r="C915" s="3"/>
      <c r="D915" s="3"/>
      <c r="E915" s="3"/>
      <c r="F915" s="3"/>
    </row>
    <row r="916" spans="2:6" ht="15">
      <c r="B916" s="3"/>
      <c r="C916" s="3"/>
      <c r="D916" s="3"/>
      <c r="E916" s="3"/>
      <c r="F916" s="3"/>
    </row>
    <row r="917" spans="2:6" ht="15">
      <c r="B917" s="3"/>
      <c r="C917" s="3"/>
      <c r="D917" s="3"/>
      <c r="E917" s="3"/>
      <c r="F917" s="3"/>
    </row>
    <row r="918" spans="2:6" ht="15">
      <c r="B918" s="3"/>
      <c r="C918" s="3"/>
      <c r="D918" s="3"/>
      <c r="E918" s="3"/>
      <c r="F918" s="3"/>
    </row>
    <row r="919" spans="2:6" ht="15">
      <c r="B919" s="3"/>
      <c r="C919" s="3"/>
      <c r="D919" s="3"/>
      <c r="E919" s="3"/>
      <c r="F919" s="3"/>
    </row>
    <row r="920" spans="2:6" ht="15">
      <c r="B920" s="3"/>
      <c r="C920" s="3"/>
      <c r="D920" s="3"/>
      <c r="E920" s="3"/>
      <c r="F920" s="3"/>
    </row>
    <row r="921" spans="2:6" ht="15">
      <c r="B921" s="3"/>
      <c r="C921" s="3"/>
      <c r="D921" s="3"/>
      <c r="E921" s="3"/>
      <c r="F921" s="3"/>
    </row>
    <row r="922" spans="2:6" ht="15">
      <c r="B922" s="3"/>
      <c r="C922" s="3"/>
      <c r="D922" s="3"/>
      <c r="E922" s="3"/>
      <c r="F922" s="3"/>
    </row>
    <row r="923" spans="2:6" ht="15">
      <c r="B923" s="3"/>
      <c r="C923" s="3"/>
      <c r="D923" s="3"/>
      <c r="E923" s="3"/>
      <c r="F923" s="3"/>
    </row>
    <row r="924" spans="2:6" ht="15">
      <c r="B924" s="3"/>
      <c r="C924" s="3"/>
      <c r="D924" s="3"/>
      <c r="E924" s="3"/>
      <c r="F924" s="3"/>
    </row>
    <row r="925" spans="2:6" ht="15">
      <c r="B925" s="3"/>
      <c r="C925" s="3"/>
      <c r="D925" s="3"/>
      <c r="E925" s="3"/>
      <c r="F925" s="3"/>
    </row>
    <row r="926" spans="2:6" ht="15">
      <c r="B926" s="3"/>
      <c r="C926" s="3"/>
      <c r="D926" s="3"/>
      <c r="E926" s="3"/>
      <c r="F926" s="3"/>
    </row>
    <row r="927" spans="2:6" ht="15">
      <c r="B927" s="3"/>
      <c r="C927" s="3"/>
      <c r="D927" s="3"/>
      <c r="E927" s="3"/>
      <c r="F927" s="3"/>
    </row>
    <row r="928" spans="2:6" ht="15">
      <c r="B928" s="3"/>
      <c r="C928" s="3"/>
      <c r="D928" s="3"/>
      <c r="E928" s="3"/>
      <c r="F928" s="3"/>
    </row>
    <row r="929" spans="2:6" ht="15">
      <c r="B929" s="3"/>
      <c r="C929" s="3"/>
      <c r="D929" s="3"/>
      <c r="E929" s="3"/>
      <c r="F929" s="3"/>
    </row>
    <row r="930" spans="2:6" ht="15">
      <c r="B930" s="3"/>
      <c r="C930" s="3"/>
      <c r="D930" s="3"/>
      <c r="E930" s="3"/>
      <c r="F930" s="3"/>
    </row>
    <row r="931" spans="2:6" ht="15">
      <c r="B931" s="3"/>
      <c r="C931" s="3"/>
      <c r="D931" s="3"/>
      <c r="E931" s="3"/>
      <c r="F931" s="3"/>
    </row>
    <row r="932" spans="2:6" ht="15">
      <c r="B932" s="3"/>
      <c r="C932" s="3"/>
      <c r="D932" s="3"/>
      <c r="E932" s="3"/>
      <c r="F932" s="3"/>
    </row>
    <row r="933" spans="2:6" ht="15">
      <c r="B933" s="3"/>
      <c r="C933" s="3"/>
      <c r="D933" s="3"/>
      <c r="E933" s="3"/>
      <c r="F933" s="3"/>
    </row>
    <row r="934" spans="2:6" ht="15">
      <c r="B934" s="3"/>
      <c r="C934" s="3"/>
      <c r="D934" s="3"/>
      <c r="E934" s="3"/>
      <c r="F934" s="3"/>
    </row>
    <row r="935" spans="2:6" ht="15">
      <c r="B935" s="3"/>
      <c r="C935" s="3"/>
      <c r="D935" s="3"/>
      <c r="E935" s="3"/>
      <c r="F935" s="3"/>
    </row>
    <row r="936" spans="2:6" ht="15">
      <c r="B936" s="3"/>
      <c r="C936" s="3"/>
      <c r="D936" s="3"/>
      <c r="E936" s="3"/>
      <c r="F936" s="3"/>
    </row>
    <row r="937" spans="2:6" ht="15">
      <c r="B937" s="3"/>
      <c r="C937" s="3"/>
      <c r="D937" s="3"/>
      <c r="E937" s="3"/>
      <c r="F937" s="3"/>
    </row>
    <row r="938" spans="2:6" ht="15">
      <c r="B938" s="3"/>
      <c r="C938" s="3"/>
      <c r="D938" s="3"/>
      <c r="E938" s="3"/>
      <c r="F938" s="3"/>
    </row>
    <row r="939" spans="2:6" ht="15">
      <c r="B939" s="3"/>
      <c r="C939" s="3"/>
      <c r="D939" s="3"/>
      <c r="E939" s="3"/>
      <c r="F939" s="3"/>
    </row>
    <row r="940" spans="2:6" ht="15">
      <c r="B940" s="3"/>
      <c r="C940" s="3"/>
      <c r="D940" s="3"/>
      <c r="E940" s="3"/>
      <c r="F940" s="3"/>
    </row>
    <row r="941" spans="2:6" ht="15">
      <c r="B941" s="3"/>
      <c r="C941" s="3"/>
      <c r="D941" s="3"/>
      <c r="E941" s="3"/>
      <c r="F941" s="3"/>
    </row>
    <row r="942" spans="2:6" ht="15">
      <c r="B942" s="3"/>
      <c r="C942" s="3"/>
      <c r="D942" s="3"/>
      <c r="E942" s="3"/>
      <c r="F942" s="3"/>
    </row>
    <row r="943" spans="2:6" ht="15">
      <c r="B943" s="3"/>
      <c r="C943" s="3"/>
      <c r="D943" s="3"/>
      <c r="E943" s="3"/>
      <c r="F943" s="3"/>
    </row>
    <row r="944" spans="2:6" ht="15">
      <c r="B944" s="3"/>
      <c r="C944" s="3"/>
      <c r="D944" s="3"/>
      <c r="E944" s="3"/>
      <c r="F944" s="3"/>
    </row>
    <row r="945" spans="2:6" ht="15">
      <c r="B945" s="3"/>
      <c r="C945" s="3"/>
      <c r="D945" s="3"/>
      <c r="E945" s="3"/>
      <c r="F945" s="3"/>
    </row>
    <row r="946" spans="2:6" ht="15">
      <c r="B946" s="3"/>
      <c r="C946" s="3"/>
      <c r="D946" s="3"/>
      <c r="E946" s="3"/>
      <c r="F946" s="3"/>
    </row>
    <row r="947" spans="2:6" ht="15">
      <c r="B947" s="3"/>
      <c r="C947" s="3"/>
      <c r="D947" s="3"/>
      <c r="E947" s="3"/>
      <c r="F947" s="3"/>
    </row>
    <row r="948" spans="2:6" ht="15">
      <c r="B948" s="3"/>
      <c r="C948" s="3"/>
      <c r="D948" s="3"/>
      <c r="E948" s="3"/>
      <c r="F948" s="3"/>
    </row>
    <row r="949" spans="2:6" ht="15">
      <c r="B949" s="3"/>
      <c r="C949" s="3"/>
      <c r="D949" s="3"/>
      <c r="E949" s="3"/>
      <c r="F949" s="3"/>
    </row>
    <row r="950" spans="2:6" ht="15">
      <c r="B950" s="3"/>
      <c r="C950" s="3"/>
      <c r="D950" s="3"/>
      <c r="E950" s="3"/>
      <c r="F950" s="3"/>
    </row>
    <row r="951" spans="2:6" ht="15">
      <c r="B951" s="3"/>
      <c r="C951" s="3"/>
      <c r="D951" s="3"/>
      <c r="E951" s="3"/>
      <c r="F951" s="3"/>
    </row>
    <row r="952" spans="2:6" ht="15">
      <c r="B952" s="3"/>
      <c r="C952" s="3"/>
      <c r="D952" s="3"/>
      <c r="E952" s="3"/>
      <c r="F952" s="3"/>
    </row>
    <row r="953" spans="2:6" ht="15">
      <c r="B953" s="3"/>
      <c r="C953" s="3"/>
      <c r="D953" s="3"/>
      <c r="E953" s="3"/>
      <c r="F953" s="3"/>
    </row>
    <row r="954" spans="2:6" ht="15">
      <c r="B954" s="3"/>
      <c r="C954" s="3"/>
      <c r="D954" s="3"/>
      <c r="E954" s="3"/>
      <c r="F954" s="3"/>
    </row>
    <row r="955" spans="2:6" ht="15">
      <c r="B955" s="3"/>
      <c r="C955" s="3"/>
      <c r="D955" s="3"/>
      <c r="E955" s="3"/>
      <c r="F955" s="3"/>
    </row>
    <row r="956" spans="2:6" ht="15">
      <c r="B956" s="3"/>
      <c r="C956" s="3"/>
      <c r="D956" s="3"/>
      <c r="E956" s="3"/>
      <c r="F956" s="3"/>
    </row>
    <row r="957" spans="2:6" ht="15">
      <c r="B957" s="3"/>
      <c r="C957" s="3"/>
      <c r="D957" s="3"/>
      <c r="E957" s="3"/>
      <c r="F957" s="3"/>
    </row>
    <row r="958" spans="2:6" ht="15">
      <c r="B958" s="3"/>
      <c r="C958" s="3"/>
      <c r="D958" s="3"/>
      <c r="E958" s="3"/>
      <c r="F958" s="3"/>
    </row>
    <row r="959" spans="2:6" ht="15">
      <c r="B959" s="3"/>
      <c r="C959" s="3"/>
      <c r="D959" s="3"/>
      <c r="E959" s="3"/>
      <c r="F959" s="3"/>
    </row>
    <row r="960" spans="2:6" ht="15">
      <c r="B960" s="3"/>
      <c r="C960" s="3"/>
      <c r="D960" s="3"/>
      <c r="E960" s="3"/>
      <c r="F960" s="3"/>
    </row>
    <row r="961" spans="2:6" ht="15">
      <c r="B961" s="3"/>
      <c r="C961" s="3"/>
      <c r="D961" s="3"/>
      <c r="E961" s="3"/>
      <c r="F961" s="3"/>
    </row>
    <row r="962" spans="2:6" ht="15">
      <c r="B962" s="3"/>
      <c r="C962" s="3"/>
      <c r="D962" s="3"/>
      <c r="E962" s="3"/>
      <c r="F962" s="3"/>
    </row>
    <row r="963" spans="2:6" ht="15">
      <c r="B963" s="3"/>
      <c r="C963" s="3"/>
      <c r="D963" s="3"/>
      <c r="E963" s="3"/>
      <c r="F963" s="3"/>
    </row>
    <row r="964" spans="2:6" ht="15">
      <c r="B964" s="3"/>
      <c r="C964" s="3"/>
      <c r="D964" s="3"/>
      <c r="E964" s="3"/>
      <c r="F964" s="3"/>
    </row>
    <row r="965" spans="2:6" ht="15">
      <c r="B965" s="3"/>
      <c r="C965" s="3"/>
      <c r="D965" s="3"/>
      <c r="E965" s="3"/>
      <c r="F965" s="3"/>
    </row>
    <row r="966" spans="2:6" ht="15">
      <c r="B966" s="3"/>
      <c r="C966" s="3"/>
      <c r="D966" s="3"/>
      <c r="E966" s="3"/>
      <c r="F966" s="3"/>
    </row>
    <row r="967" spans="2:6" ht="15">
      <c r="B967" s="3"/>
      <c r="C967" s="3"/>
      <c r="D967" s="3"/>
      <c r="E967" s="3"/>
      <c r="F967" s="3"/>
    </row>
    <row r="968" spans="2:6" ht="15">
      <c r="B968" s="3"/>
      <c r="C968" s="3"/>
      <c r="D968" s="3"/>
      <c r="E968" s="3"/>
      <c r="F968" s="3"/>
    </row>
    <row r="969" spans="2:6" ht="15">
      <c r="B969" s="3"/>
      <c r="C969" s="3"/>
      <c r="D969" s="3"/>
      <c r="E969" s="3"/>
      <c r="F969" s="3"/>
    </row>
    <row r="970" spans="2:6" ht="15">
      <c r="B970" s="3"/>
      <c r="C970" s="3"/>
      <c r="D970" s="3"/>
      <c r="E970" s="3"/>
      <c r="F970" s="3"/>
    </row>
    <row r="971" spans="2:6" ht="15">
      <c r="B971" s="3"/>
      <c r="C971" s="3"/>
      <c r="D971" s="3"/>
      <c r="E971" s="3"/>
      <c r="F971" s="3"/>
    </row>
    <row r="972" spans="2:6" ht="15">
      <c r="B972" s="3"/>
      <c r="C972" s="3"/>
      <c r="D972" s="3"/>
      <c r="E972" s="3"/>
      <c r="F972" s="3"/>
    </row>
    <row r="973" spans="2:6" ht="15">
      <c r="B973" s="3"/>
      <c r="C973" s="3"/>
      <c r="D973" s="3"/>
      <c r="E973" s="3"/>
      <c r="F973" s="3"/>
    </row>
    <row r="974" spans="2:6" ht="15">
      <c r="B974" s="3"/>
      <c r="C974" s="3"/>
      <c r="D974" s="3"/>
      <c r="E974" s="3"/>
      <c r="F974" s="3"/>
    </row>
    <row r="975" spans="2:6" ht="15">
      <c r="B975" s="3"/>
      <c r="C975" s="3"/>
      <c r="D975" s="3"/>
      <c r="E975" s="3"/>
      <c r="F975" s="3"/>
    </row>
    <row r="976" spans="2:6" ht="15">
      <c r="B976" s="3"/>
      <c r="C976" s="3"/>
      <c r="D976" s="3"/>
      <c r="E976" s="3"/>
      <c r="F976" s="3"/>
    </row>
    <row r="977" spans="2:6" ht="15">
      <c r="B977" s="3"/>
      <c r="C977" s="3"/>
      <c r="D977" s="3"/>
      <c r="E977" s="3"/>
      <c r="F977" s="3"/>
    </row>
    <row r="978" spans="2:6" ht="15">
      <c r="B978" s="3"/>
      <c r="C978" s="3"/>
      <c r="D978" s="3"/>
      <c r="E978" s="3"/>
      <c r="F978" s="3"/>
    </row>
    <row r="979" spans="2:6" ht="15">
      <c r="B979" s="3"/>
      <c r="C979" s="3"/>
      <c r="D979" s="3"/>
      <c r="E979" s="3"/>
      <c r="F979" s="3"/>
    </row>
    <row r="980" spans="2:6" ht="15">
      <c r="B980" s="3"/>
      <c r="C980" s="3"/>
      <c r="D980" s="3"/>
      <c r="E980" s="3"/>
      <c r="F980" s="3"/>
    </row>
    <row r="981" spans="2:6" ht="15">
      <c r="B981" s="3"/>
      <c r="C981" s="3"/>
      <c r="D981" s="3"/>
      <c r="E981" s="3"/>
      <c r="F981" s="3"/>
    </row>
    <row r="982" spans="2:6" ht="15">
      <c r="B982" s="3"/>
      <c r="C982" s="3"/>
      <c r="D982" s="3"/>
      <c r="E982" s="3"/>
      <c r="F982" s="3"/>
    </row>
    <row r="983" spans="2:6" ht="15">
      <c r="B983" s="3"/>
      <c r="C983" s="3"/>
      <c r="D983" s="3"/>
      <c r="E983" s="3"/>
      <c r="F983" s="3"/>
    </row>
    <row r="984" spans="2:6" ht="15">
      <c r="B984" s="3"/>
      <c r="C984" s="3"/>
      <c r="D984" s="3"/>
      <c r="E984" s="3"/>
      <c r="F984" s="3"/>
    </row>
    <row r="985" spans="2:6" ht="15">
      <c r="B985" s="3"/>
      <c r="C985" s="3"/>
      <c r="D985" s="3"/>
      <c r="E985" s="3"/>
      <c r="F985" s="3"/>
    </row>
    <row r="986" spans="2:6" ht="15">
      <c r="B986" s="3"/>
      <c r="C986" s="3"/>
      <c r="D986" s="3"/>
      <c r="E986" s="3"/>
      <c r="F986" s="3"/>
    </row>
    <row r="987" spans="2:6" ht="15">
      <c r="B987" s="3"/>
      <c r="C987" s="3"/>
      <c r="D987" s="3"/>
      <c r="E987" s="3"/>
      <c r="F987" s="3"/>
    </row>
    <row r="988" spans="2:6" ht="15">
      <c r="B988" s="3"/>
      <c r="C988" s="3"/>
      <c r="D988" s="3"/>
      <c r="E988" s="3"/>
      <c r="F988" s="3"/>
    </row>
    <row r="989" spans="2:6" ht="15">
      <c r="B989" s="3"/>
      <c r="C989" s="3"/>
      <c r="D989" s="3"/>
      <c r="E989" s="3"/>
      <c r="F989" s="3"/>
    </row>
    <row r="990" spans="2:6" ht="15">
      <c r="B990" s="3"/>
      <c r="C990" s="3"/>
      <c r="D990" s="3"/>
      <c r="E990" s="3"/>
      <c r="F990" s="3"/>
    </row>
    <row r="991" spans="2:6" ht="15">
      <c r="B991" s="3"/>
      <c r="C991" s="3"/>
      <c r="D991" s="3"/>
      <c r="E991" s="3"/>
      <c r="F991" s="3"/>
    </row>
    <row r="992" spans="2:6" ht="15">
      <c r="B992" s="3"/>
      <c r="C992" s="3"/>
      <c r="D992" s="3"/>
      <c r="E992" s="3"/>
      <c r="F992" s="3"/>
    </row>
    <row r="993" spans="2:6" ht="15">
      <c r="B993" s="3"/>
      <c r="C993" s="3"/>
      <c r="D993" s="3"/>
      <c r="E993" s="3"/>
      <c r="F993" s="3"/>
    </row>
    <row r="994" spans="2:6" ht="15">
      <c r="B994" s="3"/>
      <c r="C994" s="3"/>
      <c r="D994" s="3"/>
      <c r="E994" s="3"/>
      <c r="F994" s="3"/>
    </row>
    <row r="995" spans="2:6" ht="15">
      <c r="B995" s="3"/>
      <c r="C995" s="3"/>
      <c r="D995" s="3"/>
      <c r="E995" s="3"/>
      <c r="F995" s="3"/>
    </row>
    <row r="996" spans="2:6" ht="15">
      <c r="B996" s="3"/>
      <c r="C996" s="3"/>
      <c r="D996" s="3"/>
      <c r="E996" s="3"/>
      <c r="F996" s="3"/>
    </row>
    <row r="997" spans="2:6" ht="15">
      <c r="B997" s="3"/>
      <c r="C997" s="3"/>
      <c r="D997" s="3"/>
      <c r="E997" s="3"/>
      <c r="F997" s="3"/>
    </row>
    <row r="998" spans="2:6" ht="15">
      <c r="B998" s="3"/>
      <c r="C998" s="3"/>
      <c r="D998" s="3"/>
      <c r="E998" s="3"/>
      <c r="F998" s="3"/>
    </row>
    <row r="999" spans="2:6" ht="15">
      <c r="B999" s="3"/>
      <c r="C999" s="3"/>
      <c r="D999" s="3"/>
      <c r="E999" s="3"/>
      <c r="F999" s="3"/>
    </row>
    <row r="1000" spans="2:6" ht="15">
      <c r="B1000" s="3"/>
      <c r="C1000" s="3"/>
      <c r="D1000" s="3"/>
      <c r="E1000" s="3"/>
      <c r="F1000" s="3"/>
    </row>
  </sheetData>
  <mergeCells count="4">
    <mergeCell ref="A1:F1"/>
    <mergeCell ref="A3:F3"/>
    <mergeCell ref="A12:F12"/>
    <mergeCell ref="D13:F13"/>
  </mergeCells>
  <conditionalFormatting sqref="D10">
    <cfRule type="expression" dxfId="5" priority="1">
      <formula>ABS(D10-1)&gt;0.0001</formula>
    </cfRule>
    <cfRule type="expression" dxfId="4" priority="2">
      <formula>ABS(D10-1)&lt;=0.0001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Normal="100" zoomScaleSheetLayoutView="100" workbookViewId="0">
      <selection activeCell="B5" sqref="B5"/>
    </sheetView>
  </sheetViews>
  <sheetFormatPr defaultRowHeight="14.25"/>
  <cols>
    <col min="1" max="7" width="19.5" customWidth="1"/>
    <col min="8" max="26" width="9" style="1"/>
  </cols>
  <sheetData>
    <row r="1" spans="1:7" ht="30" customHeight="1">
      <c r="A1" s="28" t="s">
        <v>71</v>
      </c>
      <c r="B1" s="28"/>
      <c r="C1" s="28"/>
      <c r="D1" s="28"/>
      <c r="E1" s="28"/>
      <c r="F1" s="28"/>
      <c r="G1" s="28"/>
    </row>
    <row r="2" spans="1:7" ht="42" customHeight="1">
      <c r="A2" s="36" t="s">
        <v>72</v>
      </c>
      <c r="B2" s="36"/>
      <c r="C2" s="36"/>
      <c r="D2" s="36"/>
      <c r="E2" s="36"/>
      <c r="F2" s="36"/>
      <c r="G2" s="36"/>
    </row>
    <row r="3" spans="1:7" ht="42" customHeight="1">
      <c r="A3" s="37"/>
      <c r="B3" s="37"/>
      <c r="C3" s="37"/>
      <c r="D3" s="37"/>
      <c r="E3" s="37"/>
      <c r="F3" s="37"/>
      <c r="G3" s="37"/>
    </row>
    <row r="4" spans="1:7" ht="15">
      <c r="A4" s="20" t="s">
        <v>73</v>
      </c>
      <c r="B4" s="20" t="s">
        <v>38</v>
      </c>
      <c r="C4" s="20" t="s">
        <v>42</v>
      </c>
      <c r="D4" s="20" t="s">
        <v>45</v>
      </c>
      <c r="E4" s="20" t="s">
        <v>48</v>
      </c>
      <c r="F4" s="20" t="s">
        <v>50</v>
      </c>
      <c r="G4" s="20" t="s">
        <v>74</v>
      </c>
    </row>
    <row r="5" spans="1:7" ht="15">
      <c r="A5" s="23">
        <v>44928</v>
      </c>
      <c r="B5" s="24">
        <v>1170.4779052734375</v>
      </c>
      <c r="C5" s="24">
        <v>770.92724609375</v>
      </c>
      <c r="D5" s="24">
        <v>2893.559814453125</v>
      </c>
      <c r="E5" s="24">
        <v>880.64739990234375</v>
      </c>
      <c r="F5" s="24">
        <v>1368.097412109375</v>
      </c>
      <c r="G5" s="24">
        <v>18197.44921875</v>
      </c>
    </row>
    <row r="6" spans="1:7" ht="15">
      <c r="A6" s="23">
        <v>44929</v>
      </c>
      <c r="B6" s="24">
        <v>1161.9124755859375</v>
      </c>
      <c r="C6" s="24">
        <v>775.96826171875</v>
      </c>
      <c r="D6" s="24">
        <v>2937.83154296875</v>
      </c>
      <c r="E6" s="24">
        <v>879.57391357421875</v>
      </c>
      <c r="F6" s="24">
        <v>1366.7957763671875</v>
      </c>
      <c r="G6" s="24">
        <v>18232.55078125</v>
      </c>
    </row>
    <row r="7" spans="1:7" ht="15">
      <c r="A7" s="23">
        <v>44930</v>
      </c>
      <c r="B7" s="24">
        <v>1144.418212890625</v>
      </c>
      <c r="C7" s="24">
        <v>762.0994873046875</v>
      </c>
      <c r="D7" s="24">
        <v>2940.75927734375</v>
      </c>
      <c r="E7" s="24">
        <v>877.3782958984375</v>
      </c>
      <c r="F7" s="24">
        <v>1341.884521484375</v>
      </c>
      <c r="G7" s="24">
        <v>18042.94921875</v>
      </c>
    </row>
    <row r="8" spans="1:7" ht="15">
      <c r="A8" s="23">
        <v>44931</v>
      </c>
      <c r="B8" s="24">
        <v>1142.37353515625</v>
      </c>
      <c r="C8" s="24">
        <v>757.2003173828125</v>
      </c>
      <c r="D8" s="24">
        <v>2937.60986328125</v>
      </c>
      <c r="E8" s="24">
        <v>857.91033935546875</v>
      </c>
      <c r="F8" s="24">
        <v>1324.2894287109375</v>
      </c>
      <c r="G8" s="24">
        <v>17992.150390625</v>
      </c>
    </row>
    <row r="9" spans="1:7" ht="15">
      <c r="A9" s="23">
        <v>44932</v>
      </c>
      <c r="B9" s="24">
        <v>1152.75634765625</v>
      </c>
      <c r="C9" s="24">
        <v>754.691650390625</v>
      </c>
      <c r="D9" s="24">
        <v>2849.288818359375</v>
      </c>
      <c r="E9" s="24">
        <v>849.078857421875</v>
      </c>
      <c r="F9" s="24">
        <v>1300.32080078125</v>
      </c>
      <c r="G9" s="24">
        <v>17859.44921875</v>
      </c>
    </row>
    <row r="10" spans="1:7" ht="15">
      <c r="A10" s="23">
        <v>44935</v>
      </c>
      <c r="B10" s="24">
        <v>1179.9747314453125</v>
      </c>
      <c r="C10" s="24">
        <v>756.15899658203125</v>
      </c>
      <c r="D10" s="24">
        <v>2945.4609375</v>
      </c>
      <c r="E10" s="24">
        <v>852.2503662109375</v>
      </c>
      <c r="F10" s="24">
        <v>1332.5931396484375</v>
      </c>
      <c r="G10" s="24">
        <v>18101.19921875</v>
      </c>
    </row>
    <row r="11" spans="1:7" ht="15">
      <c r="A11" s="23">
        <v>44936</v>
      </c>
      <c r="B11" s="24">
        <v>1162.52587890625</v>
      </c>
      <c r="C11" s="24">
        <v>742.33758544921875</v>
      </c>
      <c r="D11" s="24">
        <v>2915.69580078125</v>
      </c>
      <c r="E11" s="24">
        <v>840.540283203125</v>
      </c>
      <c r="F11" s="24">
        <v>1319.397216796875</v>
      </c>
      <c r="G11" s="24">
        <v>17914.150390625</v>
      </c>
    </row>
    <row r="12" spans="1:7" ht="15">
      <c r="A12" s="23">
        <v>44937</v>
      </c>
      <c r="B12" s="24">
        <v>1147.87158203125</v>
      </c>
      <c r="C12" s="24">
        <v>753.03497314453125</v>
      </c>
      <c r="D12" s="24">
        <v>2953.224365234375</v>
      </c>
      <c r="E12" s="24">
        <v>845.37066650390625</v>
      </c>
      <c r="F12" s="24">
        <v>1320.7437744140625</v>
      </c>
      <c r="G12" s="24">
        <v>17895.69921875</v>
      </c>
    </row>
    <row r="13" spans="1:7" ht="15">
      <c r="A13" s="23">
        <v>44938</v>
      </c>
      <c r="B13" s="24">
        <v>1123.084228515625</v>
      </c>
      <c r="C13" s="24">
        <v>757.05841064453125</v>
      </c>
      <c r="D13" s="24">
        <v>2958.236572265625</v>
      </c>
      <c r="E13" s="24">
        <v>839.85723876953125</v>
      </c>
      <c r="F13" s="24">
        <v>1329.13720703125</v>
      </c>
      <c r="G13" s="24">
        <v>17858.19921875</v>
      </c>
    </row>
    <row r="14" spans="1:7" ht="15">
      <c r="A14" s="23">
        <v>44939</v>
      </c>
      <c r="B14" s="24">
        <v>1121.266845703125</v>
      </c>
      <c r="C14" s="24">
        <v>757.65008544921875</v>
      </c>
      <c r="D14" s="24">
        <v>2993.90234375</v>
      </c>
      <c r="E14" s="24">
        <v>852.34796142578125</v>
      </c>
      <c r="F14" s="24">
        <v>1349.8292236328125</v>
      </c>
      <c r="G14" s="24">
        <v>17956.599609375</v>
      </c>
    </row>
    <row r="15" spans="1:7" ht="15">
      <c r="A15" s="23">
        <v>44942</v>
      </c>
      <c r="B15" s="24">
        <v>1110.5885009765625</v>
      </c>
      <c r="C15" s="24">
        <v>750.38433837890625</v>
      </c>
      <c r="D15" s="24">
        <v>3025.206787109375</v>
      </c>
      <c r="E15" s="24">
        <v>844.34613037109375</v>
      </c>
      <c r="F15" s="24">
        <v>1369.4439697265625</v>
      </c>
      <c r="G15" s="24">
        <v>17894.849609375</v>
      </c>
    </row>
    <row r="16" spans="1:7" ht="15">
      <c r="A16" s="23">
        <v>44943</v>
      </c>
      <c r="B16" s="24">
        <v>1126.35595703125</v>
      </c>
      <c r="C16" s="24">
        <v>761.55511474609375</v>
      </c>
      <c r="D16" s="24">
        <v>3065.447998046875</v>
      </c>
      <c r="E16" s="24">
        <v>844.24853515625</v>
      </c>
      <c r="F16" s="24">
        <v>1382.0115966796875</v>
      </c>
      <c r="G16" s="24">
        <v>18053.30078125</v>
      </c>
    </row>
    <row r="17" spans="1:7" ht="15">
      <c r="A17" s="23">
        <v>44944</v>
      </c>
      <c r="B17" s="24">
        <v>1124.492919921875</v>
      </c>
      <c r="C17" s="24">
        <v>774.99798583984375</v>
      </c>
      <c r="D17" s="24">
        <v>3075.9736328125</v>
      </c>
      <c r="E17" s="24">
        <v>848.493408203125</v>
      </c>
      <c r="F17" s="24">
        <v>1387.30810546875</v>
      </c>
      <c r="G17" s="24">
        <v>18165.349609375</v>
      </c>
    </row>
    <row r="18" spans="1:7" ht="15">
      <c r="A18" s="23">
        <v>44945</v>
      </c>
      <c r="B18" s="24">
        <v>1123.288818359375</v>
      </c>
      <c r="C18" s="24">
        <v>778.216552734375</v>
      </c>
      <c r="D18" s="24">
        <v>3060.639404296875</v>
      </c>
      <c r="E18" s="24">
        <v>845.224365234375</v>
      </c>
      <c r="F18" s="24">
        <v>1381.4730224609375</v>
      </c>
      <c r="G18" s="24">
        <v>18107.849609375</v>
      </c>
    </row>
    <row r="19" spans="1:7" ht="15">
      <c r="A19" s="23">
        <v>44946</v>
      </c>
      <c r="B19" s="24">
        <v>1109.9295654296875</v>
      </c>
      <c r="C19" s="24">
        <v>786.1923828125</v>
      </c>
      <c r="D19" s="24">
        <v>3051.565673828125</v>
      </c>
      <c r="E19" s="24">
        <v>849.3228759765625</v>
      </c>
      <c r="F19" s="24">
        <v>1369.4888916015625</v>
      </c>
      <c r="G19" s="24">
        <v>18027.650390625</v>
      </c>
    </row>
    <row r="20" spans="1:7" ht="15">
      <c r="A20" s="23">
        <v>44949</v>
      </c>
      <c r="B20" s="24">
        <v>1104.3177490234375</v>
      </c>
      <c r="C20" s="24">
        <v>791.94354248046875</v>
      </c>
      <c r="D20" s="24">
        <v>3098.5673828125</v>
      </c>
      <c r="E20" s="24">
        <v>850.6402587890625</v>
      </c>
      <c r="F20" s="24">
        <v>1389.6422119140625</v>
      </c>
      <c r="G20" s="24">
        <v>18118.55078125</v>
      </c>
    </row>
    <row r="21" spans="1:7" ht="15">
      <c r="A21" s="23">
        <v>44950</v>
      </c>
      <c r="B21" s="24">
        <v>1097.7972412109375</v>
      </c>
      <c r="C21" s="24">
        <v>802.5462646484375</v>
      </c>
      <c r="D21" s="24">
        <v>3117.98486328125</v>
      </c>
      <c r="E21" s="24">
        <v>849.7132568359375</v>
      </c>
      <c r="F21" s="24">
        <v>1393.143310546875</v>
      </c>
      <c r="G21" s="24">
        <v>18118.30078125</v>
      </c>
    </row>
    <row r="22" spans="1:7" ht="15">
      <c r="A22" s="23">
        <v>44951</v>
      </c>
      <c r="B22" s="24">
        <v>1082.620361328125</v>
      </c>
      <c r="C22" s="24">
        <v>780.370361328125</v>
      </c>
      <c r="D22" s="24">
        <v>3112.041748046875</v>
      </c>
      <c r="E22" s="24">
        <v>834.63641357421875</v>
      </c>
      <c r="F22" s="24">
        <v>1385.153564453125</v>
      </c>
      <c r="G22" s="24">
        <v>17891.94921875</v>
      </c>
    </row>
    <row r="23" spans="1:7" ht="15">
      <c r="A23" s="23">
        <v>44953</v>
      </c>
      <c r="B23" s="24">
        <v>1062.0816650390625</v>
      </c>
      <c r="C23" s="24">
        <v>764.8211669921875</v>
      </c>
      <c r="D23" s="24">
        <v>3095.073974609375</v>
      </c>
      <c r="E23" s="24">
        <v>797.45697021484375</v>
      </c>
      <c r="F23" s="24">
        <v>1363.743408203125</v>
      </c>
      <c r="G23" s="24">
        <v>17604.349609375</v>
      </c>
    </row>
    <row r="24" spans="1:7" ht="15">
      <c r="A24" s="23">
        <v>44956</v>
      </c>
      <c r="B24" s="24">
        <v>1072.2601318359375</v>
      </c>
      <c r="C24" s="24">
        <v>764.0401611328125</v>
      </c>
      <c r="D24" s="24">
        <v>3115.580078125</v>
      </c>
      <c r="E24" s="24">
        <v>803.60467529296875</v>
      </c>
      <c r="F24" s="24">
        <v>1381.38330078125</v>
      </c>
      <c r="G24" s="24">
        <v>17648.94921875</v>
      </c>
    </row>
    <row r="25" spans="1:7" ht="15">
      <c r="A25" s="23">
        <v>44957</v>
      </c>
      <c r="B25" s="24">
        <v>1069.579345703125</v>
      </c>
      <c r="C25" s="24">
        <v>758.99908447265625</v>
      </c>
      <c r="D25" s="24">
        <v>3047.572998046875</v>
      </c>
      <c r="E25" s="24">
        <v>811.8017578125</v>
      </c>
      <c r="F25" s="24">
        <v>1376.85009765625</v>
      </c>
      <c r="G25" s="24">
        <v>17662.150390625</v>
      </c>
    </row>
    <row r="26" spans="1:7" ht="15">
      <c r="A26" s="23">
        <v>44958</v>
      </c>
      <c r="B26" s="24">
        <v>1063.240478515625</v>
      </c>
      <c r="C26" s="24">
        <v>770.38287353515625</v>
      </c>
      <c r="D26" s="24">
        <v>3092.623779296875</v>
      </c>
      <c r="E26" s="24">
        <v>827.46405029296875</v>
      </c>
      <c r="F26" s="24">
        <v>1392.425048828125</v>
      </c>
      <c r="G26" s="24">
        <v>17616.30078125</v>
      </c>
    </row>
    <row r="27" spans="1:7" ht="15">
      <c r="A27" s="23">
        <v>44959</v>
      </c>
      <c r="B27" s="24">
        <v>1057.3560791015625</v>
      </c>
      <c r="C27" s="24">
        <v>758.9281005859375</v>
      </c>
      <c r="D27" s="24">
        <v>3139.8525390625</v>
      </c>
      <c r="E27" s="24">
        <v>837.17364501953125</v>
      </c>
      <c r="F27" s="24">
        <v>1421.7349853515625</v>
      </c>
      <c r="G27" s="24">
        <v>17610.400390625</v>
      </c>
    </row>
    <row r="28" spans="1:7" ht="15">
      <c r="A28" s="23">
        <v>44960</v>
      </c>
      <c r="B28" s="24">
        <v>1058.2874755859375</v>
      </c>
      <c r="C28" s="24">
        <v>785.17474365234375</v>
      </c>
      <c r="D28" s="24">
        <v>3159.7236328125</v>
      </c>
      <c r="E28" s="24">
        <v>842.9310302734375</v>
      </c>
      <c r="F28" s="24">
        <v>1435.7841796875</v>
      </c>
      <c r="G28" s="24">
        <v>17854.05078125</v>
      </c>
    </row>
    <row r="29" spans="1:7" ht="15">
      <c r="A29" s="23">
        <v>44963</v>
      </c>
      <c r="B29" s="24">
        <v>1050.3128662109375</v>
      </c>
      <c r="C29" s="24">
        <v>781.83770751953125</v>
      </c>
      <c r="D29" s="24">
        <v>3139.444091796875</v>
      </c>
      <c r="E29" s="24">
        <v>833.07513427734375</v>
      </c>
      <c r="F29" s="24">
        <v>1409.2569580078125</v>
      </c>
      <c r="G29" s="24">
        <v>17764.599609375</v>
      </c>
    </row>
    <row r="30" spans="1:7" ht="15">
      <c r="A30" s="23">
        <v>44964</v>
      </c>
      <c r="B30" s="24">
        <v>1047.791015625</v>
      </c>
      <c r="C30" s="24">
        <v>782.99725341796875</v>
      </c>
      <c r="D30" s="24">
        <v>3150.877197265625</v>
      </c>
      <c r="E30" s="24">
        <v>832.1480712890625</v>
      </c>
      <c r="F30" s="24">
        <v>1402.569091796875</v>
      </c>
      <c r="G30" s="24">
        <v>17721.5</v>
      </c>
    </row>
    <row r="31" spans="1:7" ht="15">
      <c r="A31" s="23">
        <v>44965</v>
      </c>
      <c r="B31" s="24">
        <v>1068.7159423828125</v>
      </c>
      <c r="C31" s="24">
        <v>782.9027099609375</v>
      </c>
      <c r="D31" s="24">
        <v>3194.021728515625</v>
      </c>
      <c r="E31" s="24">
        <v>838.3446044921875</v>
      </c>
      <c r="F31" s="24">
        <v>1427.7945556640625</v>
      </c>
      <c r="G31" s="24">
        <v>17871.69921875</v>
      </c>
    </row>
    <row r="32" spans="1:7" ht="15">
      <c r="A32" s="23">
        <v>44966</v>
      </c>
      <c r="B32" s="24">
        <v>1070.5789794921875</v>
      </c>
      <c r="C32" s="24">
        <v>781.26971435546875</v>
      </c>
      <c r="D32" s="24">
        <v>3212.85009765625</v>
      </c>
      <c r="E32" s="24">
        <v>840.0035400390625</v>
      </c>
      <c r="F32" s="24">
        <v>1451.5836181640625</v>
      </c>
      <c r="G32" s="24">
        <v>17893.44921875</v>
      </c>
    </row>
    <row r="33" spans="1:7" ht="15">
      <c r="A33" s="23">
        <v>44967</v>
      </c>
      <c r="B33" s="24">
        <v>1061.7635498046875</v>
      </c>
      <c r="C33" s="24">
        <v>784.37005615234375</v>
      </c>
      <c r="D33" s="24">
        <v>3209.855712890625</v>
      </c>
      <c r="E33" s="24">
        <v>833.22149658203125</v>
      </c>
      <c r="F33" s="24">
        <v>1443.998046875</v>
      </c>
      <c r="G33" s="24">
        <v>17856.5</v>
      </c>
    </row>
    <row r="34" spans="1:7" ht="15">
      <c r="A34" s="23">
        <v>44970</v>
      </c>
      <c r="B34" s="24">
        <v>1055.7203369140625</v>
      </c>
      <c r="C34" s="24">
        <v>784.96173095703125</v>
      </c>
      <c r="D34" s="24">
        <v>3159.814453125</v>
      </c>
      <c r="E34" s="24">
        <v>830.09881591796875</v>
      </c>
      <c r="F34" s="24">
        <v>1407.1024169921875</v>
      </c>
      <c r="G34" s="24">
        <v>17770.900390625</v>
      </c>
    </row>
    <row r="35" spans="1:7" ht="15">
      <c r="A35" s="23">
        <v>44971</v>
      </c>
      <c r="B35" s="24">
        <v>1080.598388671875</v>
      </c>
      <c r="C35" s="24">
        <v>792.22747802734375</v>
      </c>
      <c r="D35" s="24">
        <v>3175.875244140625</v>
      </c>
      <c r="E35" s="24">
        <v>844.39483642578125</v>
      </c>
      <c r="F35" s="24">
        <v>1430.2630615234375</v>
      </c>
      <c r="G35" s="24">
        <v>17929.849609375</v>
      </c>
    </row>
    <row r="36" spans="1:7" ht="15">
      <c r="A36" s="23">
        <v>44972</v>
      </c>
      <c r="B36" s="24">
        <v>1105.0675048828125</v>
      </c>
      <c r="C36" s="24">
        <v>790.61810302734375</v>
      </c>
      <c r="D36" s="24">
        <v>3194.521240234375</v>
      </c>
      <c r="E36" s="24">
        <v>849.761962890625</v>
      </c>
      <c r="F36" s="24">
        <v>1433.674560546875</v>
      </c>
      <c r="G36" s="24">
        <v>18015.849609375</v>
      </c>
    </row>
    <row r="37" spans="1:7" ht="15">
      <c r="A37" s="23">
        <v>44973</v>
      </c>
      <c r="B37" s="24">
        <v>1104.2041015625</v>
      </c>
      <c r="C37" s="24">
        <v>787.7545166015625</v>
      </c>
      <c r="D37" s="24">
        <v>3228.456298828125</v>
      </c>
      <c r="E37" s="24">
        <v>848.44464111328125</v>
      </c>
      <c r="F37" s="24">
        <v>1437.938720703125</v>
      </c>
      <c r="G37" s="24">
        <v>18035.849609375</v>
      </c>
    </row>
    <row r="38" spans="1:7" ht="15">
      <c r="A38" s="23">
        <v>44974</v>
      </c>
      <c r="B38" s="24">
        <v>1108.81640625</v>
      </c>
      <c r="C38" s="24">
        <v>783.802001953125</v>
      </c>
      <c r="D38" s="24">
        <v>3176.82763671875</v>
      </c>
      <c r="E38" s="24">
        <v>841.8089599609375</v>
      </c>
      <c r="F38" s="24">
        <v>1421.7799072265625</v>
      </c>
      <c r="G38" s="24">
        <v>17944.19921875</v>
      </c>
    </row>
    <row r="39" spans="1:7" ht="15">
      <c r="A39" s="23">
        <v>44977</v>
      </c>
      <c r="B39" s="24">
        <v>1097.093017578125</v>
      </c>
      <c r="C39" s="24">
        <v>776.44158935546875</v>
      </c>
      <c r="D39" s="24">
        <v>3164.2607421875</v>
      </c>
      <c r="E39" s="24">
        <v>831.51373291015625</v>
      </c>
      <c r="F39" s="24">
        <v>1429.5450439453125</v>
      </c>
      <c r="G39" s="24">
        <v>17844.599609375</v>
      </c>
    </row>
    <row r="40" spans="1:7" ht="15">
      <c r="A40" s="23">
        <v>44978</v>
      </c>
      <c r="B40" s="24">
        <v>1106.044677734375</v>
      </c>
      <c r="C40" s="24">
        <v>779.3526611328125</v>
      </c>
      <c r="D40" s="24">
        <v>3131.3232421875</v>
      </c>
      <c r="E40" s="24">
        <v>833.56304931640625</v>
      </c>
      <c r="F40" s="24">
        <v>1417.9197998046875</v>
      </c>
      <c r="G40" s="24">
        <v>17826.69921875</v>
      </c>
    </row>
    <row r="41" spans="1:7" ht="15">
      <c r="A41" s="23">
        <v>44979</v>
      </c>
      <c r="B41" s="24">
        <v>1080.9617919921875</v>
      </c>
      <c r="C41" s="24">
        <v>764.063720703125</v>
      </c>
      <c r="D41" s="24">
        <v>3086.4541015625</v>
      </c>
      <c r="E41" s="24">
        <v>818.97418212890625</v>
      </c>
      <c r="F41" s="24">
        <v>1402.030517578125</v>
      </c>
      <c r="G41" s="24">
        <v>17554.30078125</v>
      </c>
    </row>
    <row r="42" spans="1:7" ht="15">
      <c r="A42" s="23">
        <v>44980</v>
      </c>
      <c r="B42" s="24">
        <v>1075.78173828125</v>
      </c>
      <c r="C42" s="24">
        <v>758.8807373046875</v>
      </c>
      <c r="D42" s="24">
        <v>3097.5693359375</v>
      </c>
      <c r="E42" s="24">
        <v>819.462158203125</v>
      </c>
      <c r="F42" s="24">
        <v>1392.0660400390625</v>
      </c>
      <c r="G42" s="24">
        <v>17511.25</v>
      </c>
    </row>
    <row r="43" spans="1:7" ht="15">
      <c r="A43" s="23">
        <v>44981</v>
      </c>
      <c r="B43" s="24">
        <v>1083.1429443359375</v>
      </c>
      <c r="C43" s="24">
        <v>752.11199951171875</v>
      </c>
      <c r="D43" s="24">
        <v>3085.455810546875</v>
      </c>
      <c r="E43" s="24">
        <v>819.413330078125</v>
      </c>
      <c r="F43" s="24">
        <v>1392.0211181640625</v>
      </c>
      <c r="G43" s="24">
        <v>17465.80078125</v>
      </c>
    </row>
    <row r="44" spans="1:7" ht="15">
      <c r="A44" s="23">
        <v>44984</v>
      </c>
      <c r="B44" s="24">
        <v>1075.9407958984375</v>
      </c>
      <c r="C44" s="24">
        <v>753.981689453125</v>
      </c>
      <c r="D44" s="24">
        <v>3023.21044921875</v>
      </c>
      <c r="E44" s="24">
        <v>835.70989990234375</v>
      </c>
      <c r="F44" s="24">
        <v>1354.9013671875</v>
      </c>
      <c r="G44" s="24">
        <v>17392.69921875</v>
      </c>
    </row>
    <row r="45" spans="1:7" ht="15">
      <c r="A45" s="23">
        <v>44985</v>
      </c>
      <c r="B45" s="24">
        <v>1055.356689453125</v>
      </c>
      <c r="C45" s="24">
        <v>757.15301513671875</v>
      </c>
      <c r="D45" s="24">
        <v>3005.97021484375</v>
      </c>
      <c r="E45" s="24">
        <v>834.197265625</v>
      </c>
      <c r="F45" s="24">
        <v>1335.3760986328125</v>
      </c>
      <c r="G45" s="24">
        <v>17303.94921875</v>
      </c>
    </row>
    <row r="46" spans="1:7" ht="15">
      <c r="A46" s="23">
        <v>44986</v>
      </c>
      <c r="B46" s="24">
        <v>1065.0579833984375</v>
      </c>
      <c r="C46" s="24">
        <v>756.41943359375</v>
      </c>
      <c r="D46" s="24">
        <v>3072.072265625</v>
      </c>
      <c r="E46" s="24">
        <v>835.6123046875</v>
      </c>
      <c r="F46" s="24">
        <v>1343.0064697265625</v>
      </c>
      <c r="G46" s="24">
        <v>17450.900390625</v>
      </c>
    </row>
    <row r="47" spans="1:7" ht="15">
      <c r="A47" s="23">
        <v>44987</v>
      </c>
      <c r="B47" s="24">
        <v>1056.947021484375</v>
      </c>
      <c r="C47" s="24">
        <v>749.98187255859375</v>
      </c>
      <c r="D47" s="24">
        <v>3013.77392578125</v>
      </c>
      <c r="E47" s="24">
        <v>833.36785888671875</v>
      </c>
      <c r="F47" s="24">
        <v>1321.5516357421875</v>
      </c>
      <c r="G47" s="24">
        <v>17321.900390625</v>
      </c>
    </row>
    <row r="48" spans="1:7" ht="15">
      <c r="A48" s="23">
        <v>44988</v>
      </c>
      <c r="B48" s="24">
        <v>1083.9154052734375</v>
      </c>
      <c r="C48" s="24">
        <v>764.86846923828125</v>
      </c>
      <c r="D48" s="24">
        <v>3032.556396484375</v>
      </c>
      <c r="E48" s="24">
        <v>847.56640625</v>
      </c>
      <c r="F48" s="24">
        <v>1327.9700927734375</v>
      </c>
      <c r="G48" s="24">
        <v>17594.349609375</v>
      </c>
    </row>
    <row r="49" spans="1:7" ht="15">
      <c r="A49" s="23">
        <v>44991</v>
      </c>
      <c r="B49" s="24">
        <v>1094.5028076171875</v>
      </c>
      <c r="C49" s="24">
        <v>770.26458740234375</v>
      </c>
      <c r="D49" s="24">
        <v>3059.5048828125</v>
      </c>
      <c r="E49" s="24">
        <v>846.78570556640625</v>
      </c>
      <c r="F49" s="24">
        <v>1353.2403564453125</v>
      </c>
      <c r="G49" s="24">
        <v>17711.44921875</v>
      </c>
    </row>
    <row r="50" spans="1:7" ht="15">
      <c r="A50" s="23">
        <v>44993</v>
      </c>
      <c r="B50" s="24">
        <v>1098.433349609375</v>
      </c>
      <c r="C50" s="24">
        <v>771.80291748046875</v>
      </c>
      <c r="D50" s="24">
        <v>3076.336669921875</v>
      </c>
      <c r="E50" s="24">
        <v>851.030517578125</v>
      </c>
      <c r="F50" s="24">
        <v>1339.9991455078125</v>
      </c>
      <c r="G50" s="24">
        <v>17754.400390625</v>
      </c>
    </row>
    <row r="51" spans="1:7" ht="15">
      <c r="A51" s="23">
        <v>44994</v>
      </c>
      <c r="B51" s="24">
        <v>1072.032958984375</v>
      </c>
      <c r="C51" s="24">
        <v>771.8739013671875</v>
      </c>
      <c r="D51" s="24">
        <v>3027.747314453125</v>
      </c>
      <c r="E51" s="24">
        <v>835.270751953125</v>
      </c>
      <c r="F51" s="24">
        <v>1328.9576416015625</v>
      </c>
      <c r="G51" s="24">
        <v>17589.599609375</v>
      </c>
    </row>
    <row r="52" spans="1:7" ht="15">
      <c r="A52" s="23">
        <v>44995</v>
      </c>
      <c r="B52" s="24">
        <v>1055.4246826171875</v>
      </c>
      <c r="C52" s="24">
        <v>751.969970703125</v>
      </c>
      <c r="D52" s="24">
        <v>3022.439208984375</v>
      </c>
      <c r="E52" s="24">
        <v>822.2921142578125</v>
      </c>
      <c r="F52" s="24">
        <v>1321.0130615234375</v>
      </c>
      <c r="G52" s="24">
        <v>17412.900390625</v>
      </c>
    </row>
    <row r="53" spans="1:7" ht="15">
      <c r="A53" s="23">
        <v>44998</v>
      </c>
      <c r="B53" s="24">
        <v>1038.06689453125</v>
      </c>
      <c r="C53" s="24">
        <v>742.4559326171875</v>
      </c>
      <c r="D53" s="24">
        <v>2977.9326171875</v>
      </c>
      <c r="E53" s="24">
        <v>808.3863525390625</v>
      </c>
      <c r="F53" s="24">
        <v>1288.2918701171875</v>
      </c>
      <c r="G53" s="24">
        <v>17154.30078125</v>
      </c>
    </row>
    <row r="54" spans="1:7" ht="15">
      <c r="A54" s="23">
        <v>44999</v>
      </c>
      <c r="B54" s="24">
        <v>1034.1820068359375</v>
      </c>
      <c r="C54" s="24">
        <v>740.46783447265625</v>
      </c>
      <c r="D54" s="24">
        <v>2917.138427734375</v>
      </c>
      <c r="E54" s="24">
        <v>810.2891845703125</v>
      </c>
      <c r="F54" s="24">
        <v>1274.7364501953125</v>
      </c>
      <c r="G54" s="24">
        <v>17043.30078125</v>
      </c>
    </row>
    <row r="55" spans="1:7" ht="15">
      <c r="A55" s="23">
        <v>45000</v>
      </c>
      <c r="B55" s="24">
        <v>1016.5057983398438</v>
      </c>
      <c r="C55" s="24">
        <v>729.8414306640625</v>
      </c>
      <c r="D55" s="24">
        <v>2902.575927734375</v>
      </c>
      <c r="E55" s="24">
        <v>805.94677734375</v>
      </c>
      <c r="F55" s="24">
        <v>1274.422119140625</v>
      </c>
      <c r="G55" s="24">
        <v>16972.150390625</v>
      </c>
    </row>
    <row r="56" spans="1:7" ht="15">
      <c r="A56" s="23">
        <v>45001</v>
      </c>
      <c r="B56" s="24">
        <v>1011.4393310546875</v>
      </c>
      <c r="C56" s="24">
        <v>734.5748291015625</v>
      </c>
      <c r="D56" s="24">
        <v>2889.96337890625</v>
      </c>
      <c r="E56" s="24">
        <v>803.99505615234375</v>
      </c>
      <c r="F56" s="24">
        <v>1260.462890625</v>
      </c>
      <c r="G56" s="24">
        <v>16985.599609375</v>
      </c>
    </row>
    <row r="57" spans="1:7" ht="15">
      <c r="A57" s="23">
        <v>45002</v>
      </c>
      <c r="B57" s="24">
        <v>1010.1670532226563</v>
      </c>
      <c r="C57" s="24">
        <v>744.39654541015625</v>
      </c>
      <c r="D57" s="24">
        <v>2884.791748046875</v>
      </c>
      <c r="E57" s="24">
        <v>816.04669189453125</v>
      </c>
      <c r="F57" s="24">
        <v>1275.3648681640625</v>
      </c>
      <c r="G57" s="24">
        <v>17100.05078125</v>
      </c>
    </row>
    <row r="58" spans="1:7" ht="15">
      <c r="A58" s="23">
        <v>45005</v>
      </c>
      <c r="B58" s="24">
        <v>1000.238525390625</v>
      </c>
      <c r="C58" s="24">
        <v>739.2371826171875</v>
      </c>
      <c r="D58" s="24">
        <v>2852.126708984375</v>
      </c>
      <c r="E58" s="24">
        <v>816.241943359375</v>
      </c>
      <c r="F58" s="24">
        <v>1260.058837890625</v>
      </c>
      <c r="G58" s="24">
        <v>16988.400390625</v>
      </c>
    </row>
    <row r="59" spans="1:7" ht="15">
      <c r="A59" s="23">
        <v>45006</v>
      </c>
      <c r="B59" s="24">
        <v>1031.341796875</v>
      </c>
      <c r="C59" s="24">
        <v>747.615234375</v>
      </c>
      <c r="D59" s="24">
        <v>2818.37255859375</v>
      </c>
      <c r="E59" s="24">
        <v>831.8065185546875</v>
      </c>
      <c r="F59" s="24">
        <v>1248.43359375</v>
      </c>
      <c r="G59" s="24">
        <v>17107.5</v>
      </c>
    </row>
    <row r="60" spans="1:7" ht="15">
      <c r="A60" s="23">
        <v>45007</v>
      </c>
      <c r="B60" s="24">
        <v>1034.4771728515625</v>
      </c>
      <c r="C60" s="24">
        <v>745.88763427734375</v>
      </c>
      <c r="D60" s="24">
        <v>2840.784423828125</v>
      </c>
      <c r="E60" s="24">
        <v>839.4180908203125</v>
      </c>
      <c r="F60" s="24">
        <v>1247.1318359375</v>
      </c>
      <c r="G60" s="24">
        <v>17151.900390625</v>
      </c>
    </row>
    <row r="61" spans="1:7" ht="15">
      <c r="A61" s="23">
        <v>45008</v>
      </c>
      <c r="B61" s="24">
        <v>1021.3905639648438</v>
      </c>
      <c r="C61" s="24">
        <v>739.89984130859375</v>
      </c>
      <c r="D61" s="24">
        <v>2835.203857421875</v>
      </c>
      <c r="E61" s="24">
        <v>834.78289794921875</v>
      </c>
      <c r="F61" s="24">
        <v>1233.9359130859375</v>
      </c>
      <c r="G61" s="24">
        <v>17076.900390625</v>
      </c>
    </row>
    <row r="62" spans="1:7" ht="15">
      <c r="A62" s="23">
        <v>45009</v>
      </c>
      <c r="B62" s="24">
        <v>1001.1699829101563</v>
      </c>
      <c r="C62" s="24">
        <v>738.71649169921875</v>
      </c>
      <c r="D62" s="24">
        <v>2831.437744140625</v>
      </c>
      <c r="E62" s="24">
        <v>831.8065185546875</v>
      </c>
      <c r="F62" s="24">
        <v>1239.411865234375</v>
      </c>
      <c r="G62" s="24">
        <v>16945.05078125</v>
      </c>
    </row>
    <row r="63" spans="1:7" ht="15">
      <c r="A63" s="23">
        <v>45012</v>
      </c>
      <c r="B63" s="24">
        <v>1016.7329711914063</v>
      </c>
      <c r="C63" s="24">
        <v>741.93511962890625</v>
      </c>
      <c r="D63" s="24">
        <v>2833.0712890625</v>
      </c>
      <c r="E63" s="24">
        <v>828.1959228515625</v>
      </c>
      <c r="F63" s="24">
        <v>1246.86279296875</v>
      </c>
      <c r="G63" s="24">
        <v>16985.69921875</v>
      </c>
    </row>
    <row r="64" spans="1:7" ht="15">
      <c r="A64" s="23">
        <v>45013</v>
      </c>
      <c r="B64" s="24">
        <v>1021.4815673828125</v>
      </c>
      <c r="C64" s="24">
        <v>747.97027587890625</v>
      </c>
      <c r="D64" s="24">
        <v>2827.26416015625</v>
      </c>
      <c r="E64" s="24">
        <v>834.0997314453125</v>
      </c>
      <c r="F64" s="24">
        <v>1236.673828125</v>
      </c>
      <c r="G64" s="24">
        <v>16951.69921875</v>
      </c>
    </row>
    <row r="65" spans="1:7" ht="15">
      <c r="A65" s="23">
        <v>45014</v>
      </c>
      <c r="B65" s="24">
        <v>1015.4380493164063</v>
      </c>
      <c r="C65" s="24">
        <v>751.567626953125</v>
      </c>
      <c r="D65" s="24">
        <v>2848.133544921875</v>
      </c>
      <c r="E65" s="24">
        <v>830.4403076171875</v>
      </c>
      <c r="F65" s="24">
        <v>1242.0152587890625</v>
      </c>
      <c r="G65" s="24">
        <v>17080.69921875</v>
      </c>
    </row>
    <row r="66" spans="1:7" ht="15">
      <c r="A66" s="23">
        <v>45016</v>
      </c>
      <c r="B66" s="24">
        <v>1059.2191162109375</v>
      </c>
      <c r="C66" s="24">
        <v>761.86279296875</v>
      </c>
      <c r="D66" s="24">
        <v>2908.927490234375</v>
      </c>
      <c r="E66" s="24">
        <v>856.05615234375</v>
      </c>
      <c r="F66" s="24">
        <v>1281.8731689453125</v>
      </c>
      <c r="G66" s="24">
        <v>17359.75</v>
      </c>
    </row>
    <row r="67" spans="1:7" ht="15">
      <c r="A67" s="23">
        <v>45019</v>
      </c>
      <c r="B67" s="24">
        <v>1059.4007568359375</v>
      </c>
      <c r="C67" s="24">
        <v>762.33612060546875</v>
      </c>
      <c r="D67" s="24">
        <v>2903.574462890625</v>
      </c>
      <c r="E67" s="24">
        <v>862.4478759765625</v>
      </c>
      <c r="F67" s="24">
        <v>1266.5223388671875</v>
      </c>
      <c r="G67" s="24">
        <v>17398.05078125</v>
      </c>
    </row>
    <row r="68" spans="1:7" ht="15">
      <c r="A68" s="23">
        <v>45021</v>
      </c>
      <c r="B68" s="24">
        <v>1056.856201171875</v>
      </c>
      <c r="C68" s="24">
        <v>782.78436279296875</v>
      </c>
      <c r="D68" s="24">
        <v>2939.6875</v>
      </c>
      <c r="E68" s="24">
        <v>863.22857666015625</v>
      </c>
      <c r="F68" s="24">
        <v>1277.92333984375</v>
      </c>
      <c r="G68" s="24">
        <v>17557.05078125</v>
      </c>
    </row>
    <row r="69" spans="1:7" ht="15">
      <c r="A69" s="23">
        <v>45022</v>
      </c>
      <c r="B69" s="24">
        <v>1063.94482421875</v>
      </c>
      <c r="C69" s="24">
        <v>788.74847412109375</v>
      </c>
      <c r="D69" s="24">
        <v>2922.356689453125</v>
      </c>
      <c r="E69" s="24">
        <v>853.86053466796875</v>
      </c>
      <c r="F69" s="24">
        <v>1276.44189453125</v>
      </c>
      <c r="G69" s="24">
        <v>17599.150390625</v>
      </c>
    </row>
    <row r="70" spans="1:7" ht="15">
      <c r="A70" s="23">
        <v>45026</v>
      </c>
      <c r="B70" s="24">
        <v>1056.4017333984375</v>
      </c>
      <c r="C70" s="24">
        <v>785.009033203125</v>
      </c>
      <c r="D70" s="24">
        <v>2961.100830078125</v>
      </c>
      <c r="E70" s="24">
        <v>847.46875</v>
      </c>
      <c r="F70" s="24">
        <v>1281.558837890625</v>
      </c>
      <c r="G70" s="24">
        <v>17624.05078125</v>
      </c>
    </row>
    <row r="71" spans="1:7" ht="15">
      <c r="A71" s="23">
        <v>45027</v>
      </c>
      <c r="B71" s="24">
        <v>1061.6273193359375</v>
      </c>
      <c r="C71" s="24">
        <v>787.30474853515625</v>
      </c>
      <c r="D71" s="24">
        <v>2916.095458984375</v>
      </c>
      <c r="E71" s="24">
        <v>860.5938720703125</v>
      </c>
      <c r="F71" s="24">
        <v>1262.303466796875</v>
      </c>
      <c r="G71" s="24">
        <v>17722.30078125</v>
      </c>
    </row>
    <row r="72" spans="1:7" ht="15">
      <c r="A72" s="23">
        <v>45028</v>
      </c>
      <c r="B72" s="24">
        <v>1066.3076171875</v>
      </c>
      <c r="C72" s="24">
        <v>797.5289306640625</v>
      </c>
      <c r="D72" s="24">
        <v>2941.365478515625</v>
      </c>
      <c r="E72" s="24">
        <v>868.64459228515625</v>
      </c>
      <c r="F72" s="24">
        <v>1282.1873779296875</v>
      </c>
      <c r="G72" s="24">
        <v>17812.400390625</v>
      </c>
    </row>
    <row r="73" spans="1:7" ht="15">
      <c r="A73" s="23">
        <v>45029</v>
      </c>
      <c r="B73" s="24">
        <v>1070.3289794921875</v>
      </c>
      <c r="C73" s="24">
        <v>801.1025390625</v>
      </c>
      <c r="D73" s="24">
        <v>2893.456787109375</v>
      </c>
      <c r="E73" s="24">
        <v>877.28070068359375</v>
      </c>
      <c r="F73" s="24">
        <v>1247.087158203125</v>
      </c>
      <c r="G73" s="24">
        <v>17828</v>
      </c>
    </row>
    <row r="74" spans="1:7" ht="15">
      <c r="A74" s="23">
        <v>45033</v>
      </c>
      <c r="B74" s="24">
        <v>1075.7589111328125</v>
      </c>
      <c r="C74" s="24">
        <v>788.8905029296875</v>
      </c>
      <c r="D74" s="24">
        <v>2848.6787109375</v>
      </c>
      <c r="E74" s="24">
        <v>879.525146484375</v>
      </c>
      <c r="F74" s="24">
        <v>1129.5780029296875</v>
      </c>
      <c r="G74" s="24">
        <v>17706.849609375</v>
      </c>
    </row>
    <row r="75" spans="1:7" ht="15">
      <c r="A75" s="23">
        <v>45034</v>
      </c>
      <c r="B75" s="24">
        <v>1063.44482421875</v>
      </c>
      <c r="C75" s="24">
        <v>785.55340576171875</v>
      </c>
      <c r="D75" s="24">
        <v>2840.73876953125</v>
      </c>
      <c r="E75" s="24">
        <v>875.18255615234375</v>
      </c>
      <c r="F75" s="24">
        <v>1130.5206298828125</v>
      </c>
      <c r="G75" s="24">
        <v>17660.150390625</v>
      </c>
    </row>
    <row r="76" spans="1:7" ht="15">
      <c r="A76" s="23">
        <v>45035</v>
      </c>
      <c r="B76" s="24">
        <v>1068.738525390625</v>
      </c>
      <c r="C76" s="24">
        <v>788.4407958984375</v>
      </c>
      <c r="D76" s="24">
        <v>2803.400390625</v>
      </c>
      <c r="E76" s="24">
        <v>870.35223388671875</v>
      </c>
      <c r="F76" s="24">
        <v>1106.1478271484375</v>
      </c>
      <c r="G76" s="24">
        <v>17618.75</v>
      </c>
    </row>
    <row r="77" spans="1:7" ht="15">
      <c r="A77" s="23">
        <v>45036</v>
      </c>
      <c r="B77" s="24">
        <v>1066.034912109375</v>
      </c>
      <c r="C77" s="24">
        <v>791.37542724609375</v>
      </c>
      <c r="D77" s="24">
        <v>2817.192626953125</v>
      </c>
      <c r="E77" s="24">
        <v>872.7918701171875</v>
      </c>
      <c r="F77" s="24">
        <v>1098.248291015625</v>
      </c>
      <c r="G77" s="24">
        <v>17624.44921875</v>
      </c>
    </row>
    <row r="78" spans="1:7" ht="15">
      <c r="A78" s="23">
        <v>45037</v>
      </c>
      <c r="B78" s="24">
        <v>1067.3753662109375</v>
      </c>
      <c r="C78" s="24">
        <v>792.6534423828125</v>
      </c>
      <c r="D78" s="24">
        <v>2868.05078125</v>
      </c>
      <c r="E78" s="24">
        <v>864.25323486328125</v>
      </c>
      <c r="F78" s="24">
        <v>1101.7940673828125</v>
      </c>
      <c r="G78" s="24">
        <v>17624.05078125</v>
      </c>
    </row>
    <row r="79" spans="1:7" ht="15">
      <c r="A79" s="23">
        <v>45040</v>
      </c>
      <c r="B79" s="24">
        <v>1071.465087890625</v>
      </c>
      <c r="C79" s="24">
        <v>799.06719970703125</v>
      </c>
      <c r="D79" s="24">
        <v>2880.70849609375</v>
      </c>
      <c r="E79" s="24">
        <v>882.89178466796875</v>
      </c>
      <c r="F79" s="24">
        <v>1100.8516845703125</v>
      </c>
      <c r="G79" s="24">
        <v>17743.400390625</v>
      </c>
    </row>
    <row r="80" spans="1:7" ht="15">
      <c r="A80" s="23">
        <v>45041</v>
      </c>
      <c r="B80" s="24">
        <v>1079.6668701171875</v>
      </c>
      <c r="C80" s="24">
        <v>787.7071533203125</v>
      </c>
      <c r="D80" s="24">
        <v>2881.79736328125</v>
      </c>
      <c r="E80" s="24">
        <v>891.38165283203125</v>
      </c>
      <c r="F80" s="24">
        <v>1099.594970703125</v>
      </c>
      <c r="G80" s="24">
        <v>17769.25</v>
      </c>
    </row>
    <row r="81" spans="1:7" ht="15">
      <c r="A81" s="23">
        <v>45042</v>
      </c>
      <c r="B81" s="24">
        <v>1073.328125</v>
      </c>
      <c r="C81" s="24">
        <v>791.328125</v>
      </c>
      <c r="D81" s="24">
        <v>2901.895263671875</v>
      </c>
      <c r="E81" s="24">
        <v>892.84539794921875</v>
      </c>
      <c r="F81" s="24">
        <v>1101.9737548828125</v>
      </c>
      <c r="G81" s="24">
        <v>17813.599609375</v>
      </c>
    </row>
    <row r="82" spans="1:7" ht="15">
      <c r="A82" s="23">
        <v>45043</v>
      </c>
      <c r="B82" s="24">
        <v>1080.1212158203125</v>
      </c>
      <c r="C82" s="24">
        <v>795.68280029296875</v>
      </c>
      <c r="D82" s="24">
        <v>2892.64013671875</v>
      </c>
      <c r="E82" s="24">
        <v>896.16314697265625</v>
      </c>
      <c r="F82" s="24">
        <v>1118.7606201171875</v>
      </c>
      <c r="G82" s="24">
        <v>17915.05078125</v>
      </c>
    </row>
    <row r="83" spans="1:7" ht="15">
      <c r="A83" s="23">
        <v>45044</v>
      </c>
      <c r="B83" s="24">
        <v>1099.8646240234375</v>
      </c>
      <c r="C83" s="24">
        <v>798.806884765625</v>
      </c>
      <c r="D83" s="24">
        <v>2921.041015625</v>
      </c>
      <c r="E83" s="24">
        <v>895.48016357421875</v>
      </c>
      <c r="F83" s="24">
        <v>1124.5958251953125</v>
      </c>
      <c r="G83" s="24">
        <v>18065</v>
      </c>
    </row>
    <row r="84" spans="1:7" ht="15">
      <c r="A84" s="23">
        <v>45048</v>
      </c>
      <c r="B84" s="24">
        <v>1109.20263671875</v>
      </c>
      <c r="C84" s="24">
        <v>798.64117431640625</v>
      </c>
      <c r="D84" s="24">
        <v>2921.17724609375</v>
      </c>
      <c r="E84" s="24">
        <v>899.8226318359375</v>
      </c>
      <c r="F84" s="24">
        <v>1146.7689208984375</v>
      </c>
      <c r="G84" s="24">
        <v>18147.650390625</v>
      </c>
    </row>
    <row r="85" spans="1:7" ht="15">
      <c r="A85" s="23">
        <v>45049</v>
      </c>
      <c r="B85" s="24">
        <v>1099.682861328125</v>
      </c>
      <c r="C85" s="24">
        <v>801.4339599609375</v>
      </c>
      <c r="D85" s="24">
        <v>2885.335693359375</v>
      </c>
      <c r="E85" s="24">
        <v>900.554443359375</v>
      </c>
      <c r="F85" s="24">
        <v>1139.318115234375</v>
      </c>
      <c r="G85" s="24">
        <v>18089.849609375</v>
      </c>
    </row>
    <row r="86" spans="1:7" ht="15">
      <c r="A86" s="23">
        <v>45050</v>
      </c>
      <c r="B86" s="24">
        <v>1112.3604736328125</v>
      </c>
      <c r="C86" s="24">
        <v>817.83514404296875</v>
      </c>
      <c r="D86" s="24">
        <v>2922.356689453125</v>
      </c>
      <c r="E86" s="24">
        <v>899.43231201171875</v>
      </c>
      <c r="F86" s="24">
        <v>1143.26806640625</v>
      </c>
      <c r="G86" s="24">
        <v>18255.80078125</v>
      </c>
    </row>
    <row r="87" spans="1:7" ht="15">
      <c r="A87" s="23">
        <v>45051</v>
      </c>
      <c r="B87" s="24">
        <v>1109.5205078125</v>
      </c>
      <c r="C87" s="24">
        <v>769.4835205078125</v>
      </c>
      <c r="D87" s="24">
        <v>2931.430419921875</v>
      </c>
      <c r="E87" s="24">
        <v>904.555419921875</v>
      </c>
      <c r="F87" s="24">
        <v>1130.296142578125</v>
      </c>
      <c r="G87" s="24">
        <v>18069</v>
      </c>
    </row>
    <row r="88" spans="1:7" ht="15">
      <c r="A88" s="23">
        <v>45054</v>
      </c>
      <c r="B88" s="24">
        <v>1123.2208251953125</v>
      </c>
      <c r="C88" s="24">
        <v>778.38226318359375</v>
      </c>
      <c r="D88" s="24">
        <v>2949.486572265625</v>
      </c>
      <c r="E88" s="24">
        <v>915.2408447265625</v>
      </c>
      <c r="F88" s="24">
        <v>1136.1312255859375</v>
      </c>
      <c r="G88" s="24">
        <v>18264.400390625</v>
      </c>
    </row>
    <row r="89" spans="1:7" ht="15">
      <c r="A89" s="23">
        <v>45055</v>
      </c>
      <c r="B89" s="24">
        <v>1126.6968994140625</v>
      </c>
      <c r="C89" s="24">
        <v>778.40594482421875</v>
      </c>
      <c r="D89" s="24">
        <v>2979.112548828125</v>
      </c>
      <c r="E89" s="24">
        <v>911.82550048828125</v>
      </c>
      <c r="F89" s="24">
        <v>1140.70947265625</v>
      </c>
      <c r="G89" s="24">
        <v>18265.94921875</v>
      </c>
    </row>
    <row r="90" spans="1:7" ht="15">
      <c r="A90" s="23">
        <v>45056</v>
      </c>
      <c r="B90" s="24">
        <v>1134.4442138671875</v>
      </c>
      <c r="C90" s="24">
        <v>782.0032958984375</v>
      </c>
      <c r="D90" s="24">
        <v>2982.333740234375</v>
      </c>
      <c r="E90" s="24">
        <v>913.43560791015625</v>
      </c>
      <c r="F90" s="24">
        <v>1134.021728515625</v>
      </c>
      <c r="G90" s="24">
        <v>18315.099609375</v>
      </c>
    </row>
    <row r="91" spans="1:7" ht="15">
      <c r="A91" s="23">
        <v>45057</v>
      </c>
      <c r="B91" s="24">
        <v>1127.03759765625</v>
      </c>
      <c r="C91" s="24">
        <v>782.52392578125</v>
      </c>
      <c r="D91" s="24">
        <v>2978.114501953125</v>
      </c>
      <c r="E91" s="24">
        <v>916.50946044921875</v>
      </c>
      <c r="F91" s="24">
        <v>1127.60302734375</v>
      </c>
      <c r="G91" s="24">
        <v>18297</v>
      </c>
    </row>
    <row r="92" spans="1:7" ht="15">
      <c r="A92" s="23">
        <v>45058</v>
      </c>
      <c r="B92" s="24">
        <v>1128.8778076171875</v>
      </c>
      <c r="C92" s="24">
        <v>789.434814453125</v>
      </c>
      <c r="D92" s="24">
        <v>2970.9912109375</v>
      </c>
      <c r="E92" s="24">
        <v>921.095947265625</v>
      </c>
      <c r="F92" s="24">
        <v>1117.818115234375</v>
      </c>
      <c r="G92" s="24">
        <v>18314.80078125</v>
      </c>
    </row>
    <row r="93" spans="1:7" ht="15">
      <c r="A93" s="23">
        <v>45061</v>
      </c>
      <c r="B93" s="24">
        <v>1131.1043701171875</v>
      </c>
      <c r="C93" s="24">
        <v>793.2215576171875</v>
      </c>
      <c r="D93" s="24">
        <v>2953.52490234375</v>
      </c>
      <c r="E93" s="24">
        <v>922.9012451171875</v>
      </c>
      <c r="F93" s="24">
        <v>1129.6229248046875</v>
      </c>
      <c r="G93" s="24">
        <v>18398.849609375</v>
      </c>
    </row>
    <row r="94" spans="1:7" ht="15">
      <c r="A94" s="23">
        <v>45062</v>
      </c>
      <c r="B94" s="24">
        <v>1114.9962158203125</v>
      </c>
      <c r="C94" s="24">
        <v>788.6732177734375</v>
      </c>
      <c r="D94" s="24">
        <v>2956.33740234375</v>
      </c>
      <c r="E94" s="24">
        <v>923.4866943359375</v>
      </c>
      <c r="F94" s="24">
        <v>1134.96435546875</v>
      </c>
      <c r="G94" s="24">
        <v>18286.5</v>
      </c>
    </row>
    <row r="95" spans="1:7" ht="15">
      <c r="A95" s="23">
        <v>45063</v>
      </c>
      <c r="B95" s="24">
        <v>1108.4073486328125</v>
      </c>
      <c r="C95" s="24">
        <v>784.43609619140625</v>
      </c>
      <c r="D95" s="24">
        <v>2911.468505859375</v>
      </c>
      <c r="E95" s="24">
        <v>916.6558837890625</v>
      </c>
      <c r="F95" s="24">
        <v>1119.34423828125</v>
      </c>
      <c r="G95" s="24">
        <v>18181.75</v>
      </c>
    </row>
    <row r="96" spans="1:7" ht="15">
      <c r="A96" s="23">
        <v>45064</v>
      </c>
      <c r="B96" s="24">
        <v>1106.0218505859375</v>
      </c>
      <c r="C96" s="24">
        <v>787.572021484375</v>
      </c>
      <c r="D96" s="24">
        <v>2903.4375</v>
      </c>
      <c r="E96" s="24">
        <v>923.6331787109375</v>
      </c>
      <c r="F96" s="24">
        <v>1118.5362548828125</v>
      </c>
      <c r="G96" s="24">
        <v>18129.94921875</v>
      </c>
    </row>
    <row r="97" spans="1:7" ht="15">
      <c r="A97" s="23">
        <v>45065</v>
      </c>
      <c r="B97" s="24">
        <v>1109.6114501953125</v>
      </c>
      <c r="C97" s="24">
        <v>788.481689453125</v>
      </c>
      <c r="D97" s="24">
        <v>2924.3076171875</v>
      </c>
      <c r="E97" s="24">
        <v>931.24468994140625</v>
      </c>
      <c r="F97" s="24">
        <v>1139.09375</v>
      </c>
      <c r="G97" s="24">
        <v>18203.400390625</v>
      </c>
    </row>
    <row r="98" spans="1:7" ht="15">
      <c r="A98" s="23">
        <v>45068</v>
      </c>
      <c r="B98" s="24">
        <v>1115.5413818359375</v>
      </c>
      <c r="C98" s="24">
        <v>785.68096923828125</v>
      </c>
      <c r="D98" s="24">
        <v>2993.13134765625</v>
      </c>
      <c r="E98" s="24">
        <v>927.39013671875</v>
      </c>
      <c r="F98" s="24">
        <v>1160.548828125</v>
      </c>
      <c r="G98" s="24">
        <v>18314.400390625</v>
      </c>
    </row>
    <row r="99" spans="1:7" ht="15">
      <c r="A99" s="23">
        <v>45069</v>
      </c>
      <c r="B99" s="24">
        <v>1115.3370361328125</v>
      </c>
      <c r="C99" s="24">
        <v>783.83758544921875</v>
      </c>
      <c r="D99" s="24">
        <v>2991.634033203125</v>
      </c>
      <c r="E99" s="24">
        <v>930.366455078125</v>
      </c>
      <c r="F99" s="24">
        <v>1167.05712890625</v>
      </c>
      <c r="G99" s="24">
        <v>18348</v>
      </c>
    </row>
    <row r="100" spans="1:7" ht="15">
      <c r="A100" s="23">
        <v>45070</v>
      </c>
      <c r="B100" s="24">
        <v>1108.8389892578125</v>
      </c>
      <c r="C100" s="24">
        <v>773.59210205078125</v>
      </c>
      <c r="D100" s="24">
        <v>2997.3505859375</v>
      </c>
      <c r="E100" s="24">
        <v>917.9244384765625</v>
      </c>
      <c r="F100" s="24">
        <v>1165.80029296875</v>
      </c>
      <c r="G100" s="24">
        <v>18285.400390625</v>
      </c>
    </row>
    <row r="101" spans="1:7" ht="15">
      <c r="A101" s="23">
        <v>45071</v>
      </c>
      <c r="B101" s="24">
        <v>1108.70263671875</v>
      </c>
      <c r="C101" s="24">
        <v>770.6236572265625</v>
      </c>
      <c r="D101" s="24">
        <v>2988.41259765625</v>
      </c>
      <c r="E101" s="24">
        <v>917.143798828125</v>
      </c>
      <c r="F101" s="24">
        <v>1170.917236328125</v>
      </c>
      <c r="G101" s="24">
        <v>18321.150390625</v>
      </c>
    </row>
    <row r="102" spans="1:7" ht="15">
      <c r="A102" s="23">
        <v>45072</v>
      </c>
      <c r="B102" s="24">
        <v>1138.94287109375</v>
      </c>
      <c r="C102" s="24">
        <v>773.59210205078125</v>
      </c>
      <c r="D102" s="24">
        <v>3020.533447265625</v>
      </c>
      <c r="E102" s="24">
        <v>927.731689453125</v>
      </c>
      <c r="F102" s="24">
        <v>1182.6768798828125</v>
      </c>
      <c r="G102" s="24">
        <v>18499.349609375</v>
      </c>
    </row>
    <row r="103" spans="1:7" ht="15">
      <c r="A103" s="23">
        <v>45075</v>
      </c>
      <c r="B103" s="24">
        <v>1145.3497314453125</v>
      </c>
      <c r="C103" s="24">
        <v>783.023681640625</v>
      </c>
      <c r="D103" s="24">
        <v>3012.775390625</v>
      </c>
      <c r="E103" s="24">
        <v>925.24334716796875</v>
      </c>
      <c r="F103" s="24">
        <v>1179.9390869140625</v>
      </c>
      <c r="G103" s="24">
        <v>18598.650390625</v>
      </c>
    </row>
    <row r="104" spans="1:7" ht="15">
      <c r="A104" s="23">
        <v>45076</v>
      </c>
      <c r="B104" s="24">
        <v>1145.0543212890625</v>
      </c>
      <c r="C104" s="24">
        <v>783.62225341796875</v>
      </c>
      <c r="D104" s="24">
        <v>3009.009521484375</v>
      </c>
      <c r="E104" s="24">
        <v>926.99981689453125</v>
      </c>
      <c r="F104" s="24">
        <v>1188.4222412109375</v>
      </c>
      <c r="G104" s="24">
        <v>18633.849609375</v>
      </c>
    </row>
    <row r="105" spans="1:7" ht="15">
      <c r="A105" s="23">
        <v>45077</v>
      </c>
      <c r="B105" s="24">
        <v>1122.3118896484375</v>
      </c>
      <c r="C105" s="24">
        <v>771.22216796875</v>
      </c>
      <c r="D105" s="24">
        <v>2984.78369140625</v>
      </c>
      <c r="E105" s="24">
        <v>926.2191162109375</v>
      </c>
      <c r="F105" s="24">
        <v>1183.4403076171875</v>
      </c>
      <c r="G105" s="24">
        <v>18534.400390625</v>
      </c>
    </row>
    <row r="106" spans="1:7" ht="15">
      <c r="A106" s="23">
        <v>45078</v>
      </c>
      <c r="B106" s="24">
        <v>1119.2901611328125</v>
      </c>
      <c r="C106" s="24">
        <v>767.942626953125</v>
      </c>
      <c r="D106" s="24">
        <v>3016.087646484375</v>
      </c>
      <c r="E106" s="24">
        <v>913.48431396484375</v>
      </c>
      <c r="F106" s="24">
        <v>1184.517578125</v>
      </c>
      <c r="G106" s="24">
        <v>18487.75</v>
      </c>
    </row>
    <row r="107" spans="1:7" ht="15">
      <c r="A107" s="23">
        <v>45079</v>
      </c>
      <c r="B107" s="24">
        <v>1115.6322021484375</v>
      </c>
      <c r="C107" s="24">
        <v>769.1395263671875</v>
      </c>
      <c r="D107" s="24">
        <v>2999.391845703125</v>
      </c>
      <c r="E107" s="24">
        <v>915.48486328125</v>
      </c>
      <c r="F107" s="24">
        <v>1181.7882080078125</v>
      </c>
      <c r="G107" s="24">
        <v>18534.099609375</v>
      </c>
    </row>
    <row r="108" spans="1:7" ht="15">
      <c r="A108" s="23">
        <v>45082</v>
      </c>
      <c r="B108" s="24">
        <v>1125.6517333984375</v>
      </c>
      <c r="C108" s="24">
        <v>768.1341552734375</v>
      </c>
      <c r="D108" s="24">
        <v>2984.23876953125</v>
      </c>
      <c r="E108" s="24">
        <v>923.8770751953125</v>
      </c>
      <c r="F108" s="24">
        <v>1186.791748046875</v>
      </c>
      <c r="G108" s="24">
        <v>18593.849609375</v>
      </c>
    </row>
    <row r="109" spans="1:7" ht="15">
      <c r="A109" s="23">
        <v>45083</v>
      </c>
      <c r="B109" s="24">
        <v>1126.6058349609375</v>
      </c>
      <c r="C109" s="24">
        <v>765.74017333984375</v>
      </c>
      <c r="D109" s="24">
        <v>2932.88232421875</v>
      </c>
      <c r="E109" s="24">
        <v>919.33941650390625</v>
      </c>
      <c r="F109" s="24">
        <v>1163.5926513671875</v>
      </c>
      <c r="G109" s="24">
        <v>18599</v>
      </c>
    </row>
    <row r="110" spans="1:7" ht="15">
      <c r="A110" s="23">
        <v>45084</v>
      </c>
      <c r="B110" s="24">
        <v>1135.1485595703125</v>
      </c>
      <c r="C110" s="24">
        <v>769.71392822265625</v>
      </c>
      <c r="D110" s="24">
        <v>2971.535400390625</v>
      </c>
      <c r="E110" s="24">
        <v>917.4853515625</v>
      </c>
      <c r="F110" s="24">
        <v>1172.644775390625</v>
      </c>
      <c r="G110" s="24">
        <v>18726.400390625</v>
      </c>
    </row>
    <row r="111" spans="1:7" ht="15">
      <c r="A111" s="23">
        <v>45085</v>
      </c>
      <c r="B111" s="24">
        <v>1135.830078125</v>
      </c>
      <c r="C111" s="24">
        <v>770.19268798828125</v>
      </c>
      <c r="D111" s="24">
        <v>2936.647705078125</v>
      </c>
      <c r="E111" s="24">
        <v>915.2408447265625</v>
      </c>
      <c r="F111" s="24">
        <v>1167.0499267578125</v>
      </c>
      <c r="G111" s="24">
        <v>18634.55078125</v>
      </c>
    </row>
    <row r="112" spans="1:7" ht="15">
      <c r="A112" s="23">
        <v>45086</v>
      </c>
      <c r="B112" s="24">
        <v>1127.7874755859375</v>
      </c>
      <c r="C112" s="24">
        <v>771.10247802734375</v>
      </c>
      <c r="D112" s="24">
        <v>2912.0126953125</v>
      </c>
      <c r="E112" s="24">
        <v>915.38726806640625</v>
      </c>
      <c r="F112" s="24">
        <v>1151.72021484375</v>
      </c>
      <c r="G112" s="24">
        <v>18563.400390625</v>
      </c>
    </row>
    <row r="113" spans="1:7" ht="15">
      <c r="A113" s="23">
        <v>45089</v>
      </c>
      <c r="B113" s="24">
        <v>1128.787109375</v>
      </c>
      <c r="C113" s="24">
        <v>766.41046142578125</v>
      </c>
      <c r="D113" s="24">
        <v>2946.129638671875</v>
      </c>
      <c r="E113" s="24">
        <v>913.3380126953125</v>
      </c>
      <c r="F113" s="24">
        <v>1175.374267578125</v>
      </c>
      <c r="G113" s="24">
        <v>18601.5</v>
      </c>
    </row>
    <row r="114" spans="1:7" ht="15">
      <c r="A114" s="23">
        <v>45090</v>
      </c>
      <c r="B114" s="24">
        <v>1145.463134765625</v>
      </c>
      <c r="C114" s="24">
        <v>767.70318603515625</v>
      </c>
      <c r="D114" s="24">
        <v>2943.225830078125</v>
      </c>
      <c r="E114" s="24">
        <v>920.75439453125</v>
      </c>
      <c r="F114" s="24">
        <v>1187.110107421875</v>
      </c>
      <c r="G114" s="24">
        <v>18716.150390625</v>
      </c>
    </row>
    <row r="115" spans="1:7" ht="15">
      <c r="A115" s="23">
        <v>45091</v>
      </c>
      <c r="B115" s="24">
        <v>1159.549560546875</v>
      </c>
      <c r="C115" s="24">
        <v>766.8653564453125</v>
      </c>
      <c r="D115" s="24">
        <v>2949.894775390625</v>
      </c>
      <c r="E115" s="24">
        <v>917.094970703125</v>
      </c>
      <c r="F115" s="24">
        <v>1183.0618896484375</v>
      </c>
      <c r="G115" s="24">
        <v>18755.900390625</v>
      </c>
    </row>
    <row r="116" spans="1:7" ht="15">
      <c r="A116" s="23">
        <v>45092</v>
      </c>
      <c r="B116" s="24">
        <v>1159.867919921875</v>
      </c>
      <c r="C116" s="24">
        <v>757.43365478515625</v>
      </c>
      <c r="D116" s="24">
        <v>2940.068359375</v>
      </c>
      <c r="E116" s="24">
        <v>904.2138671875</v>
      </c>
      <c r="F116" s="24">
        <v>1170.6890869140625</v>
      </c>
      <c r="G116" s="24">
        <v>18688.099609375</v>
      </c>
    </row>
    <row r="117" spans="1:7" ht="15">
      <c r="A117" s="23">
        <v>45093</v>
      </c>
      <c r="B117" s="24">
        <v>1171.159423828125</v>
      </c>
      <c r="C117" s="24">
        <v>767.3441162109375</v>
      </c>
      <c r="D117" s="24">
        <v>2902.2236328125</v>
      </c>
      <c r="E117" s="24">
        <v>911.63037109375</v>
      </c>
      <c r="F117" s="24">
        <v>1175.101318359375</v>
      </c>
      <c r="G117" s="24">
        <v>18826</v>
      </c>
    </row>
    <row r="118" spans="1:7" ht="15">
      <c r="A118" s="23">
        <v>45096</v>
      </c>
      <c r="B118" s="24">
        <v>1159.52685546875</v>
      </c>
      <c r="C118" s="24">
        <v>768.01446533203125</v>
      </c>
      <c r="D118" s="24">
        <v>2934.675048828125</v>
      </c>
      <c r="E118" s="24">
        <v>900.8472900390625</v>
      </c>
      <c r="F118" s="24">
        <v>1177.2392578125</v>
      </c>
      <c r="G118" s="24">
        <v>18755.44921875</v>
      </c>
    </row>
    <row r="119" spans="1:7" ht="15">
      <c r="A119" s="23">
        <v>45097</v>
      </c>
      <c r="B119" s="24">
        <v>1161.9351806640625</v>
      </c>
      <c r="C119" s="24">
        <v>769.61822509765625</v>
      </c>
      <c r="D119" s="24">
        <v>2950.489501953125</v>
      </c>
      <c r="E119" s="24">
        <v>903.18927001953125</v>
      </c>
      <c r="F119" s="24">
        <v>1185.7911376953125</v>
      </c>
      <c r="G119" s="24">
        <v>18816.69921875</v>
      </c>
    </row>
    <row r="120" spans="1:7" ht="15">
      <c r="A120" s="23">
        <v>45098</v>
      </c>
      <c r="B120" s="24">
        <v>1165.206787109375</v>
      </c>
      <c r="C120" s="24">
        <v>783.07159423828125</v>
      </c>
      <c r="D120" s="24">
        <v>2978.369384765625</v>
      </c>
      <c r="E120" s="24">
        <v>902.35980224609375</v>
      </c>
      <c r="F120" s="24">
        <v>1182.1065673828125</v>
      </c>
      <c r="G120" s="24">
        <v>18856.849609375</v>
      </c>
    </row>
    <row r="121" spans="1:7" ht="15">
      <c r="A121" s="23">
        <v>45099</v>
      </c>
      <c r="B121" s="24">
        <v>1152.1201171875</v>
      </c>
      <c r="C121" s="24">
        <v>786.9017333984375</v>
      </c>
      <c r="D121" s="24">
        <v>2960.361572265625</v>
      </c>
      <c r="E121" s="24">
        <v>903.38446044921875</v>
      </c>
      <c r="F121" s="24">
        <v>1165.91259765625</v>
      </c>
      <c r="G121" s="24">
        <v>18771.25</v>
      </c>
    </row>
    <row r="122" spans="1:7" ht="15">
      <c r="A122" s="23">
        <v>45100</v>
      </c>
      <c r="B122" s="24">
        <v>1142.6915283203125</v>
      </c>
      <c r="C122" s="24">
        <v>786.8538818359375</v>
      </c>
      <c r="D122" s="24">
        <v>2940.1142578125</v>
      </c>
      <c r="E122" s="24">
        <v>901.18878173828125</v>
      </c>
      <c r="F122" s="24">
        <v>1150.85595703125</v>
      </c>
      <c r="G122" s="24">
        <v>18665.5</v>
      </c>
    </row>
    <row r="123" spans="1:7" ht="15">
      <c r="A123" s="23">
        <v>45103</v>
      </c>
      <c r="B123" s="24">
        <v>1133.96728515625</v>
      </c>
      <c r="C123" s="24">
        <v>783.04766845703125</v>
      </c>
      <c r="D123" s="24">
        <v>2915.70703125</v>
      </c>
      <c r="E123" s="24">
        <v>905.04339599609375</v>
      </c>
      <c r="F123" s="24">
        <v>1155.7232666015625</v>
      </c>
      <c r="G123" s="24">
        <v>18691.19921875</v>
      </c>
    </row>
    <row r="124" spans="1:7" ht="15">
      <c r="A124" s="23">
        <v>45104</v>
      </c>
      <c r="B124" s="24">
        <v>1134.3760986328125</v>
      </c>
      <c r="C124" s="24">
        <v>794.083251953125</v>
      </c>
      <c r="D124" s="24">
        <v>2922.745849609375</v>
      </c>
      <c r="E124" s="24">
        <v>913.48431396484375</v>
      </c>
      <c r="F124" s="24">
        <v>1163.729248046875</v>
      </c>
      <c r="G124" s="24">
        <v>18817.400390625</v>
      </c>
    </row>
    <row r="125" spans="1:7" ht="15">
      <c r="A125" s="23">
        <v>45105</v>
      </c>
      <c r="B125" s="24">
        <v>1149.3939208984375</v>
      </c>
      <c r="C125" s="24">
        <v>802.48565673828125</v>
      </c>
      <c r="D125" s="24">
        <v>2939.29150390625</v>
      </c>
      <c r="E125" s="24">
        <v>914.8017578125</v>
      </c>
      <c r="F125" s="24">
        <v>1176.6478271484375</v>
      </c>
      <c r="G125" s="24">
        <v>18972.099609375</v>
      </c>
    </row>
    <row r="126" spans="1:7" ht="15">
      <c r="A126" s="23">
        <v>45107</v>
      </c>
      <c r="B126" s="24">
        <v>1158.8226318359375</v>
      </c>
      <c r="C126" s="24">
        <v>814.5745849609375</v>
      </c>
      <c r="D126" s="24">
        <v>3018.636474609375</v>
      </c>
      <c r="E126" s="24">
        <v>912.02056884765625</v>
      </c>
      <c r="F126" s="24">
        <v>1214.99462890625</v>
      </c>
      <c r="G126" s="24">
        <v>19189.05078125</v>
      </c>
    </row>
    <row r="127" spans="1:7" ht="15">
      <c r="A127" s="23">
        <v>45110</v>
      </c>
      <c r="B127" s="24">
        <v>1188.5628662109375</v>
      </c>
      <c r="C127" s="24">
        <v>823.3839111328125</v>
      </c>
      <c r="D127" s="24">
        <v>2991.258544921875</v>
      </c>
      <c r="E127" s="24">
        <v>919.77850341796875</v>
      </c>
      <c r="F127" s="24">
        <v>1213.35693359375</v>
      </c>
      <c r="G127" s="24">
        <v>19322.55078125</v>
      </c>
    </row>
    <row r="128" spans="1:7" ht="15">
      <c r="A128" s="23">
        <v>45111</v>
      </c>
      <c r="B128" s="24">
        <v>1176.31689453125</v>
      </c>
      <c r="C128" s="24">
        <v>827.40545654296875</v>
      </c>
      <c r="D128" s="24">
        <v>3024.669677734375</v>
      </c>
      <c r="E128" s="24">
        <v>921.8765869140625</v>
      </c>
      <c r="F128" s="24">
        <v>1223.7738037109375</v>
      </c>
      <c r="G128" s="24">
        <v>19389</v>
      </c>
    </row>
    <row r="129" spans="1:7" ht="15">
      <c r="A129" s="23">
        <v>45112</v>
      </c>
      <c r="B129" s="24">
        <v>1174.3856201171875</v>
      </c>
      <c r="C129" s="24">
        <v>801.1212158203125</v>
      </c>
      <c r="D129" s="24">
        <v>3034.816162109375</v>
      </c>
      <c r="E129" s="24">
        <v>934.85528564453125</v>
      </c>
      <c r="F129" s="24">
        <v>1225.72998046875</v>
      </c>
      <c r="G129" s="24">
        <v>19398.5</v>
      </c>
    </row>
    <row r="130" spans="1:7" ht="15">
      <c r="A130" s="23">
        <v>45113</v>
      </c>
      <c r="B130" s="24">
        <v>1199.0367431640625</v>
      </c>
      <c r="C130" s="24">
        <v>801.93499755859375</v>
      </c>
      <c r="D130" s="24">
        <v>3037.512939453125</v>
      </c>
      <c r="E130" s="24">
        <v>936.22149658203125</v>
      </c>
      <c r="F130" s="24">
        <v>1222.63671875</v>
      </c>
      <c r="G130" s="24">
        <v>19497.30078125</v>
      </c>
    </row>
    <row r="131" spans="1:7" ht="15">
      <c r="A131" s="23">
        <v>45114</v>
      </c>
      <c r="B131" s="24">
        <v>1196.6966552734375</v>
      </c>
      <c r="C131" s="24">
        <v>794.94500732421875</v>
      </c>
      <c r="D131" s="24">
        <v>3043.3173828125</v>
      </c>
      <c r="E131" s="24">
        <v>923.5355224609375</v>
      </c>
      <c r="F131" s="24">
        <v>1210.1728515625</v>
      </c>
      <c r="G131" s="24">
        <v>19331.80078125</v>
      </c>
    </row>
    <row r="132" spans="1:7" ht="15">
      <c r="A132" s="23">
        <v>45117</v>
      </c>
      <c r="B132" s="24">
        <v>1242.7947998046875</v>
      </c>
      <c r="C132" s="24">
        <v>793.05389404296875</v>
      </c>
      <c r="D132" s="24">
        <v>2990.938720703125</v>
      </c>
      <c r="E132" s="24">
        <v>925.48724365234375</v>
      </c>
      <c r="F132" s="24">
        <v>1209.217529296875</v>
      </c>
      <c r="G132" s="24">
        <v>19355.900390625</v>
      </c>
    </row>
    <row r="133" spans="1:7" ht="15">
      <c r="A133" s="23">
        <v>45118</v>
      </c>
      <c r="B133" s="24">
        <v>1256.2677001953125</v>
      </c>
      <c r="C133" s="24">
        <v>789.19989013671875</v>
      </c>
      <c r="D133" s="24">
        <v>2991.350341796875</v>
      </c>
      <c r="E133" s="24">
        <v>922.12060546875</v>
      </c>
      <c r="F133" s="24">
        <v>1226.9124755859375</v>
      </c>
      <c r="G133" s="24">
        <v>19439.400390625</v>
      </c>
    </row>
    <row r="134" spans="1:7" ht="15">
      <c r="A134" s="23">
        <v>45119</v>
      </c>
      <c r="B134" s="24">
        <v>1257.653564453125</v>
      </c>
      <c r="C134" s="24">
        <v>781.80291748046875</v>
      </c>
      <c r="D134" s="24">
        <v>2979.923583984375</v>
      </c>
      <c r="E134" s="24">
        <v>921.58392333984375</v>
      </c>
      <c r="F134" s="24">
        <v>1212.9932861328125</v>
      </c>
      <c r="G134" s="24">
        <v>19384.30078125</v>
      </c>
    </row>
    <row r="135" spans="1:7" ht="15">
      <c r="A135" s="23">
        <v>45120</v>
      </c>
      <c r="B135" s="24">
        <v>1246.4073486328125</v>
      </c>
      <c r="C135" s="24">
        <v>785.70489501953125</v>
      </c>
      <c r="D135" s="24">
        <v>3053.647216796875</v>
      </c>
      <c r="E135" s="24">
        <v>932.61083984375</v>
      </c>
      <c r="F135" s="24">
        <v>1241.923583984375</v>
      </c>
      <c r="G135" s="24">
        <v>19413.75</v>
      </c>
    </row>
    <row r="136" spans="1:7" ht="15">
      <c r="A136" s="23">
        <v>45121</v>
      </c>
      <c r="B136" s="24">
        <v>1245.3623046875</v>
      </c>
      <c r="C136" s="24">
        <v>787.33258056640625</v>
      </c>
      <c r="D136" s="24">
        <v>3212.794921875</v>
      </c>
      <c r="E136" s="24">
        <v>936.85577392578125</v>
      </c>
      <c r="F136" s="24">
        <v>1297.2830810546875</v>
      </c>
      <c r="G136" s="24">
        <v>19564.5</v>
      </c>
    </row>
    <row r="137" spans="1:7" ht="15">
      <c r="A137" s="23">
        <v>45124</v>
      </c>
      <c r="B137" s="24">
        <v>1270.8084716796875</v>
      </c>
      <c r="C137" s="24">
        <v>803.80230712890625</v>
      </c>
      <c r="D137" s="24">
        <v>3191.8154296875</v>
      </c>
      <c r="E137" s="24">
        <v>945.29681396484375</v>
      </c>
      <c r="F137" s="24">
        <v>1294.5538330078125</v>
      </c>
      <c r="G137" s="24">
        <v>19711.44921875</v>
      </c>
    </row>
    <row r="138" spans="1:7" ht="15">
      <c r="A138" s="23">
        <v>45125</v>
      </c>
      <c r="B138" s="24">
        <v>1281.6002197265625</v>
      </c>
      <c r="C138" s="24">
        <v>803.1319580078125</v>
      </c>
      <c r="D138" s="24">
        <v>3196.523193359375</v>
      </c>
      <c r="E138" s="24">
        <v>951.88372802734375</v>
      </c>
      <c r="F138" s="24">
        <v>1342.089111328125</v>
      </c>
      <c r="G138" s="24">
        <v>19749.25</v>
      </c>
    </row>
    <row r="139" spans="1:7" ht="15">
      <c r="A139" s="23">
        <v>45126</v>
      </c>
      <c r="B139" s="24">
        <v>1291.3243408203125</v>
      </c>
      <c r="C139" s="24">
        <v>806.7706298828125</v>
      </c>
      <c r="D139" s="24">
        <v>3172.025390625</v>
      </c>
      <c r="E139" s="24">
        <v>949.93206787109375</v>
      </c>
      <c r="F139" s="24">
        <v>1341.861572265625</v>
      </c>
      <c r="G139" s="24">
        <v>19833.150390625</v>
      </c>
    </row>
    <row r="140" spans="1:7" ht="15">
      <c r="A140" s="23">
        <v>45127</v>
      </c>
      <c r="B140" s="24">
        <v>1289.760498046875</v>
      </c>
      <c r="C140" s="24">
        <v>808.51812744140625</v>
      </c>
      <c r="D140" s="24">
        <v>3174.08740234375</v>
      </c>
      <c r="E140" s="24">
        <v>971.54693603515625</v>
      </c>
      <c r="F140" s="24">
        <v>1318.708251953125</v>
      </c>
      <c r="G140" s="24">
        <v>19979.150390625</v>
      </c>
    </row>
    <row r="141" spans="1:7" ht="15">
      <c r="A141" s="23">
        <v>45128</v>
      </c>
      <c r="B141" s="24">
        <v>1249.834716796875</v>
      </c>
      <c r="C141" s="24">
        <v>802.29412841796875</v>
      </c>
      <c r="D141" s="24">
        <v>3087.020751953125</v>
      </c>
      <c r="E141" s="24">
        <v>972.9130859375</v>
      </c>
      <c r="F141" s="24">
        <v>1211.4464111328125</v>
      </c>
      <c r="G141" s="24">
        <v>19745</v>
      </c>
    </row>
    <row r="142" spans="1:7" ht="15">
      <c r="A142" s="23">
        <v>45131</v>
      </c>
      <c r="B142" s="24">
        <v>1224.554931640625</v>
      </c>
      <c r="C142" s="24">
        <v>803.56280517578125</v>
      </c>
      <c r="D142" s="24">
        <v>3111.26171875</v>
      </c>
      <c r="E142" s="24">
        <v>968.0338134765625</v>
      </c>
      <c r="F142" s="24">
        <v>1215.995361328125</v>
      </c>
      <c r="G142" s="24">
        <v>19672.349609375</v>
      </c>
    </row>
    <row r="143" spans="1:7" ht="15">
      <c r="A143" s="23">
        <v>45132</v>
      </c>
      <c r="B143" s="24">
        <v>1223.767333984375</v>
      </c>
      <c r="C143" s="24">
        <v>812.27642822265625</v>
      </c>
      <c r="D143" s="24">
        <v>3115.29443359375</v>
      </c>
      <c r="E143" s="24">
        <v>970.66864013671875</v>
      </c>
      <c r="F143" s="24">
        <v>1214.17578125</v>
      </c>
      <c r="G143" s="24">
        <v>19680.599609375</v>
      </c>
    </row>
    <row r="144" spans="1:7" ht="15">
      <c r="A144" s="23">
        <v>45133</v>
      </c>
      <c r="B144" s="24">
        <v>1243.65625</v>
      </c>
      <c r="C144" s="24">
        <v>809.45172119140625</v>
      </c>
      <c r="D144" s="24">
        <v>3105.3505859375</v>
      </c>
      <c r="E144" s="24">
        <v>972.37640380859375</v>
      </c>
      <c r="F144" s="24">
        <v>1227.139892578125</v>
      </c>
      <c r="G144" s="24">
        <v>19778.30078125</v>
      </c>
    </row>
    <row r="145" spans="1:7" ht="15">
      <c r="A145" s="23">
        <v>45134</v>
      </c>
      <c r="B145" s="24">
        <v>1232.087158203125</v>
      </c>
      <c r="C145" s="24">
        <v>801.04937744140625</v>
      </c>
      <c r="D145" s="24">
        <v>3113.23193359375</v>
      </c>
      <c r="E145" s="24">
        <v>966.326171875</v>
      </c>
      <c r="F145" s="24">
        <v>1231.0521240234375</v>
      </c>
      <c r="G145" s="24">
        <v>19659.900390625</v>
      </c>
    </row>
    <row r="146" spans="1:7" ht="15">
      <c r="A146" s="23">
        <v>45135</v>
      </c>
      <c r="B146" s="24">
        <v>1244.468505859375</v>
      </c>
      <c r="C146" s="24">
        <v>786.8538818359375</v>
      </c>
      <c r="D146" s="24">
        <v>3075.197998046875</v>
      </c>
      <c r="E146" s="24">
        <v>972.1324462890625</v>
      </c>
      <c r="F146" s="24">
        <v>1219.5435791015625</v>
      </c>
      <c r="G146" s="24">
        <v>19646.05078125</v>
      </c>
    </row>
    <row r="147" spans="1:7" ht="15">
      <c r="A147" s="23">
        <v>45138</v>
      </c>
      <c r="B147" s="24">
        <v>1255.0037841796875</v>
      </c>
      <c r="C147" s="24">
        <v>790.54034423828125</v>
      </c>
      <c r="D147" s="24">
        <v>3135.731689453125</v>
      </c>
      <c r="E147" s="24">
        <v>974.181640625</v>
      </c>
      <c r="F147" s="24">
        <v>1233.371826171875</v>
      </c>
      <c r="G147" s="24">
        <v>19753.80078125</v>
      </c>
    </row>
    <row r="148" spans="1:7" ht="15">
      <c r="A148" s="23">
        <v>45139</v>
      </c>
      <c r="B148" s="24">
        <v>1237.25634765625</v>
      </c>
      <c r="C148" s="24">
        <v>795.83074951171875</v>
      </c>
      <c r="D148" s="24">
        <v>3163.77685546875</v>
      </c>
      <c r="E148" s="24">
        <v>970.52227783203125</v>
      </c>
      <c r="F148" s="24">
        <v>1242.0146484375</v>
      </c>
      <c r="G148" s="24">
        <v>19733.55078125</v>
      </c>
    </row>
    <row r="149" spans="1:7" ht="15">
      <c r="A149" s="23">
        <v>45140</v>
      </c>
      <c r="B149" s="24">
        <v>1224.0380859375</v>
      </c>
      <c r="C149" s="24">
        <v>785.4176025390625</v>
      </c>
      <c r="D149" s="24">
        <v>3153.328369140625</v>
      </c>
      <c r="E149" s="24">
        <v>963.10589599609375</v>
      </c>
      <c r="F149" s="24">
        <v>1234.418212890625</v>
      </c>
      <c r="G149" s="24">
        <v>19526.55078125</v>
      </c>
    </row>
    <row r="150" spans="1:7" ht="15">
      <c r="A150" s="23">
        <v>45141</v>
      </c>
      <c r="B150" s="24">
        <v>1218.8934326171875</v>
      </c>
      <c r="C150" s="24">
        <v>779.74420166015625</v>
      </c>
      <c r="D150" s="24">
        <v>3116.02734375</v>
      </c>
      <c r="E150" s="24">
        <v>941.6861572265625</v>
      </c>
      <c r="F150" s="24">
        <v>1241.196044921875</v>
      </c>
      <c r="G150" s="24">
        <v>19381.650390625</v>
      </c>
    </row>
    <row r="151" spans="1:7" ht="15">
      <c r="A151" s="23">
        <v>45142</v>
      </c>
      <c r="B151" s="24">
        <v>1235.45947265625</v>
      </c>
      <c r="C151" s="24">
        <v>791.0191650390625</v>
      </c>
      <c r="D151" s="24">
        <v>3155.98681640625</v>
      </c>
      <c r="E151" s="24">
        <v>947.05328369140625</v>
      </c>
      <c r="F151" s="24">
        <v>1253.9781494140625</v>
      </c>
      <c r="G151" s="24">
        <v>19517</v>
      </c>
    </row>
    <row r="152" spans="1:7" ht="15">
      <c r="A152" s="23">
        <v>45145</v>
      </c>
      <c r="B152" s="24">
        <v>1242.49951171875</v>
      </c>
      <c r="C152" s="24">
        <v>790.56427001953125</v>
      </c>
      <c r="D152" s="24">
        <v>3193.104248046875</v>
      </c>
      <c r="E152" s="24">
        <v>952.07891845703125</v>
      </c>
      <c r="F152" s="24">
        <v>1267.306396484375</v>
      </c>
      <c r="G152" s="24">
        <v>19597.30078125</v>
      </c>
    </row>
    <row r="153" spans="1:7" ht="15">
      <c r="A153" s="23">
        <v>45146</v>
      </c>
      <c r="B153" s="24">
        <v>1235.016357421875</v>
      </c>
      <c r="C153" s="24">
        <v>789.91802978515625</v>
      </c>
      <c r="D153" s="24">
        <v>3180.77783203125</v>
      </c>
      <c r="E153" s="24">
        <v>956.2261962890625</v>
      </c>
      <c r="F153" s="24">
        <v>1264.7589111328125</v>
      </c>
      <c r="G153" s="24">
        <v>19570.849609375</v>
      </c>
    </row>
    <row r="154" spans="1:7" ht="15">
      <c r="A154" s="23">
        <v>45147</v>
      </c>
      <c r="B154" s="24">
        <v>1243.1639404296875</v>
      </c>
      <c r="C154" s="24">
        <v>790.20526123046875</v>
      </c>
      <c r="D154" s="24">
        <v>3173.354248046875</v>
      </c>
      <c r="E154" s="24">
        <v>957.0133056640625</v>
      </c>
      <c r="F154" s="24">
        <v>1268.5799560546875</v>
      </c>
      <c r="G154" s="24">
        <v>19632.55078125</v>
      </c>
    </row>
    <row r="155" spans="1:7" ht="15">
      <c r="A155" s="23">
        <v>45148</v>
      </c>
      <c r="B155" s="24">
        <v>1248.702392578125</v>
      </c>
      <c r="C155" s="24">
        <v>783.1912841796875</v>
      </c>
      <c r="D155" s="24">
        <v>3154.657470703125</v>
      </c>
      <c r="E155" s="24">
        <v>948.552001953125</v>
      </c>
      <c r="F155" s="24">
        <v>1263.7581787109375</v>
      </c>
      <c r="G155" s="24">
        <v>19543.099609375</v>
      </c>
    </row>
    <row r="156" spans="1:7" ht="15">
      <c r="A156" s="23">
        <v>45149</v>
      </c>
      <c r="B156" s="24">
        <v>1253.9698486328125</v>
      </c>
      <c r="C156" s="24">
        <v>775.0283203125</v>
      </c>
      <c r="D156" s="24">
        <v>3160.79833984375</v>
      </c>
      <c r="E156" s="24">
        <v>937.4833984375</v>
      </c>
      <c r="F156" s="24">
        <v>1248.064453125</v>
      </c>
      <c r="G156" s="24">
        <v>19428.30078125</v>
      </c>
    </row>
    <row r="157" spans="1:7" ht="15">
      <c r="A157" s="23">
        <v>45152</v>
      </c>
      <c r="B157" s="24">
        <v>1268.788330078125</v>
      </c>
      <c r="C157" s="24">
        <v>771.24609375</v>
      </c>
      <c r="D157" s="24">
        <v>3161.760498046875</v>
      </c>
      <c r="E157" s="24">
        <v>944.0753173828125</v>
      </c>
      <c r="F157" s="24">
        <v>1267.806640625</v>
      </c>
      <c r="G157" s="24">
        <v>19434.55078125</v>
      </c>
    </row>
    <row r="158" spans="1:7" ht="15">
      <c r="A158" s="23">
        <v>45154</v>
      </c>
      <c r="B158" s="24">
        <v>1267.7545166015625</v>
      </c>
      <c r="C158" s="24">
        <v>768.995849609375</v>
      </c>
      <c r="D158" s="24">
        <v>3169.595947265625</v>
      </c>
      <c r="E158" s="24">
        <v>941.0745849609375</v>
      </c>
      <c r="F158" s="24">
        <v>1290.5052490234375</v>
      </c>
      <c r="G158" s="24">
        <v>19465</v>
      </c>
    </row>
    <row r="159" spans="1:7" ht="15">
      <c r="A159" s="23">
        <v>45155</v>
      </c>
      <c r="B159" s="24">
        <v>1249.4654541015625</v>
      </c>
      <c r="C159" s="24">
        <v>764.73486328125</v>
      </c>
      <c r="D159" s="24">
        <v>3148.837890625</v>
      </c>
      <c r="E159" s="24">
        <v>936.30279541015625</v>
      </c>
      <c r="F159" s="24">
        <v>1284.1826171875</v>
      </c>
      <c r="G159" s="24">
        <v>19365.25</v>
      </c>
    </row>
    <row r="160" spans="1:7" ht="15">
      <c r="A160" s="23">
        <v>45156</v>
      </c>
      <c r="B160" s="24">
        <v>1258.7208251953125</v>
      </c>
      <c r="C160" s="24">
        <v>761.598876953125</v>
      </c>
      <c r="D160" s="24">
        <v>3085.920654296875</v>
      </c>
      <c r="E160" s="24">
        <v>935.31890869140625</v>
      </c>
      <c r="F160" s="24">
        <v>1263.4853515625</v>
      </c>
      <c r="G160" s="24">
        <v>19310.150390625</v>
      </c>
    </row>
    <row r="161" spans="1:7" ht="15">
      <c r="A161" s="23">
        <v>45159</v>
      </c>
      <c r="B161" s="24">
        <v>1244.986328125</v>
      </c>
      <c r="C161" s="24">
        <v>761.00048828125</v>
      </c>
      <c r="D161" s="24">
        <v>3117.58544921875</v>
      </c>
      <c r="E161" s="24">
        <v>939.7955322265625</v>
      </c>
      <c r="F161" s="24">
        <v>1278.5872802734375</v>
      </c>
      <c r="G161" s="24">
        <v>19393.599609375</v>
      </c>
    </row>
    <row r="162" spans="1:7" ht="15">
      <c r="A162" s="23">
        <v>45160</v>
      </c>
      <c r="B162" s="24">
        <v>1244.68994140625</v>
      </c>
      <c r="C162" s="24">
        <v>757.74481201171875</v>
      </c>
      <c r="D162" s="24">
        <v>3099.7138671875</v>
      </c>
      <c r="E162" s="24">
        <v>936.64715576171875</v>
      </c>
      <c r="F162" s="24">
        <v>1277.086181640625</v>
      </c>
      <c r="G162" s="24">
        <v>19396.44921875</v>
      </c>
    </row>
    <row r="163" spans="1:7" ht="15">
      <c r="A163" s="23">
        <v>45161</v>
      </c>
      <c r="B163" s="24">
        <v>1246.0733642578125</v>
      </c>
      <c r="C163" s="24">
        <v>759.61199951171875</v>
      </c>
      <c r="D163" s="24">
        <v>3114.46923828125</v>
      </c>
      <c r="E163" s="24">
        <v>951.25762939453125</v>
      </c>
      <c r="F163" s="24">
        <v>1280.9072265625</v>
      </c>
      <c r="G163" s="24">
        <v>19444</v>
      </c>
    </row>
    <row r="164" spans="1:7" ht="15">
      <c r="A164" s="23">
        <v>45162</v>
      </c>
      <c r="B164" s="24">
        <v>1225.1258544921875</v>
      </c>
      <c r="C164" s="24">
        <v>756.1170654296875</v>
      </c>
      <c r="D164" s="24">
        <v>3104.846435546875</v>
      </c>
      <c r="E164" s="24">
        <v>953.32379150390625</v>
      </c>
      <c r="F164" s="24">
        <v>1295.1451416015625</v>
      </c>
      <c r="G164" s="24">
        <v>19386.69921875</v>
      </c>
    </row>
    <row r="165" spans="1:7" ht="15">
      <c r="A165" s="23">
        <v>45163</v>
      </c>
      <c r="B165" s="24">
        <v>1219.4691162109375</v>
      </c>
      <c r="C165" s="24">
        <v>747.59503173828125</v>
      </c>
      <c r="D165" s="24">
        <v>3098.9345703125</v>
      </c>
      <c r="E165" s="24">
        <v>954.75042724609375</v>
      </c>
      <c r="F165" s="24">
        <v>1291.9609375</v>
      </c>
      <c r="G165" s="24">
        <v>19265.80078125</v>
      </c>
    </row>
    <row r="166" spans="1:7" ht="15">
      <c r="A166" s="23">
        <v>45166</v>
      </c>
      <c r="B166" s="24">
        <v>1207.315673828125</v>
      </c>
      <c r="C166" s="24">
        <v>755.37493896484375</v>
      </c>
      <c r="D166" s="24">
        <v>3093.6650390625</v>
      </c>
      <c r="E166" s="24">
        <v>954.89794921875</v>
      </c>
      <c r="F166" s="24">
        <v>1287.9124755859375</v>
      </c>
      <c r="G166" s="24">
        <v>19306.05078125</v>
      </c>
    </row>
    <row r="167" spans="1:7" ht="15">
      <c r="A167" s="23">
        <v>45167</v>
      </c>
      <c r="B167" s="24">
        <v>1195.755126953125</v>
      </c>
      <c r="C167" s="24">
        <v>761.3834228515625</v>
      </c>
      <c r="D167" s="24">
        <v>3094.214599609375</v>
      </c>
      <c r="E167" s="24">
        <v>952.14312744140625</v>
      </c>
      <c r="F167" s="24">
        <v>1289.7320556640625</v>
      </c>
      <c r="G167" s="24">
        <v>19342.650390625</v>
      </c>
    </row>
    <row r="168" spans="1:7" ht="15">
      <c r="A168" s="23">
        <v>45168</v>
      </c>
      <c r="B168" s="24">
        <v>1194.6187744140625</v>
      </c>
      <c r="C168" s="24">
        <v>755.82977294921875</v>
      </c>
      <c r="D168" s="24">
        <v>3107.779296875</v>
      </c>
      <c r="E168" s="24">
        <v>943.4359130859375</v>
      </c>
      <c r="F168" s="24">
        <v>1305.6529541015625</v>
      </c>
      <c r="G168" s="24">
        <v>19347.44921875</v>
      </c>
    </row>
    <row r="169" spans="1:7" ht="15">
      <c r="A169" s="23">
        <v>45169</v>
      </c>
      <c r="B169" s="24">
        <v>1189.1595458984375</v>
      </c>
      <c r="C169" s="24">
        <v>752.35870361328125</v>
      </c>
      <c r="D169" s="24">
        <v>3076.480712890625</v>
      </c>
      <c r="E169" s="24">
        <v>943.28826904296875</v>
      </c>
      <c r="F169" s="24">
        <v>1305.9259033203125</v>
      </c>
      <c r="G169" s="24">
        <v>19253.80078125</v>
      </c>
    </row>
    <row r="170" spans="1:7" ht="15">
      <c r="A170" s="23">
        <v>45170</v>
      </c>
      <c r="B170" s="24">
        <v>1191.950927734375</v>
      </c>
      <c r="C170" s="24">
        <v>753.9146728515625</v>
      </c>
      <c r="D170" s="24">
        <v>3097.010009765625</v>
      </c>
      <c r="E170" s="24">
        <v>953.077880859375</v>
      </c>
      <c r="F170" s="24">
        <v>1313.56787109375</v>
      </c>
      <c r="G170" s="24">
        <v>19435.30078125</v>
      </c>
    </row>
    <row r="171" spans="1:7" ht="15">
      <c r="A171" s="23">
        <v>45173</v>
      </c>
      <c r="B171" s="24">
        <v>1190.987548828125</v>
      </c>
      <c r="C171" s="24">
        <v>758.63055419921875</v>
      </c>
      <c r="D171" s="24">
        <v>3133.028076171875</v>
      </c>
      <c r="E171" s="24">
        <v>951.74957275390625</v>
      </c>
      <c r="F171" s="24">
        <v>1332.900390625</v>
      </c>
      <c r="G171" s="24">
        <v>19528.80078125</v>
      </c>
    </row>
    <row r="172" spans="1:7" ht="15">
      <c r="A172" s="23">
        <v>45174</v>
      </c>
      <c r="B172" s="24">
        <v>1197.36083984375</v>
      </c>
      <c r="C172" s="24">
        <v>754.01043701171875</v>
      </c>
      <c r="D172" s="24">
        <v>3142.972412109375</v>
      </c>
      <c r="E172" s="24">
        <v>952.78265380859375</v>
      </c>
      <c r="F172" s="24">
        <v>1345.4552001953125</v>
      </c>
      <c r="G172" s="24">
        <v>19574.900390625</v>
      </c>
    </row>
    <row r="173" spans="1:7" ht="15">
      <c r="A173" s="23">
        <v>45175</v>
      </c>
      <c r="B173" s="24">
        <v>1199.8802490234375</v>
      </c>
      <c r="C173" s="24">
        <v>763.873046875</v>
      </c>
      <c r="D173" s="24">
        <v>3143.47607421875</v>
      </c>
      <c r="E173" s="24">
        <v>942.0584716796875</v>
      </c>
      <c r="F173" s="24">
        <v>1344.1361083984375</v>
      </c>
      <c r="G173" s="24">
        <v>19611.05078125</v>
      </c>
    </row>
    <row r="174" spans="1:7" ht="15">
      <c r="A174" s="23">
        <v>45176</v>
      </c>
      <c r="B174" s="24">
        <v>1201.5107421875</v>
      </c>
      <c r="C174" s="24">
        <v>771.22216796875</v>
      </c>
      <c r="D174" s="24">
        <v>3166.70947265625</v>
      </c>
      <c r="E174" s="24">
        <v>950.0770263671875</v>
      </c>
      <c r="F174" s="24">
        <v>1333.901123046875</v>
      </c>
      <c r="G174" s="24">
        <v>19727.05078125</v>
      </c>
    </row>
    <row r="175" spans="1:7" ht="15">
      <c r="A175" s="23">
        <v>45177</v>
      </c>
      <c r="B175" s="24">
        <v>1209.51416015625</v>
      </c>
      <c r="C175" s="24">
        <v>777.230712890625</v>
      </c>
      <c r="D175" s="24">
        <v>3154.474365234375</v>
      </c>
      <c r="E175" s="24">
        <v>954.89794921875</v>
      </c>
      <c r="F175" s="24">
        <v>1336.9942626953125</v>
      </c>
      <c r="G175" s="24">
        <v>19819.94921875</v>
      </c>
    </row>
    <row r="176" spans="1:7" ht="15">
      <c r="A176" s="23">
        <v>45180</v>
      </c>
      <c r="B176" s="24">
        <v>1222.5570068359375</v>
      </c>
      <c r="C176" s="24">
        <v>781.25238037109375</v>
      </c>
      <c r="D176" s="24">
        <v>3189.98828125</v>
      </c>
      <c r="E176" s="24">
        <v>962.4737548828125</v>
      </c>
      <c r="F176" s="24">
        <v>1343.226318359375</v>
      </c>
      <c r="G176" s="24">
        <v>19996.349609375</v>
      </c>
    </row>
    <row r="177" spans="1:7" ht="15">
      <c r="A177" s="23">
        <v>45181</v>
      </c>
      <c r="B177" s="24">
        <v>1204.8948974609375</v>
      </c>
      <c r="C177" s="24">
        <v>783.694091796875</v>
      </c>
      <c r="D177" s="24">
        <v>3281.77490234375</v>
      </c>
      <c r="E177" s="24">
        <v>974.5262451171875</v>
      </c>
      <c r="F177" s="24">
        <v>1365.652099609375</v>
      </c>
      <c r="G177" s="24">
        <v>19993.19921875</v>
      </c>
    </row>
    <row r="178" spans="1:7" ht="15">
      <c r="A178" s="23">
        <v>45182</v>
      </c>
      <c r="B178" s="24">
        <v>1210.9222412109375</v>
      </c>
      <c r="C178" s="24">
        <v>787.04541015625</v>
      </c>
      <c r="D178" s="24">
        <v>3269.906494140625</v>
      </c>
      <c r="E178" s="24">
        <v>973.83746337890625</v>
      </c>
      <c r="F178" s="24">
        <v>1363.1502685546875</v>
      </c>
      <c r="G178" s="24">
        <v>20070</v>
      </c>
    </row>
    <row r="179" spans="1:7" ht="15">
      <c r="A179" s="23">
        <v>45183</v>
      </c>
      <c r="B179" s="24">
        <v>1212.0338134765625</v>
      </c>
      <c r="C179" s="24">
        <v>786.566650390625</v>
      </c>
      <c r="D179" s="24">
        <v>3262.7578125</v>
      </c>
      <c r="E179" s="24">
        <v>971.77142333984375</v>
      </c>
      <c r="F179" s="24">
        <v>1370.974365234375</v>
      </c>
      <c r="G179" s="24">
        <v>20103.099609375</v>
      </c>
    </row>
    <row r="180" spans="1:7" ht="15">
      <c r="A180" s="23">
        <v>45184</v>
      </c>
      <c r="B180" s="24">
        <v>1214.28173828125</v>
      </c>
      <c r="C180" s="24">
        <v>795.59136962890625</v>
      </c>
      <c r="D180" s="24">
        <v>3297.8134765625</v>
      </c>
      <c r="E180" s="24">
        <v>976.44482421875</v>
      </c>
      <c r="F180" s="24">
        <v>1375.2047119140625</v>
      </c>
      <c r="G180" s="24">
        <v>20192.349609375</v>
      </c>
    </row>
    <row r="181" spans="1:7" ht="15">
      <c r="A181" s="23">
        <v>45187</v>
      </c>
      <c r="B181" s="24">
        <v>1203.7091064453125</v>
      </c>
      <c r="C181" s="24">
        <v>779.9356689453125</v>
      </c>
      <c r="D181" s="24">
        <v>3305.008056640625</v>
      </c>
      <c r="E181" s="24">
        <v>974.2310791015625</v>
      </c>
      <c r="F181" s="24">
        <v>1357.1912841796875</v>
      </c>
      <c r="G181" s="24">
        <v>20133.30078125</v>
      </c>
    </row>
    <row r="182" spans="1:7" ht="15">
      <c r="A182" s="23">
        <v>45189</v>
      </c>
      <c r="B182" s="24">
        <v>1176.8826904296875</v>
      </c>
      <c r="C182" s="24">
        <v>748.648193359375</v>
      </c>
      <c r="D182" s="24">
        <v>3304.916259765625</v>
      </c>
      <c r="E182" s="24">
        <v>971.23028564453125</v>
      </c>
      <c r="F182" s="24">
        <v>1355.78125</v>
      </c>
      <c r="G182" s="24">
        <v>19901.400390625</v>
      </c>
    </row>
    <row r="183" spans="1:7" ht="15">
      <c r="A183" s="23">
        <v>45190</v>
      </c>
      <c r="B183" s="24">
        <v>1168.31103515625</v>
      </c>
      <c r="C183" s="24">
        <v>743.6929931640625</v>
      </c>
      <c r="D183" s="24">
        <v>3285.899169921875</v>
      </c>
      <c r="E183" s="24">
        <v>943.82940673828125</v>
      </c>
      <c r="F183" s="24">
        <v>1366.243408203125</v>
      </c>
      <c r="G183" s="24">
        <v>19742.349609375</v>
      </c>
    </row>
    <row r="184" spans="1:7" ht="15">
      <c r="A184" s="23">
        <v>45191</v>
      </c>
      <c r="B184" s="24">
        <v>1163.4447021484375</v>
      </c>
      <c r="C184" s="24">
        <v>732.34625244140625</v>
      </c>
      <c r="D184" s="24">
        <v>3302.716796875</v>
      </c>
      <c r="E184" s="24">
        <v>934.97454833984375</v>
      </c>
      <c r="F184" s="24">
        <v>1361.1488037109375</v>
      </c>
      <c r="G184" s="24">
        <v>19674.25</v>
      </c>
    </row>
    <row r="185" spans="1:7" ht="15">
      <c r="A185" s="23">
        <v>45194</v>
      </c>
      <c r="B185" s="24">
        <v>1156.281005859375</v>
      </c>
      <c r="C185" s="24">
        <v>732.9925537109375</v>
      </c>
      <c r="D185" s="24">
        <v>3278.429931640625</v>
      </c>
      <c r="E185" s="24">
        <v>940.92694091796875</v>
      </c>
      <c r="F185" s="24">
        <v>1341.1337890625</v>
      </c>
      <c r="G185" s="24">
        <v>19674.55078125</v>
      </c>
    </row>
    <row r="186" spans="1:7" ht="15">
      <c r="A186" s="23">
        <v>45195</v>
      </c>
      <c r="B186" s="24">
        <v>1157.2938232421875</v>
      </c>
      <c r="C186" s="24">
        <v>736.1763916015625</v>
      </c>
      <c r="D186" s="24">
        <v>3286.265380859375</v>
      </c>
      <c r="E186" s="24">
        <v>933.400390625</v>
      </c>
      <c r="F186" s="24">
        <v>1328.85205078125</v>
      </c>
      <c r="G186" s="24">
        <v>19664.69921875</v>
      </c>
    </row>
    <row r="187" spans="1:7" ht="15">
      <c r="A187" s="23">
        <v>45196</v>
      </c>
      <c r="B187" s="24">
        <v>1170.336669921875</v>
      </c>
      <c r="C187" s="24">
        <v>731.00567626953125</v>
      </c>
      <c r="D187" s="24">
        <v>3289.565185546875</v>
      </c>
      <c r="E187" s="24">
        <v>927.890625</v>
      </c>
      <c r="F187" s="24">
        <v>1334.62890625</v>
      </c>
      <c r="G187" s="24">
        <v>19716.44921875</v>
      </c>
    </row>
    <row r="188" spans="1:7" ht="15">
      <c r="A188" s="23">
        <v>45197</v>
      </c>
      <c r="B188" s="24">
        <v>1153.14404296875</v>
      </c>
      <c r="C188" s="24">
        <v>729.49755859375</v>
      </c>
      <c r="D188" s="24">
        <v>3241.403564453125</v>
      </c>
      <c r="E188" s="24">
        <v>927.39874267578125</v>
      </c>
      <c r="F188" s="24">
        <v>1309.5650634765625</v>
      </c>
      <c r="G188" s="24">
        <v>19523.55078125</v>
      </c>
    </row>
    <row r="189" spans="1:7" ht="15">
      <c r="A189" s="23">
        <v>45198</v>
      </c>
      <c r="B189" s="24">
        <v>1158.529052734375</v>
      </c>
      <c r="C189" s="24">
        <v>730.74237060546875</v>
      </c>
      <c r="D189" s="24">
        <v>3233.933837890625</v>
      </c>
      <c r="E189" s="24">
        <v>936.54876708984375</v>
      </c>
      <c r="F189" s="24">
        <v>1305.9259033203125</v>
      </c>
      <c r="G189" s="24">
        <v>19638.30078125</v>
      </c>
    </row>
    <row r="190" spans="1:7" ht="15">
      <c r="A190" s="23">
        <v>45202</v>
      </c>
      <c r="B190" s="24">
        <v>1145.263916015625</v>
      </c>
      <c r="C190" s="24">
        <v>722.0048828125</v>
      </c>
      <c r="D190" s="24">
        <v>3220.416015625</v>
      </c>
      <c r="E190" s="24">
        <v>925.13580322265625</v>
      </c>
      <c r="F190" s="24">
        <v>1304.606689453125</v>
      </c>
      <c r="G190" s="24">
        <v>19528.75</v>
      </c>
    </row>
    <row r="191" spans="1:7" ht="15">
      <c r="A191" s="23">
        <v>45203</v>
      </c>
      <c r="B191" s="24">
        <v>1143.287841796875</v>
      </c>
      <c r="C191" s="24">
        <v>732.29833984375</v>
      </c>
      <c r="D191" s="24">
        <v>3242.31982421875</v>
      </c>
      <c r="E191" s="24">
        <v>915.05108642578125</v>
      </c>
      <c r="F191" s="24">
        <v>1314.022705078125</v>
      </c>
      <c r="G191" s="24">
        <v>19436.099609375</v>
      </c>
    </row>
    <row r="192" spans="1:7" ht="15">
      <c r="A192" s="23">
        <v>45204</v>
      </c>
      <c r="B192" s="24">
        <v>1143.26318359375</v>
      </c>
      <c r="C192" s="24">
        <v>735.2667236328125</v>
      </c>
      <c r="D192" s="24">
        <v>3289.611083984375</v>
      </c>
      <c r="E192" s="24">
        <v>925.6768798828125</v>
      </c>
      <c r="F192" s="24">
        <v>1331.3992919921875</v>
      </c>
      <c r="G192" s="24">
        <v>19545.75</v>
      </c>
    </row>
    <row r="193" spans="1:7" ht="15">
      <c r="A193" s="23">
        <v>45205</v>
      </c>
      <c r="B193" s="24">
        <v>1145.1898193359375</v>
      </c>
      <c r="C193" s="24">
        <v>734.452880859375</v>
      </c>
      <c r="D193" s="24">
        <v>3318.984619140625</v>
      </c>
      <c r="E193" s="24">
        <v>929.95684814453125</v>
      </c>
      <c r="F193" s="24">
        <v>1345.2733154296875</v>
      </c>
      <c r="G193" s="24">
        <v>19653.5</v>
      </c>
    </row>
    <row r="194" spans="1:7" ht="15">
      <c r="A194" s="23">
        <v>45208</v>
      </c>
      <c r="B194" s="24">
        <v>1135.4326171875</v>
      </c>
      <c r="C194" s="24">
        <v>725.93072509765625</v>
      </c>
      <c r="D194" s="24">
        <v>3334.51904296875</v>
      </c>
      <c r="E194" s="24">
        <v>923.4632568359375</v>
      </c>
      <c r="F194" s="24">
        <v>1342.3165283203125</v>
      </c>
      <c r="G194" s="24">
        <v>19512.349609375</v>
      </c>
    </row>
    <row r="195" spans="1:7" ht="15">
      <c r="A195" s="23">
        <v>45209</v>
      </c>
      <c r="B195" s="24">
        <v>1140.447021484375</v>
      </c>
      <c r="C195" s="24">
        <v>730.04815673828125</v>
      </c>
      <c r="D195" s="24">
        <v>3325.85791015625</v>
      </c>
      <c r="E195" s="24">
        <v>935.86004638671875</v>
      </c>
      <c r="F195" s="24">
        <v>1360.239013671875</v>
      </c>
      <c r="G195" s="24">
        <v>19689.849609375</v>
      </c>
    </row>
    <row r="196" spans="1:7" ht="15">
      <c r="A196" s="23">
        <v>45210</v>
      </c>
      <c r="B196" s="24">
        <v>1158.5537109375</v>
      </c>
      <c r="C196" s="24">
        <v>737.1099853515625</v>
      </c>
      <c r="D196" s="24">
        <v>3308.445068359375</v>
      </c>
      <c r="E196" s="24">
        <v>937.7293701171875</v>
      </c>
      <c r="F196" s="24">
        <v>1359.5567626953125</v>
      </c>
      <c r="G196" s="24">
        <v>19811.349609375</v>
      </c>
    </row>
    <row r="197" spans="1:7" ht="15">
      <c r="A197" s="23">
        <v>45211</v>
      </c>
      <c r="B197" s="24">
        <v>1160.70263671875</v>
      </c>
      <c r="C197" s="24">
        <v>742.017333984375</v>
      </c>
      <c r="D197" s="24">
        <v>3246.71923828125</v>
      </c>
      <c r="E197" s="24">
        <v>938.86083984375</v>
      </c>
      <c r="F197" s="24">
        <v>1333.2642822265625</v>
      </c>
      <c r="G197" s="24">
        <v>19794</v>
      </c>
    </row>
    <row r="198" spans="1:7" ht="15">
      <c r="A198" s="23">
        <v>45212</v>
      </c>
      <c r="B198" s="24">
        <v>1160.6534423828125</v>
      </c>
      <c r="C198" s="24">
        <v>735.2667236328125</v>
      </c>
      <c r="D198" s="24">
        <v>3272.655517578125</v>
      </c>
      <c r="E198" s="24">
        <v>935.9583740234375</v>
      </c>
      <c r="F198" s="24">
        <v>1302.013916015625</v>
      </c>
      <c r="G198" s="24">
        <v>19751.05078125</v>
      </c>
    </row>
    <row r="199" spans="1:7" ht="15">
      <c r="A199" s="23">
        <v>45215</v>
      </c>
      <c r="B199" s="24">
        <v>1158.0596923828125</v>
      </c>
      <c r="C199" s="24">
        <v>732.322265625</v>
      </c>
      <c r="D199" s="24">
        <v>3229.763916015625</v>
      </c>
      <c r="E199" s="24">
        <v>936.05682373046875</v>
      </c>
      <c r="F199" s="24">
        <v>1304.7430419921875</v>
      </c>
      <c r="G199" s="24">
        <v>19731.75</v>
      </c>
    </row>
    <row r="200" spans="1:7" ht="15">
      <c r="A200" s="23">
        <v>45216</v>
      </c>
      <c r="B200" s="24">
        <v>1163.5928955078125</v>
      </c>
      <c r="C200" s="24">
        <v>737.87591552734375</v>
      </c>
      <c r="D200" s="24">
        <v>3214.18408203125</v>
      </c>
      <c r="E200" s="24">
        <v>938.5164794921875</v>
      </c>
      <c r="F200" s="24">
        <v>1312.2943115234375</v>
      </c>
      <c r="G200" s="24">
        <v>19811.5</v>
      </c>
    </row>
    <row r="201" spans="1:7" ht="15">
      <c r="A201" s="23">
        <v>45217</v>
      </c>
      <c r="B201" s="24">
        <v>1148.154052734375</v>
      </c>
      <c r="C201" s="24">
        <v>727.60638427734375</v>
      </c>
      <c r="D201" s="24">
        <v>3196.036865234375</v>
      </c>
      <c r="E201" s="24">
        <v>928.53021240234375</v>
      </c>
      <c r="F201" s="24">
        <v>1310.5655517578125</v>
      </c>
      <c r="G201" s="24">
        <v>19671.099609375</v>
      </c>
    </row>
    <row r="202" spans="1:7" ht="15">
      <c r="A202" s="23">
        <v>45218</v>
      </c>
      <c r="B202" s="24">
        <v>1139.33544921875</v>
      </c>
      <c r="C202" s="24">
        <v>725.30828857421875</v>
      </c>
      <c r="D202" s="24">
        <v>3175.270751953125</v>
      </c>
      <c r="E202" s="24">
        <v>920.6591796875</v>
      </c>
      <c r="F202" s="24">
        <v>1304.288330078125</v>
      </c>
      <c r="G202" s="24">
        <v>19624.69921875</v>
      </c>
    </row>
    <row r="203" spans="1:7" ht="15">
      <c r="A203" s="23">
        <v>45219</v>
      </c>
      <c r="B203" s="24">
        <v>1135.8524169921875</v>
      </c>
      <c r="C203" s="24">
        <v>729.066650390625</v>
      </c>
      <c r="D203" s="24">
        <v>3211.014404296875</v>
      </c>
      <c r="E203" s="24">
        <v>917.70758056640625</v>
      </c>
      <c r="F203" s="24">
        <v>1298.4658203125</v>
      </c>
      <c r="G203" s="24">
        <v>19542.650390625</v>
      </c>
    </row>
    <row r="204" spans="1:7" ht="15">
      <c r="A204" s="23">
        <v>45222</v>
      </c>
      <c r="B204" s="24">
        <v>1118.1162109375</v>
      </c>
      <c r="C204" s="24">
        <v>721.04736328125</v>
      </c>
      <c r="D204" s="24">
        <v>3133.46240234375</v>
      </c>
      <c r="E204" s="24">
        <v>914.9527587890625</v>
      </c>
      <c r="F204" s="24">
        <v>1281.544189453125</v>
      </c>
      <c r="G204" s="24">
        <v>19281.75</v>
      </c>
    </row>
    <row r="205" spans="1:7" ht="15">
      <c r="A205" s="23">
        <v>45224</v>
      </c>
      <c r="B205" s="24">
        <v>1115.5225830078125</v>
      </c>
      <c r="C205" s="24">
        <v>716.47509765625</v>
      </c>
      <c r="D205" s="24">
        <v>3115.039306640625</v>
      </c>
      <c r="E205" s="24">
        <v>901.3260498046875</v>
      </c>
      <c r="F205" s="24">
        <v>1262.560302734375</v>
      </c>
      <c r="G205" s="24">
        <v>19122.150390625</v>
      </c>
    </row>
    <row r="206" spans="1:7" ht="15">
      <c r="A206" s="23">
        <v>45225</v>
      </c>
      <c r="B206" s="24">
        <v>1099.9849853515625</v>
      </c>
      <c r="C206" s="24">
        <v>700.6279296875</v>
      </c>
      <c r="D206" s="24">
        <v>3066.017578125</v>
      </c>
      <c r="E206" s="24">
        <v>893.99627685546875</v>
      </c>
      <c r="F206" s="24">
        <v>1252.7919921875</v>
      </c>
      <c r="G206" s="24">
        <v>18857.25</v>
      </c>
    </row>
    <row r="207" spans="1:7" ht="15">
      <c r="A207" s="23">
        <v>45226</v>
      </c>
      <c r="B207" s="24">
        <v>1119.40087890625</v>
      </c>
      <c r="C207" s="24">
        <v>703.380859375</v>
      </c>
      <c r="D207" s="24">
        <v>3079.06591796875</v>
      </c>
      <c r="E207" s="24">
        <v>898.0301513671875</v>
      </c>
      <c r="F207" s="24">
        <v>1272.0521240234375</v>
      </c>
      <c r="G207" s="24">
        <v>19047.25</v>
      </c>
    </row>
    <row r="208" spans="1:7" ht="15">
      <c r="A208" s="23">
        <v>45229</v>
      </c>
      <c r="B208" s="24">
        <v>1142.47265625</v>
      </c>
      <c r="C208" s="24">
        <v>711.01715087890625</v>
      </c>
      <c r="D208" s="24">
        <v>3104.42626953125</v>
      </c>
      <c r="E208" s="24">
        <v>909.98419189453125</v>
      </c>
      <c r="F208" s="24">
        <v>1269.0111083984375</v>
      </c>
      <c r="G208" s="24">
        <v>19140.900390625</v>
      </c>
    </row>
    <row r="209" spans="1:7" ht="15">
      <c r="A209" s="23">
        <v>45230</v>
      </c>
      <c r="B209" s="24">
        <v>1130.3192138671875</v>
      </c>
      <c r="C209" s="24">
        <v>706.8997802734375</v>
      </c>
      <c r="D209" s="24">
        <v>3095.421630859375</v>
      </c>
      <c r="E209" s="24">
        <v>900.588134765625</v>
      </c>
      <c r="F209" s="24">
        <v>1261.0399169921875</v>
      </c>
      <c r="G209" s="24">
        <v>19079.599609375</v>
      </c>
    </row>
    <row r="210" spans="1:7" ht="15">
      <c r="A210" s="23">
        <v>45231</v>
      </c>
      <c r="B210" s="24">
        <v>1135.0126953125</v>
      </c>
      <c r="C210" s="24">
        <v>705.9422607421875</v>
      </c>
      <c r="D210" s="24">
        <v>3060.41259765625</v>
      </c>
      <c r="E210" s="24">
        <v>899.30908203125</v>
      </c>
      <c r="F210" s="24">
        <v>1247.9078369140625</v>
      </c>
      <c r="G210" s="24">
        <v>18989.150390625</v>
      </c>
    </row>
    <row r="211" spans="1:7" ht="15">
      <c r="A211" s="23">
        <v>45232</v>
      </c>
      <c r="B211" s="24">
        <v>1146.2767333984375</v>
      </c>
      <c r="C211" s="24">
        <v>707.0194091796875</v>
      </c>
      <c r="D211" s="24">
        <v>3087.473876953125</v>
      </c>
      <c r="E211" s="24">
        <v>905.114013671875</v>
      </c>
      <c r="F211" s="24">
        <v>1262.6524658203125</v>
      </c>
      <c r="G211" s="24">
        <v>19133.25</v>
      </c>
    </row>
    <row r="212" spans="1:7" ht="15">
      <c r="A212" s="23">
        <v>45233</v>
      </c>
      <c r="B212" s="24">
        <v>1146.0296630859375</v>
      </c>
      <c r="C212" s="24">
        <v>710.37078857421875</v>
      </c>
      <c r="D212" s="24">
        <v>3079.01953125</v>
      </c>
      <c r="E212" s="24">
        <v>918.74066162109375</v>
      </c>
      <c r="F212" s="24">
        <v>1280.0697021484375</v>
      </c>
      <c r="G212" s="24">
        <v>19230.599609375</v>
      </c>
    </row>
    <row r="213" spans="1:7" ht="15">
      <c r="A213" s="23">
        <v>45236</v>
      </c>
      <c r="B213" s="24">
        <v>1155.564697265625</v>
      </c>
      <c r="C213" s="24">
        <v>715.517578125</v>
      </c>
      <c r="D213" s="24">
        <v>3105.988525390625</v>
      </c>
      <c r="E213" s="24">
        <v>930.2027587890625</v>
      </c>
      <c r="F213" s="24">
        <v>1293.20166015625</v>
      </c>
      <c r="G213" s="24">
        <v>19411.75</v>
      </c>
    </row>
    <row r="214" spans="1:7" ht="15">
      <c r="A214" s="23">
        <v>45237</v>
      </c>
      <c r="B214" s="24">
        <v>1148.0552978515625</v>
      </c>
      <c r="C214" s="24">
        <v>712.04644775390625</v>
      </c>
      <c r="D214" s="24">
        <v>3096.983642578125</v>
      </c>
      <c r="E214" s="24">
        <v>932.80999755859375</v>
      </c>
      <c r="F214" s="24">
        <v>1294.1231689453125</v>
      </c>
      <c r="G214" s="24">
        <v>19406.69921875</v>
      </c>
    </row>
    <row r="215" spans="1:7" ht="15">
      <c r="A215" s="23">
        <v>45238</v>
      </c>
      <c r="B215" s="24">
        <v>1154.033203125</v>
      </c>
      <c r="C215" s="24">
        <v>714.10528564453125</v>
      </c>
      <c r="D215" s="24">
        <v>3107.183349609375</v>
      </c>
      <c r="E215" s="24">
        <v>920.6591796875</v>
      </c>
      <c r="F215" s="24">
        <v>1281.86669921875</v>
      </c>
      <c r="G215" s="24">
        <v>19443.5</v>
      </c>
    </row>
    <row r="216" spans="1:7" ht="15">
      <c r="A216" s="23">
        <v>45239</v>
      </c>
      <c r="B216" s="24">
        <v>1141.50927734375</v>
      </c>
      <c r="C216" s="24">
        <v>711.280517578125</v>
      </c>
      <c r="D216" s="24">
        <v>3075.849609375</v>
      </c>
      <c r="E216" s="24">
        <v>922.23333740234375</v>
      </c>
      <c r="F216" s="24">
        <v>1266.9376220703125</v>
      </c>
      <c r="G216" s="24">
        <v>19395.30078125</v>
      </c>
    </row>
    <row r="217" spans="1:7" ht="15">
      <c r="A217" s="23">
        <v>45240</v>
      </c>
      <c r="B217" s="24">
        <v>1143.6583251953125</v>
      </c>
      <c r="C217" s="24">
        <v>714.08123779296875</v>
      </c>
      <c r="D217" s="24">
        <v>3062.98583984375</v>
      </c>
      <c r="E217" s="24">
        <v>923.4632568359375</v>
      </c>
      <c r="F217" s="24">
        <v>1261.454345703125</v>
      </c>
      <c r="G217" s="24">
        <v>19425.349609375</v>
      </c>
    </row>
    <row r="218" spans="1:7" ht="15">
      <c r="A218" s="23">
        <v>45243</v>
      </c>
      <c r="B218" s="24">
        <v>1143.5101318359375</v>
      </c>
      <c r="C218" s="24">
        <v>712.78857421875</v>
      </c>
      <c r="D218" s="24">
        <v>3061.239990234375</v>
      </c>
      <c r="E218" s="24">
        <v>919.38018798828125</v>
      </c>
      <c r="F218" s="24">
        <v>1265.78564453125</v>
      </c>
      <c r="G218" s="24">
        <v>19443.55078125</v>
      </c>
    </row>
    <row r="219" spans="1:7" ht="15">
      <c r="A219" s="23">
        <v>45245</v>
      </c>
      <c r="B219" s="24">
        <v>1164.185791015625</v>
      </c>
      <c r="C219" s="24">
        <v>720.25738525390625</v>
      </c>
      <c r="D219" s="24">
        <v>3128.087646484375</v>
      </c>
      <c r="E219" s="24">
        <v>925.92291259765625</v>
      </c>
      <c r="F219" s="24">
        <v>1299.836669921875</v>
      </c>
      <c r="G219" s="24">
        <v>19675.44921875</v>
      </c>
    </row>
    <row r="220" spans="1:7" ht="15">
      <c r="A220" s="23">
        <v>45246</v>
      </c>
      <c r="B220" s="24">
        <v>1166.285400390625</v>
      </c>
      <c r="C220" s="24">
        <v>722.1484375</v>
      </c>
      <c r="D220" s="24">
        <v>3214.04736328125</v>
      </c>
      <c r="E220" s="24">
        <v>920.9051513671875</v>
      </c>
      <c r="F220" s="24">
        <v>1331.5377197265625</v>
      </c>
      <c r="G220" s="24">
        <v>19765.19921875</v>
      </c>
    </row>
    <row r="221" spans="1:7" ht="15">
      <c r="A221" s="23">
        <v>45247</v>
      </c>
      <c r="B221" s="24">
        <v>1163.7410888671875</v>
      </c>
      <c r="C221" s="24">
        <v>720.59246826171875</v>
      </c>
      <c r="D221" s="24">
        <v>3218.2734375</v>
      </c>
      <c r="E221" s="24">
        <v>906.98333740234375</v>
      </c>
      <c r="F221" s="24">
        <v>1324.764404296875</v>
      </c>
      <c r="G221" s="24">
        <v>19731.80078125</v>
      </c>
    </row>
    <row r="222" spans="1:7" ht="15">
      <c r="A222" s="23">
        <v>45250</v>
      </c>
      <c r="B222" s="24">
        <v>1160.6781005859375</v>
      </c>
      <c r="C222" s="24">
        <v>720.640380859375</v>
      </c>
      <c r="D222" s="24">
        <v>3234.032470703125</v>
      </c>
      <c r="E222" s="24">
        <v>906.58984375</v>
      </c>
      <c r="F222" s="24">
        <v>1323.8890380859375</v>
      </c>
      <c r="G222" s="24">
        <v>19694</v>
      </c>
    </row>
    <row r="223" spans="1:7" ht="15">
      <c r="A223" s="23">
        <v>45251</v>
      </c>
      <c r="B223" s="24">
        <v>1175.2769775390625</v>
      </c>
      <c r="C223" s="24">
        <v>726.74468994140625</v>
      </c>
      <c r="D223" s="24">
        <v>3225.394775390625</v>
      </c>
      <c r="E223" s="24">
        <v>911.164794921875</v>
      </c>
      <c r="F223" s="24">
        <v>1326.1005859375</v>
      </c>
      <c r="G223" s="24">
        <v>19783.400390625</v>
      </c>
    </row>
    <row r="224" spans="1:7" ht="15">
      <c r="A224" s="23">
        <v>45252</v>
      </c>
      <c r="B224" s="24">
        <v>1179.87158203125</v>
      </c>
      <c r="C224" s="24">
        <v>724.1593017578125</v>
      </c>
      <c r="D224" s="24">
        <v>3243.72607421875</v>
      </c>
      <c r="E224" s="24">
        <v>907.86883544921875</v>
      </c>
      <c r="F224" s="24">
        <v>1343.4256591796875</v>
      </c>
      <c r="G224" s="24">
        <v>19811.849609375</v>
      </c>
    </row>
    <row r="225" spans="1:7" ht="15">
      <c r="A225" s="23">
        <v>45253</v>
      </c>
      <c r="B225" s="24">
        <v>1183.47802734375</v>
      </c>
      <c r="C225" s="24">
        <v>728.3485107421875</v>
      </c>
      <c r="D225" s="24">
        <v>3223.602783203125</v>
      </c>
      <c r="E225" s="24">
        <v>908.11480712890625</v>
      </c>
      <c r="F225" s="24">
        <v>1335.546630859375</v>
      </c>
      <c r="G225" s="24">
        <v>19802</v>
      </c>
    </row>
    <row r="226" spans="1:7" ht="15">
      <c r="A226" s="23">
        <v>45254</v>
      </c>
      <c r="B226" s="24">
        <v>1182.6875</v>
      </c>
      <c r="C226" s="24">
        <v>733.5191650390625</v>
      </c>
      <c r="D226" s="24">
        <v>3176.603271484375</v>
      </c>
      <c r="E226" s="24">
        <v>914.41162109375</v>
      </c>
      <c r="F226" s="24">
        <v>1324.6263427734375</v>
      </c>
      <c r="G226" s="24">
        <v>19794.69921875</v>
      </c>
    </row>
    <row r="227" spans="1:7" ht="15">
      <c r="A227" s="23">
        <v>45258</v>
      </c>
      <c r="B227" s="24">
        <v>1182.9345703125</v>
      </c>
      <c r="C227" s="24">
        <v>731.86749267578125</v>
      </c>
      <c r="D227" s="24">
        <v>3188.59423828125</v>
      </c>
      <c r="E227" s="24">
        <v>910.57452392578125</v>
      </c>
      <c r="F227" s="24">
        <v>1329.5103759765625</v>
      </c>
      <c r="G227" s="24">
        <v>19889.69921875</v>
      </c>
    </row>
    <row r="228" spans="1:7" ht="15">
      <c r="A228" s="23">
        <v>45259</v>
      </c>
      <c r="B228" s="24">
        <v>1186.047119140625</v>
      </c>
      <c r="C228" s="24">
        <v>746.46990966796875</v>
      </c>
      <c r="D228" s="24">
        <v>3228.656494140625</v>
      </c>
      <c r="E228" s="24">
        <v>924.44708251953125</v>
      </c>
      <c r="F228" s="24">
        <v>1345.08447265625</v>
      </c>
      <c r="G228" s="24">
        <v>20096.599609375</v>
      </c>
    </row>
    <row r="229" spans="1:7" ht="15">
      <c r="A229" s="23">
        <v>45260</v>
      </c>
      <c r="B229" s="24">
        <v>1174.5606689453125</v>
      </c>
      <c r="C229" s="24">
        <v>746.30230712890625</v>
      </c>
      <c r="D229" s="24">
        <v>3204.62841796875</v>
      </c>
      <c r="E229" s="24">
        <v>919.87213134765625</v>
      </c>
      <c r="F229" s="24">
        <v>1340.983642578125</v>
      </c>
      <c r="G229" s="24">
        <v>20133.150390625</v>
      </c>
    </row>
    <row r="230" spans="1:7" ht="15">
      <c r="A230" s="23">
        <v>45261</v>
      </c>
      <c r="B230" s="24">
        <v>1182.8853759765625</v>
      </c>
      <c r="C230" s="24">
        <v>744.6744384765625</v>
      </c>
      <c r="D230" s="24">
        <v>3226.727294921875</v>
      </c>
      <c r="E230" s="24">
        <v>931.4326171875</v>
      </c>
      <c r="F230" s="24">
        <v>1338.3572998046875</v>
      </c>
      <c r="G230" s="24">
        <v>20267.900390625</v>
      </c>
    </row>
    <row r="231" spans="1:7" ht="15">
      <c r="A231" s="23">
        <v>45264</v>
      </c>
      <c r="B231" s="24">
        <v>1195.6810302734375</v>
      </c>
      <c r="C231" s="24">
        <v>770.52789306640625</v>
      </c>
      <c r="D231" s="24">
        <v>3227.462646484375</v>
      </c>
      <c r="E231" s="24">
        <v>975.2149658203125</v>
      </c>
      <c r="F231" s="24">
        <v>1349.4617919921875</v>
      </c>
      <c r="G231" s="24">
        <v>20686.80078125</v>
      </c>
    </row>
    <row r="232" spans="1:7" ht="15">
      <c r="A232" s="23">
        <v>45265</v>
      </c>
      <c r="B232" s="24">
        <v>1204.3514404296875</v>
      </c>
      <c r="C232" s="24">
        <v>777.374267578125</v>
      </c>
      <c r="D232" s="24">
        <v>3245.05859375</v>
      </c>
      <c r="E232" s="24">
        <v>997.106201171875</v>
      </c>
      <c r="F232" s="24">
        <v>1339.8775634765625</v>
      </c>
      <c r="G232" s="24">
        <v>20855.099609375</v>
      </c>
    </row>
    <row r="233" spans="1:7" ht="15">
      <c r="A233" s="23">
        <v>45266</v>
      </c>
      <c r="B233" s="24">
        <v>1215.887451171875</v>
      </c>
      <c r="C233" s="24">
        <v>779.3372802734375</v>
      </c>
      <c r="D233" s="24">
        <v>3311.676025390625</v>
      </c>
      <c r="E233" s="24">
        <v>987.07061767578125</v>
      </c>
      <c r="F233" s="24">
        <v>1358.6312255859375</v>
      </c>
      <c r="G233" s="24">
        <v>20937.69921875</v>
      </c>
    </row>
    <row r="234" spans="1:7" ht="15">
      <c r="A234" s="23">
        <v>45267</v>
      </c>
      <c r="B234" s="24">
        <v>1213.886474609375</v>
      </c>
      <c r="C234" s="24">
        <v>780.60589599609375</v>
      </c>
      <c r="D234" s="24">
        <v>3321.599853515625</v>
      </c>
      <c r="E234" s="24">
        <v>982.88916015625</v>
      </c>
      <c r="F234" s="24">
        <v>1350.8902587890625</v>
      </c>
      <c r="G234" s="24">
        <v>20901.150390625</v>
      </c>
    </row>
    <row r="235" spans="1:7" ht="15">
      <c r="A235" s="23">
        <v>45268</v>
      </c>
      <c r="B235" s="24">
        <v>1213.244140625</v>
      </c>
      <c r="C235" s="24">
        <v>791.4979248046875</v>
      </c>
      <c r="D235" s="24">
        <v>3332.4423828125</v>
      </c>
      <c r="E235" s="24">
        <v>994.54803466796875</v>
      </c>
      <c r="F235" s="24">
        <v>1374.1591796875</v>
      </c>
      <c r="G235" s="24">
        <v>20969.400390625</v>
      </c>
    </row>
    <row r="236" spans="1:7" ht="15">
      <c r="A236" s="23">
        <v>45271</v>
      </c>
      <c r="B236" s="24">
        <v>1215.0228271484375</v>
      </c>
      <c r="C236" s="24">
        <v>790.4447021484375</v>
      </c>
      <c r="D236" s="24">
        <v>3347.327880859375</v>
      </c>
      <c r="E236" s="24">
        <v>1000.697265625</v>
      </c>
      <c r="F236" s="24">
        <v>1371.7171630859375</v>
      </c>
      <c r="G236" s="24">
        <v>20997.099609375</v>
      </c>
    </row>
    <row r="237" spans="1:7" ht="15">
      <c r="A237" s="23">
        <v>45272</v>
      </c>
      <c r="B237" s="24">
        <v>1197.5830078125</v>
      </c>
      <c r="C237" s="24">
        <v>782.59283447265625</v>
      </c>
      <c r="D237" s="24">
        <v>3374.158935546875</v>
      </c>
      <c r="E237" s="24">
        <v>999.31982421875</v>
      </c>
      <c r="F237" s="24">
        <v>1360.243896484375</v>
      </c>
      <c r="G237" s="24">
        <v>20906.400390625</v>
      </c>
    </row>
    <row r="238" spans="1:7" ht="15">
      <c r="A238" s="23">
        <v>45273</v>
      </c>
      <c r="B238" s="24">
        <v>1202.4739990234375</v>
      </c>
      <c r="C238" s="24">
        <v>780.8214111328125</v>
      </c>
      <c r="D238" s="24">
        <v>3301.982421875</v>
      </c>
      <c r="E238" s="24">
        <v>997.54888916015625</v>
      </c>
      <c r="F238" s="24">
        <v>1335.3162841796875</v>
      </c>
      <c r="G238" s="24">
        <v>20926.349609375</v>
      </c>
    </row>
    <row r="239" spans="1:7" ht="15">
      <c r="A239" s="23">
        <v>45274</v>
      </c>
      <c r="B239" s="24">
        <v>1217.39404296875</v>
      </c>
      <c r="C239" s="24">
        <v>790.03765869140625</v>
      </c>
      <c r="D239" s="24">
        <v>3369.701904296875</v>
      </c>
      <c r="E239" s="24">
        <v>1016.9803466796875</v>
      </c>
      <c r="F239" s="24">
        <v>1383.6510009765625</v>
      </c>
      <c r="G239" s="24">
        <v>21182.69921875</v>
      </c>
    </row>
    <row r="240" spans="1:7" ht="15">
      <c r="A240" s="23">
        <v>45275</v>
      </c>
      <c r="B240" s="24">
        <v>1232.9317626953125</v>
      </c>
      <c r="C240" s="24">
        <v>793.10186767578125</v>
      </c>
      <c r="D240" s="24">
        <v>3547.732177734375</v>
      </c>
      <c r="E240" s="24">
        <v>1020.669921875</v>
      </c>
      <c r="F240" s="24">
        <v>1454.5638427734375</v>
      </c>
      <c r="G240" s="24">
        <v>21456.650390625</v>
      </c>
    </row>
    <row r="241" spans="1:7" ht="15">
      <c r="A241" s="23">
        <v>45278</v>
      </c>
      <c r="B241" s="24">
        <v>1245.4803466796875</v>
      </c>
      <c r="C241" s="24">
        <v>792.69488525390625</v>
      </c>
      <c r="D241" s="24">
        <v>3546.078369140625</v>
      </c>
      <c r="E241" s="24">
        <v>1004.9771118164063</v>
      </c>
      <c r="F241" s="24">
        <v>1441.6160888671875</v>
      </c>
      <c r="G241" s="24">
        <v>21418.650390625</v>
      </c>
    </row>
    <row r="242" spans="1:7" ht="15">
      <c r="A242" s="23">
        <v>45279</v>
      </c>
      <c r="B242" s="24">
        <v>1263.8094482421875</v>
      </c>
      <c r="C242" s="24">
        <v>791.35430908203125</v>
      </c>
      <c r="D242" s="24">
        <v>3506.567138671875</v>
      </c>
      <c r="E242" s="24">
        <v>999.07391357421875</v>
      </c>
      <c r="F242" s="24">
        <v>1436.040771484375</v>
      </c>
      <c r="G242" s="24">
        <v>21453.099609375</v>
      </c>
    </row>
    <row r="243" spans="1:7" ht="15">
      <c r="A243" s="23">
        <v>45280</v>
      </c>
      <c r="B243" s="24">
        <v>1248.518798828125</v>
      </c>
      <c r="C243" s="24">
        <v>793.31732177734375</v>
      </c>
      <c r="D243" s="24">
        <v>3473.350341796875</v>
      </c>
      <c r="E243" s="24">
        <v>990.41583251953125</v>
      </c>
      <c r="F243" s="24">
        <v>1415.8590087890625</v>
      </c>
      <c r="G243" s="24">
        <v>21150.150390625</v>
      </c>
    </row>
    <row r="244" spans="1:7" ht="15">
      <c r="A244" s="23">
        <v>45281</v>
      </c>
      <c r="B244" s="24">
        <v>1266.0079345703125</v>
      </c>
      <c r="C244" s="24">
        <v>807.53656005859375</v>
      </c>
      <c r="D244" s="24">
        <v>3480.195556640625</v>
      </c>
      <c r="E244" s="24">
        <v>988.20208740234375</v>
      </c>
      <c r="F244" s="24">
        <v>1415.4903564453125</v>
      </c>
      <c r="G244" s="24">
        <v>21255.05078125</v>
      </c>
    </row>
    <row r="245" spans="1:7" ht="15">
      <c r="A245" s="23">
        <v>45282</v>
      </c>
      <c r="B245" s="24">
        <v>1267.2430419921875</v>
      </c>
      <c r="C245" s="24">
        <v>799.9481201171875</v>
      </c>
      <c r="D245" s="24">
        <v>3513.734619140625</v>
      </c>
      <c r="E245" s="24">
        <v>978.26495361328125</v>
      </c>
      <c r="F245" s="24">
        <v>1440.2799072265625</v>
      </c>
      <c r="G245" s="24">
        <v>21349.400390625</v>
      </c>
    </row>
    <row r="246" spans="1:7" ht="15">
      <c r="A246" s="23">
        <v>45286</v>
      </c>
      <c r="B246" s="24">
        <v>1273.6656494140625</v>
      </c>
      <c r="C246" s="24">
        <v>805.5018310546875</v>
      </c>
      <c r="D246" s="24">
        <v>3487.593017578125</v>
      </c>
      <c r="E246" s="24">
        <v>979.05206298828125</v>
      </c>
      <c r="F246" s="24">
        <v>1422.816650390625</v>
      </c>
      <c r="G246" s="24">
        <v>21441.349609375</v>
      </c>
    </row>
    <row r="247" spans="1:7" ht="15">
      <c r="A247" s="23">
        <v>45287</v>
      </c>
      <c r="B247" s="24">
        <v>1278.01318359375</v>
      </c>
      <c r="C247" s="24">
        <v>815.4842529296875</v>
      </c>
      <c r="D247" s="24">
        <v>3501.97265625</v>
      </c>
      <c r="E247" s="24">
        <v>986.0867919921875</v>
      </c>
      <c r="F247" s="24">
        <v>1444.150390625</v>
      </c>
      <c r="G247" s="24">
        <v>21654.75</v>
      </c>
    </row>
    <row r="248" spans="1:7" ht="15">
      <c r="A248" s="23">
        <v>45288</v>
      </c>
      <c r="B248" s="24">
        <v>1287.2518310546875</v>
      </c>
      <c r="C248" s="24">
        <v>816.417724609375</v>
      </c>
      <c r="D248" s="24">
        <v>3491.589599609375</v>
      </c>
      <c r="E248" s="24">
        <v>989.67791748046875</v>
      </c>
      <c r="F248" s="24">
        <v>1440.0494384765625</v>
      </c>
      <c r="G248" s="24">
        <v>21778.69921875</v>
      </c>
    </row>
    <row r="249" spans="1:7" ht="15">
      <c r="A249" s="23">
        <v>45289</v>
      </c>
      <c r="B249" s="24">
        <v>1277.074462890625</v>
      </c>
      <c r="C249" s="24">
        <v>818.33282470703125</v>
      </c>
      <c r="D249" s="24">
        <v>3485.61669921875</v>
      </c>
      <c r="E249" s="24">
        <v>980.52783203125</v>
      </c>
      <c r="F249" s="24">
        <v>1421.8489990234375</v>
      </c>
      <c r="G249" s="24">
        <v>21731.400390625</v>
      </c>
    </row>
    <row r="250" spans="1:7" ht="15">
      <c r="A250" s="23">
        <v>45292</v>
      </c>
      <c r="B250" s="24">
        <v>1279.69287109375</v>
      </c>
      <c r="C250" s="24">
        <v>812.99456787109375</v>
      </c>
      <c r="D250" s="24">
        <v>3501.880859375</v>
      </c>
      <c r="E250" s="24">
        <v>983.28271484375</v>
      </c>
      <c r="F250" s="24">
        <v>1429.6361083984375</v>
      </c>
      <c r="G250" s="24">
        <v>21741.900390625</v>
      </c>
    </row>
    <row r="251" spans="1:7" ht="15">
      <c r="A251" s="23">
        <v>45293</v>
      </c>
      <c r="B251" s="24">
        <v>1290.2900390625</v>
      </c>
      <c r="C251" s="24">
        <v>813.47332763671875</v>
      </c>
      <c r="D251" s="24">
        <v>3476.24462890625</v>
      </c>
      <c r="E251" s="24">
        <v>966.4093017578125</v>
      </c>
      <c r="F251" s="24">
        <v>1414.015869140625</v>
      </c>
      <c r="G251" s="24">
        <v>21665.80078125</v>
      </c>
    </row>
    <row r="252" spans="1:7" ht="15">
      <c r="A252" s="23">
        <v>45294</v>
      </c>
      <c r="B252" s="24">
        <v>1276.2593994140625</v>
      </c>
      <c r="C252" s="24">
        <v>800.92962646484375</v>
      </c>
      <c r="D252" s="24">
        <v>3392.21435546875</v>
      </c>
      <c r="E252" s="24">
        <v>968.18023681640625</v>
      </c>
      <c r="F252" s="24">
        <v>1373.0994873046875</v>
      </c>
      <c r="G252" s="24">
        <v>21517.349609375</v>
      </c>
    </row>
    <row r="253" spans="1:7" ht="15">
      <c r="A253" s="23">
        <v>45295</v>
      </c>
      <c r="B253" s="24">
        <v>1282.8546142578125</v>
      </c>
      <c r="C253" s="24">
        <v>809.52349853515625</v>
      </c>
      <c r="D253" s="24">
        <v>3369.288818359375</v>
      </c>
      <c r="E253" s="24">
        <v>971.23028564453125</v>
      </c>
      <c r="F253" s="24">
        <v>1394.0184326171875</v>
      </c>
      <c r="G253" s="24">
        <v>21658.599609375</v>
      </c>
    </row>
    <row r="254" spans="1:7" ht="15">
      <c r="A254" s="23">
        <v>45296</v>
      </c>
      <c r="B254" s="24">
        <v>1288.3138427734375</v>
      </c>
      <c r="C254" s="24">
        <v>805.38214111328125</v>
      </c>
      <c r="D254" s="24">
        <v>3434.6201171875</v>
      </c>
      <c r="E254" s="24">
        <v>977.67462158203125</v>
      </c>
      <c r="F254" s="24">
        <v>1412.3111572265625</v>
      </c>
      <c r="G254" s="24">
        <v>21710.80078125</v>
      </c>
    </row>
    <row r="255" spans="1:7" ht="15">
      <c r="A255" s="23">
        <v>45299</v>
      </c>
      <c r="B255" s="24">
        <v>1278.26025390625</v>
      </c>
      <c r="C255" s="24">
        <v>796.4052734375</v>
      </c>
      <c r="D255" s="24">
        <v>3379.85595703125</v>
      </c>
      <c r="E255" s="24">
        <v>966.163330078125</v>
      </c>
      <c r="F255" s="24">
        <v>1403.326171875</v>
      </c>
      <c r="G255" s="24">
        <v>21513</v>
      </c>
    </row>
    <row r="256" spans="1:7" ht="15">
      <c r="A256" s="23">
        <v>45300</v>
      </c>
      <c r="B256" s="24">
        <v>1274.8759765625</v>
      </c>
      <c r="C256" s="24">
        <v>790.20526123046875</v>
      </c>
      <c r="D256" s="24">
        <v>3390.514404296875</v>
      </c>
      <c r="E256" s="24">
        <v>963.9495849609375</v>
      </c>
      <c r="F256" s="24">
        <v>1409.3160400390625</v>
      </c>
      <c r="G256" s="24">
        <v>21544.849609375</v>
      </c>
    </row>
    <row r="257" spans="1:7" ht="15">
      <c r="A257" s="23">
        <v>45301</v>
      </c>
      <c r="B257" s="24">
        <v>1309.2613525390625</v>
      </c>
      <c r="C257" s="24">
        <v>792.81451416015625</v>
      </c>
      <c r="D257" s="24">
        <v>3411.785888671875</v>
      </c>
      <c r="E257" s="24">
        <v>977.03509521484375</v>
      </c>
      <c r="F257" s="24">
        <v>1400.6534423828125</v>
      </c>
      <c r="G257" s="24">
        <v>21618.69921875</v>
      </c>
    </row>
    <row r="258" spans="1:7" ht="15">
      <c r="A258" s="23">
        <v>45302</v>
      </c>
      <c r="B258" s="24">
        <v>1343.6961669921875</v>
      </c>
      <c r="C258" s="24">
        <v>789.48712158203125</v>
      </c>
      <c r="D258" s="24">
        <v>3432.460693359375</v>
      </c>
      <c r="E258" s="24">
        <v>975.165771484375</v>
      </c>
      <c r="F258" s="24">
        <v>1376.9698486328125</v>
      </c>
      <c r="G258" s="24">
        <v>21647.19921875</v>
      </c>
    </row>
    <row r="259" spans="1:7" ht="15">
      <c r="A259" s="23">
        <v>45303</v>
      </c>
      <c r="B259" s="24">
        <v>1354.39208984375</v>
      </c>
      <c r="C259" s="24">
        <v>785.752685546875</v>
      </c>
      <c r="D259" s="24">
        <v>3567.763671875</v>
      </c>
      <c r="E259" s="24">
        <v>987.31658935546875</v>
      </c>
      <c r="F259" s="24">
        <v>1486.2188720703125</v>
      </c>
      <c r="G259" s="24">
        <v>21894.55078125</v>
      </c>
    </row>
    <row r="260" spans="1:7" ht="15">
      <c r="A260" s="23">
        <v>45306</v>
      </c>
      <c r="B260" s="24">
        <v>1377.5130615234375</v>
      </c>
      <c r="C260" s="24">
        <v>800.88177490234375</v>
      </c>
      <c r="D260" s="24">
        <v>3587.059326171875</v>
      </c>
      <c r="E260" s="24">
        <v>993.56414794921875</v>
      </c>
      <c r="F260" s="24">
        <v>1522.4815673828125</v>
      </c>
      <c r="G260" s="24">
        <v>22097.44921875</v>
      </c>
    </row>
    <row r="261" spans="1:7" ht="15">
      <c r="A261" s="23">
        <v>45307</v>
      </c>
      <c r="B261" s="24">
        <v>1358.24560546875</v>
      </c>
      <c r="C261" s="24">
        <v>803.92193603515625</v>
      </c>
      <c r="D261" s="24">
        <v>3548.0078125</v>
      </c>
      <c r="E261" s="24">
        <v>992.777099609375</v>
      </c>
      <c r="F261" s="24">
        <v>1503.5438232421875</v>
      </c>
      <c r="G261" s="24">
        <v>22032.30078125</v>
      </c>
    </row>
    <row r="262" spans="1:7" ht="15">
      <c r="A262" s="23">
        <v>45308</v>
      </c>
      <c r="B262" s="24">
        <v>1345.35107421875</v>
      </c>
      <c r="C262" s="24">
        <v>736.10455322265625</v>
      </c>
      <c r="D262" s="24">
        <v>3569.4169921875</v>
      </c>
      <c r="E262" s="24">
        <v>965.9173583984375</v>
      </c>
      <c r="F262" s="24">
        <v>1511.51513671875</v>
      </c>
      <c r="G262" s="24">
        <v>21571.94921875</v>
      </c>
    </row>
    <row r="263" spans="1:7" ht="15">
      <c r="A263" s="23">
        <v>45309</v>
      </c>
      <c r="B263" s="24">
        <v>1351.6500244140625</v>
      </c>
      <c r="C263" s="24">
        <v>711.51983642578125</v>
      </c>
      <c r="D263" s="24">
        <v>3585.957275390625</v>
      </c>
      <c r="E263" s="24">
        <v>970.443115234375</v>
      </c>
      <c r="F263" s="24">
        <v>1513.7269287109375</v>
      </c>
      <c r="G263" s="24">
        <v>21462.25</v>
      </c>
    </row>
    <row r="264" spans="1:7" ht="15">
      <c r="A264" s="23">
        <v>45310</v>
      </c>
      <c r="B264" s="24">
        <v>1351.156005859375</v>
      </c>
      <c r="C264" s="24">
        <v>704.09893798828125</v>
      </c>
      <c r="D264" s="24">
        <v>3648.3662109375</v>
      </c>
      <c r="E264" s="24">
        <v>983.0859375</v>
      </c>
      <c r="F264" s="24">
        <v>1529.0245361328125</v>
      </c>
      <c r="G264" s="24">
        <v>21622.400390625</v>
      </c>
    </row>
    <row r="265" spans="1:7" ht="15">
      <c r="A265" s="23">
        <v>45314</v>
      </c>
      <c r="B265" s="24">
        <v>1312.7442626953125</v>
      </c>
      <c r="C265" s="24">
        <v>683.36834716796875</v>
      </c>
      <c r="D265" s="24">
        <v>3569.90380859375</v>
      </c>
      <c r="E265" s="24">
        <v>1012.45458984375</v>
      </c>
      <c r="F265" s="24">
        <v>1513.312255859375</v>
      </c>
      <c r="G265" s="24">
        <v>21238.80078125</v>
      </c>
    </row>
    <row r="266" spans="1:7" ht="15">
      <c r="A266" s="23">
        <v>45315</v>
      </c>
      <c r="B266" s="24">
        <v>1327.862060546875</v>
      </c>
      <c r="C266" s="24">
        <v>697.03717041015625</v>
      </c>
      <c r="D266" s="24">
        <v>3554.683349609375</v>
      </c>
      <c r="E266" s="24">
        <v>983.0859375</v>
      </c>
      <c r="F266" s="24">
        <v>1543.9534912109375</v>
      </c>
      <c r="G266" s="24">
        <v>21453.94921875</v>
      </c>
    </row>
    <row r="267" spans="1:7" ht="15">
      <c r="A267" s="23">
        <v>45316</v>
      </c>
      <c r="B267" s="24">
        <v>1336.9522705078125</v>
      </c>
      <c r="C267" s="24">
        <v>686.98309326171875</v>
      </c>
      <c r="D267" s="24">
        <v>3525.537353515625</v>
      </c>
      <c r="E267" s="24">
        <v>993.66259765625</v>
      </c>
      <c r="F267" s="24">
        <v>1538.147705078125</v>
      </c>
      <c r="G267" s="24">
        <v>21352.599609375</v>
      </c>
    </row>
    <row r="268" spans="1:7" ht="15">
      <c r="A268" s="23">
        <v>45320</v>
      </c>
      <c r="B268" s="24">
        <v>1430.795654296875</v>
      </c>
      <c r="C268" s="24">
        <v>696.43865966796875</v>
      </c>
      <c r="D268" s="24">
        <v>3516.93212890625</v>
      </c>
      <c r="E268" s="24">
        <v>1000.008544921875</v>
      </c>
      <c r="F268" s="24">
        <v>1526.62841796875</v>
      </c>
      <c r="G268" s="24">
        <v>21737.599609375</v>
      </c>
    </row>
    <row r="269" spans="1:7" ht="15">
      <c r="A269" s="23">
        <v>45321</v>
      </c>
      <c r="B269" s="24">
        <v>1390.8524169921875</v>
      </c>
      <c r="C269" s="24">
        <v>691.4835205078125</v>
      </c>
      <c r="D269" s="24">
        <v>3516.515625</v>
      </c>
      <c r="E269" s="24">
        <v>1000.5005493164063</v>
      </c>
      <c r="F269" s="24">
        <v>1521.88232421875</v>
      </c>
      <c r="G269" s="24">
        <v>21522.099609375</v>
      </c>
    </row>
    <row r="270" spans="1:7" ht="15">
      <c r="A270" s="23">
        <v>45322</v>
      </c>
      <c r="B270" s="24">
        <v>1409.6258544921875</v>
      </c>
      <c r="C270" s="24">
        <v>700.220947265625</v>
      </c>
      <c r="D270" s="24">
        <v>3530.764892578125</v>
      </c>
      <c r="E270" s="24">
        <v>1011.569091796875</v>
      </c>
      <c r="F270" s="24">
        <v>1530.5909423828125</v>
      </c>
      <c r="G270" s="24">
        <v>21725.69921875</v>
      </c>
    </row>
    <row r="271" spans="1:7" ht="15">
      <c r="A271" s="23">
        <v>45323</v>
      </c>
      <c r="B271" s="24">
        <v>1409.650634765625</v>
      </c>
      <c r="C271" s="24">
        <v>702.040283203125</v>
      </c>
      <c r="D271" s="24">
        <v>3566.10986328125</v>
      </c>
      <c r="E271" s="24">
        <v>1008.6174926757813</v>
      </c>
      <c r="F271" s="24">
        <v>1527.043212890625</v>
      </c>
      <c r="G271" s="24">
        <v>21697.44921875</v>
      </c>
    </row>
    <row r="272" spans="1:7" ht="15">
      <c r="A272" s="23">
        <v>45324</v>
      </c>
      <c r="B272" s="24">
        <v>1440.3306884765625</v>
      </c>
      <c r="C272" s="24">
        <v>692.36920166015625</v>
      </c>
      <c r="D272" s="24">
        <v>3669.878662109375</v>
      </c>
      <c r="E272" s="24">
        <v>1007.4859619140625</v>
      </c>
      <c r="F272" s="24">
        <v>1560.4952392578125</v>
      </c>
      <c r="G272" s="24">
        <v>21853.80078125</v>
      </c>
    </row>
    <row r="273" spans="1:7" ht="15">
      <c r="A273" s="23">
        <v>45327</v>
      </c>
      <c r="B273" s="24">
        <v>1421.8782958984375</v>
      </c>
      <c r="C273" s="24">
        <v>691.74676513671875</v>
      </c>
      <c r="D273" s="24">
        <v>3676.35546875</v>
      </c>
      <c r="E273" s="24">
        <v>1006.9940795898438</v>
      </c>
      <c r="F273" s="24">
        <v>1554.8277587890625</v>
      </c>
      <c r="G273" s="24">
        <v>21771.69921875</v>
      </c>
    </row>
    <row r="274" spans="1:7" ht="15">
      <c r="A274" s="23">
        <v>45328</v>
      </c>
      <c r="B274" s="24">
        <v>1410.7869873046875</v>
      </c>
      <c r="C274" s="24">
        <v>691.3876953125</v>
      </c>
      <c r="D274" s="24">
        <v>3826.895751953125</v>
      </c>
      <c r="E274" s="24">
        <v>1009.8472900390625</v>
      </c>
      <c r="F274" s="24">
        <v>1593.762939453125</v>
      </c>
      <c r="G274" s="24">
        <v>21929.400390625</v>
      </c>
    </row>
    <row r="275" spans="1:7" ht="15">
      <c r="A275" s="23">
        <v>45329</v>
      </c>
      <c r="B275" s="24">
        <v>1424.966064453125</v>
      </c>
      <c r="C275" s="24">
        <v>684.6131591796875</v>
      </c>
      <c r="D275" s="24">
        <v>3778.226806640625</v>
      </c>
      <c r="E275" s="24">
        <v>1005.6658325195313</v>
      </c>
      <c r="F275" s="24">
        <v>1560.8638916015625</v>
      </c>
      <c r="G275" s="24">
        <v>21930.5</v>
      </c>
    </row>
    <row r="276" spans="1:7" ht="15">
      <c r="A276" s="23">
        <v>45330</v>
      </c>
      <c r="B276" s="24">
        <v>1432.845947265625</v>
      </c>
      <c r="C276" s="24">
        <v>671.73431396484375</v>
      </c>
      <c r="D276" s="24">
        <v>3825.137451171875</v>
      </c>
      <c r="E276" s="24">
        <v>973.3455810546875</v>
      </c>
      <c r="F276" s="24">
        <v>1559.34326171875</v>
      </c>
      <c r="G276" s="24">
        <v>21717.94921875</v>
      </c>
    </row>
    <row r="277" spans="1:7" ht="15">
      <c r="A277" s="23">
        <v>45331</v>
      </c>
      <c r="B277" s="24">
        <v>1443.3443603515625</v>
      </c>
      <c r="C277" s="24">
        <v>671.99761962890625</v>
      </c>
      <c r="D277" s="24">
        <v>3824.767578125</v>
      </c>
      <c r="E277" s="24">
        <v>994.4005126953125</v>
      </c>
      <c r="F277" s="24">
        <v>1538.3779296875</v>
      </c>
      <c r="G277" s="24">
        <v>21782.5</v>
      </c>
    </row>
    <row r="278" spans="1:7" ht="15">
      <c r="A278" s="23">
        <v>45334</v>
      </c>
      <c r="B278" s="24">
        <v>1435.04443359375</v>
      </c>
      <c r="C278" s="24">
        <v>665.486328125</v>
      </c>
      <c r="D278" s="24">
        <v>3812.739501953125</v>
      </c>
      <c r="E278" s="24">
        <v>980.035888671875</v>
      </c>
      <c r="F278" s="24">
        <v>1548.2847900390625</v>
      </c>
      <c r="G278" s="24">
        <v>21616.05078125</v>
      </c>
    </row>
    <row r="279" spans="1:7" ht="15">
      <c r="A279" s="23">
        <v>45335</v>
      </c>
      <c r="B279" s="24">
        <v>1447.6424560546875</v>
      </c>
      <c r="C279" s="24">
        <v>667.616943359375</v>
      </c>
      <c r="D279" s="24">
        <v>3839.38720703125</v>
      </c>
      <c r="E279" s="24">
        <v>1003.3536987304688</v>
      </c>
      <c r="F279" s="24">
        <v>1552.3857421875</v>
      </c>
      <c r="G279" s="24">
        <v>21743.25</v>
      </c>
    </row>
    <row r="280" spans="1:7" ht="15">
      <c r="A280" s="23">
        <v>45336</v>
      </c>
      <c r="B280" s="24">
        <v>1463.7235107421875</v>
      </c>
      <c r="C280" s="24">
        <v>662.6378173828125</v>
      </c>
      <c r="D280" s="24">
        <v>3793.679443359375</v>
      </c>
      <c r="E280" s="24">
        <v>1006.2069702148438</v>
      </c>
      <c r="F280" s="24">
        <v>1535.4752197265625</v>
      </c>
      <c r="G280" s="24">
        <v>21840.05078125</v>
      </c>
    </row>
    <row r="281" spans="1:7" ht="15">
      <c r="A281" s="23">
        <v>45337</v>
      </c>
      <c r="B281" s="24">
        <v>1453.076904296875</v>
      </c>
      <c r="C281" s="24">
        <v>677.00079345703125</v>
      </c>
      <c r="D281" s="24">
        <v>3796.54736328125</v>
      </c>
      <c r="E281" s="24">
        <v>1000.2545166015625</v>
      </c>
      <c r="F281" s="24">
        <v>1544.8289794921875</v>
      </c>
      <c r="G281" s="24">
        <v>21910.75</v>
      </c>
    </row>
    <row r="282" spans="1:7" ht="15">
      <c r="A282" s="23">
        <v>45338</v>
      </c>
      <c r="B282" s="24">
        <v>1443.17138671875</v>
      </c>
      <c r="C282" s="24">
        <v>679.801513671875</v>
      </c>
      <c r="D282" s="24">
        <v>3819.771728515625</v>
      </c>
      <c r="E282" s="24">
        <v>1006.7481079101563</v>
      </c>
      <c r="F282" s="24">
        <v>1568.14404296875</v>
      </c>
      <c r="G282" s="24">
        <v>22040.69921875</v>
      </c>
    </row>
    <row r="283" spans="1:7" ht="15">
      <c r="A283" s="23">
        <v>45341</v>
      </c>
      <c r="B283" s="24">
        <v>1456.4365234375</v>
      </c>
      <c r="C283" s="24">
        <v>678.46099853515625</v>
      </c>
      <c r="D283" s="24">
        <v>3797.1025390625</v>
      </c>
      <c r="E283" s="24">
        <v>1026.91748046875</v>
      </c>
      <c r="F283" s="24">
        <v>1566.3931884765625</v>
      </c>
      <c r="G283" s="24">
        <v>22122.25</v>
      </c>
    </row>
    <row r="284" spans="1:7" ht="15">
      <c r="A284" s="23">
        <v>45342</v>
      </c>
      <c r="B284" s="24">
        <v>1453.4969482421875</v>
      </c>
      <c r="C284" s="24">
        <v>696.2711181640625</v>
      </c>
      <c r="D284" s="24">
        <v>3729.41943359375</v>
      </c>
      <c r="E284" s="24">
        <v>1031.8367919921875</v>
      </c>
      <c r="F284" s="24">
        <v>1553.0306396484375</v>
      </c>
      <c r="G284" s="24">
        <v>22196.94921875</v>
      </c>
    </row>
    <row r="285" spans="1:7" ht="15">
      <c r="A285" s="23">
        <v>45343</v>
      </c>
      <c r="B285" s="24">
        <v>1450.2115478515625</v>
      </c>
      <c r="C285" s="24">
        <v>689.017822265625</v>
      </c>
      <c r="D285" s="24">
        <v>3693.195068359375</v>
      </c>
      <c r="E285" s="24">
        <v>1034.985107421875</v>
      </c>
      <c r="F285" s="24">
        <v>1525.6607666015625</v>
      </c>
      <c r="G285" s="24">
        <v>22055.05078125</v>
      </c>
    </row>
    <row r="286" spans="1:7" ht="15">
      <c r="A286" s="23">
        <v>45344</v>
      </c>
      <c r="B286" s="24">
        <v>1464.0941162109375</v>
      </c>
      <c r="C286" s="24">
        <v>679.63397216796875</v>
      </c>
      <c r="D286" s="24">
        <v>3781.650390625</v>
      </c>
      <c r="E286" s="24">
        <v>1045.5618896484375</v>
      </c>
      <c r="F286" s="24">
        <v>1549.436767578125</v>
      </c>
      <c r="G286" s="24">
        <v>22217.44921875</v>
      </c>
    </row>
    <row r="287" spans="1:7" ht="15">
      <c r="A287" s="23">
        <v>45345</v>
      </c>
      <c r="B287" s="24">
        <v>1475.82763671875</v>
      </c>
      <c r="C287" s="24">
        <v>680.13665771484375</v>
      </c>
      <c r="D287" s="24">
        <v>3749.266357421875</v>
      </c>
      <c r="E287" s="24">
        <v>1044.1845703125</v>
      </c>
      <c r="F287" s="24">
        <v>1545.289794921875</v>
      </c>
      <c r="G287" s="24">
        <v>22212.69921875</v>
      </c>
    </row>
    <row r="288" spans="1:7" ht="15">
      <c r="A288" s="23">
        <v>45348</v>
      </c>
      <c r="B288" s="24">
        <v>1469.6026611328125</v>
      </c>
      <c r="C288" s="24">
        <v>680.95062255859375</v>
      </c>
      <c r="D288" s="24">
        <v>3702.031494140625</v>
      </c>
      <c r="E288" s="24">
        <v>1037.1988525390625</v>
      </c>
      <c r="F288" s="24">
        <v>1529.89990234375</v>
      </c>
      <c r="G288" s="24">
        <v>22122.05078125</v>
      </c>
    </row>
    <row r="289" spans="1:7" ht="15">
      <c r="A289" s="23">
        <v>45349</v>
      </c>
      <c r="B289" s="24">
        <v>1467.94775390625</v>
      </c>
      <c r="C289" s="24">
        <v>679.9212646484375</v>
      </c>
      <c r="D289" s="24">
        <v>3797.657470703125</v>
      </c>
      <c r="E289" s="24">
        <v>1043.1021728515625</v>
      </c>
      <c r="F289" s="24">
        <v>1533.0792236328125</v>
      </c>
      <c r="G289" s="24">
        <v>22198.349609375</v>
      </c>
    </row>
    <row r="290" spans="1:7" ht="15">
      <c r="A290" s="23">
        <v>45350</v>
      </c>
      <c r="B290" s="24">
        <v>1438.280517578125</v>
      </c>
      <c r="C290" s="24">
        <v>674.77447509765625</v>
      </c>
      <c r="D290" s="24">
        <v>3811.12060546875</v>
      </c>
      <c r="E290" s="24">
        <v>1029.327880859375</v>
      </c>
      <c r="F290" s="24">
        <v>1540.129150390625</v>
      </c>
      <c r="G290" s="24">
        <v>21951.150390625</v>
      </c>
    </row>
    <row r="291" spans="1:7" ht="15">
      <c r="A291" s="23">
        <v>45351</v>
      </c>
      <c r="B291" s="24">
        <v>1443.3939208984375</v>
      </c>
      <c r="C291" s="24">
        <v>671.90191650390625</v>
      </c>
      <c r="D291" s="24">
        <v>3789.052734375</v>
      </c>
      <c r="E291" s="24">
        <v>1035.231201171875</v>
      </c>
      <c r="F291" s="24">
        <v>1542.5711669921875</v>
      </c>
      <c r="G291" s="24">
        <v>21982.80078125</v>
      </c>
    </row>
    <row r="292" spans="1:7" ht="15">
      <c r="A292" s="23">
        <v>45352</v>
      </c>
      <c r="B292" s="24">
        <v>1474.3455810546875</v>
      </c>
      <c r="C292" s="24">
        <v>684.99615478515625</v>
      </c>
      <c r="D292" s="24">
        <v>3788.35888671875</v>
      </c>
      <c r="E292" s="24">
        <v>1069.37158203125</v>
      </c>
      <c r="F292" s="24">
        <v>1524.8775634765625</v>
      </c>
      <c r="G292" s="24">
        <v>22338.75</v>
      </c>
    </row>
    <row r="293" spans="1:7" ht="15">
      <c r="A293" s="23">
        <v>45355</v>
      </c>
      <c r="B293" s="24">
        <v>1489.4384765625</v>
      </c>
      <c r="C293" s="24">
        <v>685.9296875</v>
      </c>
      <c r="D293" s="24">
        <v>3775.728271484375</v>
      </c>
      <c r="E293" s="24">
        <v>1074.733642578125</v>
      </c>
      <c r="F293" s="24">
        <v>1508.7506103515625</v>
      </c>
      <c r="G293" s="24">
        <v>22405.599609375</v>
      </c>
    </row>
    <row r="294" spans="1:7" ht="15">
      <c r="A294" s="23">
        <v>45356</v>
      </c>
      <c r="B294" s="24">
        <v>1482.32421875</v>
      </c>
      <c r="C294" s="24">
        <v>689.83160400390625</v>
      </c>
      <c r="D294" s="24">
        <v>3712.255859375</v>
      </c>
      <c r="E294" s="24">
        <v>1070.503173828125</v>
      </c>
      <c r="F294" s="24">
        <v>1480.459228515625</v>
      </c>
      <c r="G294" s="24">
        <v>22356.30078125</v>
      </c>
    </row>
    <row r="295" spans="1:7" ht="15">
      <c r="A295" s="23">
        <v>45357</v>
      </c>
      <c r="B295" s="24">
        <v>1485.0909423828125</v>
      </c>
      <c r="C295" s="24">
        <v>690.66949462890625</v>
      </c>
      <c r="D295" s="24">
        <v>3760.5546875</v>
      </c>
      <c r="E295" s="24">
        <v>1079.4071044921875</v>
      </c>
      <c r="F295" s="24">
        <v>1490.6422119140625</v>
      </c>
      <c r="G295" s="24">
        <v>22474.05078125</v>
      </c>
    </row>
    <row r="296" spans="1:7" ht="15">
      <c r="A296" s="23">
        <v>45358</v>
      </c>
      <c r="B296" s="24">
        <v>1461.3028564453125</v>
      </c>
      <c r="C296" s="24">
        <v>692.34521484375</v>
      </c>
      <c r="D296" s="24">
        <v>3801.54345703125</v>
      </c>
      <c r="E296" s="24">
        <v>1070.4046630859375</v>
      </c>
      <c r="F296" s="24">
        <v>1489.628662109375</v>
      </c>
      <c r="G296" s="24">
        <v>22493.55078125</v>
      </c>
    </row>
    <row r="297" spans="1:7" ht="15">
      <c r="A297" s="23">
        <v>45362</v>
      </c>
      <c r="B297" s="24">
        <v>1449.1246337890625</v>
      </c>
      <c r="C297" s="24">
        <v>683.58380126953125</v>
      </c>
      <c r="D297" s="24">
        <v>3814.266357421875</v>
      </c>
      <c r="E297" s="24">
        <v>1061.3037109375</v>
      </c>
      <c r="F297" s="24">
        <v>1475.02197265625</v>
      </c>
      <c r="G297" s="24">
        <v>22332.650390625</v>
      </c>
    </row>
    <row r="298" spans="1:7" ht="15">
      <c r="A298" s="23">
        <v>45363</v>
      </c>
      <c r="B298" s="24">
        <v>1457.844482421875</v>
      </c>
      <c r="C298" s="24">
        <v>698.78466796875</v>
      </c>
      <c r="D298" s="24">
        <v>3878.942626953125</v>
      </c>
      <c r="E298" s="24">
        <v>1059.483642578125</v>
      </c>
      <c r="F298" s="24">
        <v>1486.4029541015625</v>
      </c>
      <c r="G298" s="24">
        <v>22335.69921875</v>
      </c>
    </row>
    <row r="299" spans="1:7" ht="15">
      <c r="A299" s="23">
        <v>45364</v>
      </c>
      <c r="B299" s="24">
        <v>1415.10986328125</v>
      </c>
      <c r="C299" s="24">
        <v>699.19158935546875</v>
      </c>
      <c r="D299" s="24">
        <v>3838.924072265625</v>
      </c>
      <c r="E299" s="24">
        <v>1066.4691162109375</v>
      </c>
      <c r="F299" s="24">
        <v>1484.9747314453125</v>
      </c>
      <c r="G299" s="24">
        <v>21997.69921875</v>
      </c>
    </row>
    <row r="300" spans="1:7" ht="15">
      <c r="A300" s="23">
        <v>45365</v>
      </c>
      <c r="B300" s="24">
        <v>1414.4180908203125</v>
      </c>
      <c r="C300" s="24">
        <v>696.82171630859375</v>
      </c>
      <c r="D300" s="24">
        <v>3893.14501953125</v>
      </c>
      <c r="E300" s="24">
        <v>1066.124755859375</v>
      </c>
      <c r="F300" s="24">
        <v>1523.58740234375</v>
      </c>
      <c r="G300" s="24">
        <v>22146.650390625</v>
      </c>
    </row>
    <row r="301" spans="1:7" ht="15">
      <c r="A301" s="23">
        <v>45366</v>
      </c>
      <c r="B301" s="24">
        <v>1401.3260498046875</v>
      </c>
      <c r="C301" s="24">
        <v>695.48114013671875</v>
      </c>
      <c r="D301" s="24">
        <v>3903.923583984375</v>
      </c>
      <c r="E301" s="24">
        <v>1062.92724609375</v>
      </c>
      <c r="F301" s="24">
        <v>1505.8017578125</v>
      </c>
      <c r="G301" s="24">
        <v>22023.349609375</v>
      </c>
    </row>
    <row r="302" spans="1:7" ht="15">
      <c r="A302" s="23">
        <v>45369</v>
      </c>
      <c r="B302" s="24">
        <v>1422.32275390625</v>
      </c>
      <c r="C302" s="24">
        <v>692.3212890625</v>
      </c>
      <c r="D302" s="24">
        <v>3842.16259765625</v>
      </c>
      <c r="E302" s="24">
        <v>1063.7635498046875</v>
      </c>
      <c r="F302" s="24">
        <v>1476.9111328125</v>
      </c>
      <c r="G302" s="24">
        <v>22055.69921875</v>
      </c>
    </row>
    <row r="303" spans="1:7" ht="15">
      <c r="A303" s="23">
        <v>45370</v>
      </c>
      <c r="B303" s="24">
        <v>1408.267333984375</v>
      </c>
      <c r="C303" s="24">
        <v>693.9012451171875</v>
      </c>
      <c r="D303" s="24">
        <v>3680.056640625</v>
      </c>
      <c r="E303" s="24">
        <v>1066.4691162109375</v>
      </c>
      <c r="F303" s="24">
        <v>1438.943603515625</v>
      </c>
      <c r="G303" s="24">
        <v>21817.44921875</v>
      </c>
    </row>
    <row r="304" spans="1:7" ht="15">
      <c r="A304" s="23">
        <v>45371</v>
      </c>
      <c r="B304" s="24">
        <v>1426.5469970703125</v>
      </c>
      <c r="C304" s="24">
        <v>685.13983154296875</v>
      </c>
      <c r="D304" s="24">
        <v>3674.134765625</v>
      </c>
      <c r="E304" s="24">
        <v>1067.0103759765625</v>
      </c>
      <c r="F304" s="24">
        <v>1432.9534912109375</v>
      </c>
      <c r="G304" s="24">
        <v>21839.099609375</v>
      </c>
    </row>
    <row r="305" spans="1:7" ht="15">
      <c r="A305" s="23">
        <v>45372</v>
      </c>
      <c r="B305" s="24">
        <v>1433.6856689453125</v>
      </c>
      <c r="C305" s="24">
        <v>692.177734375</v>
      </c>
      <c r="D305" s="24">
        <v>3676.031494140625</v>
      </c>
      <c r="E305" s="24">
        <v>1064.3538818359375</v>
      </c>
      <c r="F305" s="24">
        <v>1432.72314453125</v>
      </c>
      <c r="G305" s="24">
        <v>22011.94921875</v>
      </c>
    </row>
    <row r="306" spans="1:7" ht="15">
      <c r="A306" s="23">
        <v>45373</v>
      </c>
      <c r="B306" s="24">
        <v>1437.6875</v>
      </c>
      <c r="C306" s="24">
        <v>690.7891845703125</v>
      </c>
      <c r="D306" s="24">
        <v>3618.61865234375</v>
      </c>
      <c r="E306" s="24">
        <v>1072.716796875</v>
      </c>
      <c r="F306" s="24">
        <v>1390.4703369140625</v>
      </c>
      <c r="G306" s="24">
        <v>22096.75</v>
      </c>
    </row>
    <row r="307" spans="1:7" ht="15">
      <c r="A307" s="23">
        <v>45377</v>
      </c>
      <c r="B307" s="24">
        <v>1424.3978271484375</v>
      </c>
      <c r="C307" s="24">
        <v>682.43475341796875</v>
      </c>
      <c r="D307" s="24">
        <v>3587.715087890625</v>
      </c>
      <c r="E307" s="24">
        <v>1066.22314453125</v>
      </c>
      <c r="F307" s="24">
        <v>1375.54150390625</v>
      </c>
      <c r="G307" s="24">
        <v>22004.69921875</v>
      </c>
    </row>
    <row r="308" spans="1:7" ht="15">
      <c r="A308" s="23">
        <v>45378</v>
      </c>
      <c r="B308" s="24">
        <v>1475.061767578125</v>
      </c>
      <c r="C308" s="24">
        <v>689.7598876953125</v>
      </c>
      <c r="D308" s="24">
        <v>3553.849853515625</v>
      </c>
      <c r="E308" s="24">
        <v>1066.2724609375</v>
      </c>
      <c r="F308" s="24">
        <v>1367.4317626953125</v>
      </c>
      <c r="G308" s="24">
        <v>22123.650390625</v>
      </c>
    </row>
    <row r="309" spans="1:7" ht="15">
      <c r="A309" s="23">
        <v>45379</v>
      </c>
      <c r="B309" s="24">
        <v>1468.1451416015625</v>
      </c>
      <c r="C309" s="24">
        <v>693.20703125</v>
      </c>
      <c r="D309" s="24">
        <v>3586.604736328125</v>
      </c>
      <c r="E309" s="24">
        <v>1075.66845703125</v>
      </c>
      <c r="F309" s="24">
        <v>1380.5177001953125</v>
      </c>
      <c r="G309" s="24">
        <v>22326.900390625</v>
      </c>
    </row>
    <row r="310" spans="1:7" ht="15">
      <c r="A310" s="23">
        <v>45383</v>
      </c>
      <c r="B310" s="24">
        <v>1467.0831298828125</v>
      </c>
      <c r="C310" s="24">
        <v>704.027099609375</v>
      </c>
      <c r="D310" s="24">
        <v>3624.031494140625</v>
      </c>
      <c r="E310" s="24">
        <v>1081.916015625</v>
      </c>
      <c r="F310" s="24">
        <v>1378.1217041015625</v>
      </c>
      <c r="G310" s="24">
        <v>22462</v>
      </c>
    </row>
    <row r="311" spans="1:7" ht="15">
      <c r="A311" s="23">
        <v>45384</v>
      </c>
      <c r="B311" s="24">
        <v>1469.2320556640625</v>
      </c>
      <c r="C311" s="24">
        <v>708.64727783203125</v>
      </c>
      <c r="D311" s="24">
        <v>3593.543701171875</v>
      </c>
      <c r="E311" s="24">
        <v>1063.7635498046875</v>
      </c>
      <c r="F311" s="24">
        <v>1366.5103759765625</v>
      </c>
      <c r="G311" s="24">
        <v>22453.30078125</v>
      </c>
    </row>
    <row r="312" spans="1:7" ht="15">
      <c r="A312" s="23">
        <v>45385</v>
      </c>
      <c r="B312" s="24">
        <v>1454.0650634765625</v>
      </c>
      <c r="C312" s="24">
        <v>709.6766357421875</v>
      </c>
      <c r="D312" s="24">
        <v>3652.298583984375</v>
      </c>
      <c r="E312" s="24">
        <v>1059.827880859375</v>
      </c>
      <c r="F312" s="24">
        <v>1364.48291015625</v>
      </c>
      <c r="G312" s="24">
        <v>22434.650390625</v>
      </c>
    </row>
    <row r="313" spans="1:7" ht="15">
      <c r="A313" s="23">
        <v>45386</v>
      </c>
      <c r="B313" s="24">
        <v>1445.4935302734375</v>
      </c>
      <c r="C313" s="24">
        <v>731.36480712890625</v>
      </c>
      <c r="D313" s="24">
        <v>3704.11376953125</v>
      </c>
      <c r="E313" s="24">
        <v>1061.451416015625</v>
      </c>
      <c r="F313" s="24">
        <v>1370.0582275390625</v>
      </c>
      <c r="G313" s="24">
        <v>22514.650390625</v>
      </c>
    </row>
    <row r="314" spans="1:7" ht="15">
      <c r="A314" s="23">
        <v>45387</v>
      </c>
      <c r="B314" s="24">
        <v>1442.7020263671875</v>
      </c>
      <c r="C314" s="24">
        <v>741.87371826171875</v>
      </c>
      <c r="D314" s="24">
        <v>3681.861083984375</v>
      </c>
      <c r="E314" s="24">
        <v>1065.9281005859375</v>
      </c>
      <c r="F314" s="24">
        <v>1363.0545654296875</v>
      </c>
      <c r="G314" s="24">
        <v>22513.69921875</v>
      </c>
    </row>
    <row r="315" spans="1:7" ht="15">
      <c r="A315" s="23">
        <v>45390</v>
      </c>
      <c r="B315" s="24">
        <v>1468.268798828125</v>
      </c>
      <c r="C315" s="24">
        <v>740.4613037109375</v>
      </c>
      <c r="D315" s="24">
        <v>3675.661376953125</v>
      </c>
      <c r="E315" s="24">
        <v>1069.6175537109375</v>
      </c>
      <c r="F315" s="24">
        <v>1360.8427734375</v>
      </c>
      <c r="G315" s="24">
        <v>22666.30078125</v>
      </c>
    </row>
    <row r="316" spans="1:7" ht="15">
      <c r="A316" s="23">
        <v>45391</v>
      </c>
      <c r="B316" s="24">
        <v>1446.209716796875</v>
      </c>
      <c r="C316" s="24">
        <v>741.39495849609375</v>
      </c>
      <c r="D316" s="24">
        <v>3651.6044921875</v>
      </c>
      <c r="E316" s="24">
        <v>1089.1966552734375</v>
      </c>
      <c r="F316" s="24">
        <v>1377.56884765625</v>
      </c>
      <c r="G316" s="24">
        <v>22642.75</v>
      </c>
    </row>
    <row r="317" spans="1:7" ht="15">
      <c r="A317" s="23">
        <v>45392</v>
      </c>
      <c r="B317" s="24">
        <v>1461.945068359375</v>
      </c>
      <c r="C317" s="24">
        <v>735.55401611328125</v>
      </c>
      <c r="D317" s="24">
        <v>3686.857177734375</v>
      </c>
      <c r="E317" s="24">
        <v>1091.5087890625</v>
      </c>
      <c r="F317" s="24">
        <v>1388.5814208984375</v>
      </c>
      <c r="G317" s="24">
        <v>22753.80078125</v>
      </c>
    </row>
    <row r="318" spans="1:7" ht="15">
      <c r="A318" s="23">
        <v>45394</v>
      </c>
      <c r="B318" s="24">
        <v>1449.6680908203125</v>
      </c>
      <c r="C318" s="24">
        <v>727.22344970703125</v>
      </c>
      <c r="D318" s="24">
        <v>3702.35546875</v>
      </c>
      <c r="E318" s="24">
        <v>1086.58935546875</v>
      </c>
      <c r="F318" s="24">
        <v>1368.2611083984375</v>
      </c>
      <c r="G318" s="24">
        <v>22519.400390625</v>
      </c>
    </row>
    <row r="319" spans="1:7" ht="15">
      <c r="A319" s="23">
        <v>45397</v>
      </c>
      <c r="B319" s="24">
        <v>1447.3707275390625</v>
      </c>
      <c r="C319" s="24">
        <v>715.61322021484375</v>
      </c>
      <c r="D319" s="24">
        <v>3646.654296875</v>
      </c>
      <c r="E319" s="24">
        <v>1060.95947265625</v>
      </c>
      <c r="F319" s="24">
        <v>1352.9637451171875</v>
      </c>
      <c r="G319" s="24">
        <v>22272.5</v>
      </c>
    </row>
    <row r="320" spans="1:7" ht="15">
      <c r="A320" s="23">
        <v>45398</v>
      </c>
      <c r="B320" s="24">
        <v>1448.2847900390625</v>
      </c>
      <c r="C320" s="24">
        <v>722.57940673828125</v>
      </c>
      <c r="D320" s="24">
        <v>3583.3662109375</v>
      </c>
      <c r="E320" s="24">
        <v>1049.841796875</v>
      </c>
      <c r="F320" s="24">
        <v>1303.4766845703125</v>
      </c>
      <c r="G320" s="24">
        <v>22147.900390625</v>
      </c>
    </row>
    <row r="321" spans="1:7" ht="15">
      <c r="A321" s="23">
        <v>45400</v>
      </c>
      <c r="B321" s="24">
        <v>1446.876708984375</v>
      </c>
      <c r="C321" s="24">
        <v>715.61322021484375</v>
      </c>
      <c r="D321" s="24">
        <v>3573.373291015625</v>
      </c>
      <c r="E321" s="24">
        <v>1038.4288330078125</v>
      </c>
      <c r="F321" s="24">
        <v>1307.9002685546875</v>
      </c>
      <c r="G321" s="24">
        <v>21995.849609375</v>
      </c>
    </row>
    <row r="322" spans="1:7" ht="15">
      <c r="A322" s="23">
        <v>45401</v>
      </c>
      <c r="B322" s="24">
        <v>1452.6075439453125</v>
      </c>
      <c r="C322" s="24">
        <v>733.13623046875</v>
      </c>
      <c r="D322" s="24">
        <v>3540.2490234375</v>
      </c>
      <c r="E322" s="24">
        <v>1050.03857421875</v>
      </c>
      <c r="F322" s="24">
        <v>1300.5279541015625</v>
      </c>
      <c r="G322" s="24">
        <v>22147</v>
      </c>
    </row>
    <row r="323" spans="1:7" ht="15">
      <c r="A323" s="23">
        <v>45404</v>
      </c>
      <c r="B323" s="24">
        <v>1462.2166748046875</v>
      </c>
      <c r="C323" s="24">
        <v>723.99169921875</v>
      </c>
      <c r="D323" s="24">
        <v>3575.779052734375</v>
      </c>
      <c r="E323" s="24">
        <v>1069.125732421875</v>
      </c>
      <c r="F323" s="24">
        <v>1320.341064453125</v>
      </c>
      <c r="G323" s="24">
        <v>22336.400390625</v>
      </c>
    </row>
    <row r="324" spans="1:7" ht="15">
      <c r="A324" s="23">
        <v>45405</v>
      </c>
      <c r="B324" s="24">
        <v>1441.936279296875</v>
      </c>
      <c r="C324" s="24">
        <v>721.78936767578125</v>
      </c>
      <c r="D324" s="24">
        <v>3585.12451171875</v>
      </c>
      <c r="E324" s="24">
        <v>1072.6676025390625</v>
      </c>
      <c r="F324" s="24">
        <v>1329.2340087890625</v>
      </c>
      <c r="G324" s="24">
        <v>22368</v>
      </c>
    </row>
    <row r="325" spans="1:7" ht="15">
      <c r="A325" s="23">
        <v>45406</v>
      </c>
      <c r="B325" s="24">
        <v>1432.895263671875</v>
      </c>
      <c r="C325" s="24">
        <v>723.7523193359375</v>
      </c>
      <c r="D325" s="24">
        <v>3544.736328125</v>
      </c>
      <c r="E325" s="24">
        <v>1079.062744140625</v>
      </c>
      <c r="F325" s="24">
        <v>1318.498046875</v>
      </c>
      <c r="G325" s="24">
        <v>22402.400390625</v>
      </c>
    </row>
    <row r="326" spans="1:7" ht="15">
      <c r="A326" s="23">
        <v>45407</v>
      </c>
      <c r="B326" s="24">
        <v>1442.5784912109375</v>
      </c>
      <c r="C326" s="24">
        <v>723.297607421875</v>
      </c>
      <c r="D326" s="24">
        <v>3564.3056640625</v>
      </c>
      <c r="E326" s="24">
        <v>1095.78857421875</v>
      </c>
      <c r="F326" s="24">
        <v>1325.59375</v>
      </c>
      <c r="G326" s="24">
        <v>22570.349609375</v>
      </c>
    </row>
    <row r="327" spans="1:7" ht="15">
      <c r="A327" s="23">
        <v>45408</v>
      </c>
      <c r="B327" s="24">
        <v>1435.2420654296875</v>
      </c>
      <c r="C327" s="24">
        <v>722.8427734375</v>
      </c>
      <c r="D327" s="24">
        <v>3535.761474609375</v>
      </c>
      <c r="E327" s="24">
        <v>1090.032958984375</v>
      </c>
      <c r="F327" s="24">
        <v>1318.0372314453125</v>
      </c>
      <c r="G327" s="24">
        <v>22419.94921875</v>
      </c>
    </row>
    <row r="328" spans="1:7" ht="15">
      <c r="A328" s="23">
        <v>45411</v>
      </c>
      <c r="B328" s="24">
        <v>1447.5684814453125</v>
      </c>
      <c r="C328" s="24">
        <v>732.2744140625</v>
      </c>
      <c r="D328" s="24">
        <v>3580.960205078125</v>
      </c>
      <c r="E328" s="24">
        <v>1141.4403076171875</v>
      </c>
      <c r="F328" s="24">
        <v>1322.1842041015625</v>
      </c>
      <c r="G328" s="24">
        <v>22643.400390625</v>
      </c>
    </row>
    <row r="329" spans="1:7" ht="15">
      <c r="A329" s="23">
        <v>45412</v>
      </c>
      <c r="B329" s="24">
        <v>1449.5198974609375</v>
      </c>
      <c r="C329" s="24">
        <v>727.77398681640625</v>
      </c>
      <c r="D329" s="24">
        <v>3535.113037109375</v>
      </c>
      <c r="E329" s="24">
        <v>1131.8475341796875</v>
      </c>
      <c r="F329" s="24">
        <v>1309.09814453125</v>
      </c>
      <c r="G329" s="24">
        <v>22604.849609375</v>
      </c>
    </row>
    <row r="330" spans="1:7" ht="15">
      <c r="A330" s="23">
        <v>45414</v>
      </c>
      <c r="B330" s="24">
        <v>1449.0753173828125</v>
      </c>
      <c r="C330" s="24">
        <v>733.59100341796875</v>
      </c>
      <c r="D330" s="24">
        <v>3574.576904296875</v>
      </c>
      <c r="E330" s="24">
        <v>1121.0740966796875</v>
      </c>
      <c r="F330" s="24">
        <v>1303.4766845703125</v>
      </c>
      <c r="G330" s="24">
        <v>22648.19921875</v>
      </c>
    </row>
    <row r="331" spans="1:7" ht="15">
      <c r="A331" s="23">
        <v>45415</v>
      </c>
      <c r="B331" s="24">
        <v>1416.9130859375</v>
      </c>
      <c r="C331" s="24">
        <v>727.53466796875</v>
      </c>
      <c r="D331" s="24">
        <v>3556.163330078125</v>
      </c>
      <c r="E331" s="24">
        <v>1123.63232421875</v>
      </c>
      <c r="F331" s="24">
        <v>1305.1817626953125</v>
      </c>
      <c r="G331" s="24">
        <v>22475.849609375</v>
      </c>
    </row>
    <row r="332" spans="1:7" ht="15">
      <c r="A332" s="23">
        <v>45418</v>
      </c>
      <c r="B332" s="24">
        <v>1402.610595703125</v>
      </c>
      <c r="C332" s="24">
        <v>728.994873046875</v>
      </c>
      <c r="D332" s="24">
        <v>3628.010498046875</v>
      </c>
      <c r="E332" s="24">
        <v>1127.813720703125</v>
      </c>
      <c r="F332" s="24">
        <v>1314.0284423828125</v>
      </c>
      <c r="G332" s="24">
        <v>22442.69921875</v>
      </c>
    </row>
    <row r="333" spans="1:7" ht="15">
      <c r="A333" s="23">
        <v>45419</v>
      </c>
      <c r="B333" s="24">
        <v>1384.7755126953125</v>
      </c>
      <c r="C333" s="24">
        <v>721.09527587890625</v>
      </c>
      <c r="D333" s="24">
        <v>3681.5830078125</v>
      </c>
      <c r="E333" s="24">
        <v>1113.6458740234375</v>
      </c>
      <c r="F333" s="24">
        <v>1327.897705078125</v>
      </c>
      <c r="G333" s="24">
        <v>22302.5</v>
      </c>
    </row>
    <row r="334" spans="1:7" ht="15">
      <c r="A334" s="23">
        <v>45420</v>
      </c>
      <c r="B334" s="24">
        <v>1401.647216796875</v>
      </c>
      <c r="C334" s="24">
        <v>709.84417724609375</v>
      </c>
      <c r="D334" s="24">
        <v>3679.732421875</v>
      </c>
      <c r="E334" s="24">
        <v>1104.8895263671875</v>
      </c>
      <c r="F334" s="24">
        <v>1315.3187255859375</v>
      </c>
      <c r="G334" s="24">
        <v>22302.5</v>
      </c>
    </row>
    <row r="335" spans="1:7" ht="15">
      <c r="A335" s="23">
        <v>45421</v>
      </c>
      <c r="B335" s="24">
        <v>1377.5130615234375</v>
      </c>
      <c r="C335" s="24">
        <v>693.01556396484375</v>
      </c>
      <c r="D335" s="24">
        <v>3664.234130859375</v>
      </c>
      <c r="E335" s="24">
        <v>1097.7071533203125</v>
      </c>
      <c r="F335" s="24">
        <v>1326.6075439453125</v>
      </c>
      <c r="G335" s="24">
        <v>21957.5</v>
      </c>
    </row>
    <row r="336" spans="1:7" ht="15">
      <c r="A336" s="23">
        <v>45422</v>
      </c>
      <c r="B336" s="24">
        <v>1390.65478515625</v>
      </c>
      <c r="C336" s="24">
        <v>697.82000732421875</v>
      </c>
      <c r="D336" s="24">
        <v>3602.889404296875</v>
      </c>
      <c r="E336" s="24">
        <v>1099.035400390625</v>
      </c>
      <c r="F336" s="24">
        <v>1313.10693359375</v>
      </c>
      <c r="G336" s="24">
        <v>22055.19921875</v>
      </c>
    </row>
    <row r="337" spans="1:7" ht="15">
      <c r="A337" s="23">
        <v>45425</v>
      </c>
      <c r="B337" s="24">
        <v>1385.9859619140625</v>
      </c>
      <c r="C337" s="24">
        <v>706.24005126953125</v>
      </c>
      <c r="D337" s="24">
        <v>3652.761474609375</v>
      </c>
      <c r="E337" s="24">
        <v>1109.808837890625</v>
      </c>
      <c r="F337" s="24">
        <v>1311.770751953125</v>
      </c>
      <c r="G337" s="24">
        <v>22104.05078125</v>
      </c>
    </row>
    <row r="338" spans="1:7" ht="15">
      <c r="A338" s="23">
        <v>45426</v>
      </c>
      <c r="B338" s="24">
        <v>1403.1539306640625</v>
      </c>
      <c r="C338" s="24">
        <v>709.00628662109375</v>
      </c>
      <c r="D338" s="24">
        <v>3609.64404296875</v>
      </c>
      <c r="E338" s="24">
        <v>1102.47900390625</v>
      </c>
      <c r="F338" s="24">
        <v>1312.9224853515625</v>
      </c>
      <c r="G338" s="24">
        <v>22217.849609375</v>
      </c>
    </row>
    <row r="339" spans="1:7" ht="15">
      <c r="A339" s="23">
        <v>45427</v>
      </c>
      <c r="B339" s="24">
        <v>1399.3992919921875</v>
      </c>
      <c r="C339" s="24">
        <v>698.1112060546875</v>
      </c>
      <c r="D339" s="24">
        <v>3590.3984375</v>
      </c>
      <c r="E339" s="24">
        <v>1106.2176513671875</v>
      </c>
      <c r="F339" s="24">
        <v>1308.545166015625</v>
      </c>
      <c r="G339" s="24">
        <v>22200.55078125</v>
      </c>
    </row>
    <row r="340" spans="1:7" ht="15">
      <c r="A340" s="23">
        <v>45428</v>
      </c>
      <c r="B340" s="24">
        <v>1408.3660888671875</v>
      </c>
      <c r="C340" s="24">
        <v>708.66656494140625</v>
      </c>
      <c r="D340" s="24">
        <v>3635.646240234375</v>
      </c>
      <c r="E340" s="24">
        <v>1112.8096923828125</v>
      </c>
      <c r="F340" s="24">
        <v>1339.324951171875</v>
      </c>
      <c r="G340" s="24">
        <v>22403.849609375</v>
      </c>
    </row>
    <row r="341" spans="1:7" ht="15">
      <c r="A341" s="23">
        <v>45429</v>
      </c>
      <c r="B341" s="24">
        <v>1418.5927734375</v>
      </c>
      <c r="C341" s="24">
        <v>710.5350341796875</v>
      </c>
      <c r="D341" s="24">
        <v>3573.342529296875</v>
      </c>
      <c r="E341" s="24">
        <v>1112.2684326171875</v>
      </c>
      <c r="F341" s="24">
        <v>1330.98486328125</v>
      </c>
      <c r="G341" s="24">
        <v>22466.099609375</v>
      </c>
    </row>
    <row r="342" spans="1:7" ht="15">
      <c r="A342" s="23">
        <v>45433</v>
      </c>
      <c r="B342" s="24">
        <v>1419.0126953125</v>
      </c>
      <c r="C342" s="24">
        <v>707.962890625</v>
      </c>
      <c r="D342" s="24">
        <v>3560.38818359375</v>
      </c>
      <c r="E342" s="24">
        <v>1102.8724365234375</v>
      </c>
      <c r="F342" s="24">
        <v>1321.6312255859375</v>
      </c>
      <c r="G342" s="24">
        <v>22529.05078125</v>
      </c>
    </row>
    <row r="343" spans="1:7" ht="15">
      <c r="A343" s="23">
        <v>45434</v>
      </c>
      <c r="B343" s="24">
        <v>1443.24560546875</v>
      </c>
      <c r="C343" s="24">
        <v>708.156982421875</v>
      </c>
      <c r="D343" s="24">
        <v>3571.3857421875</v>
      </c>
      <c r="E343" s="24">
        <v>1093.1812744140625</v>
      </c>
      <c r="F343" s="24">
        <v>1340.6610107421875</v>
      </c>
      <c r="G343" s="24">
        <v>22597.80078125</v>
      </c>
    </row>
    <row r="344" spans="1:7" ht="15">
      <c r="A344" s="23">
        <v>45435</v>
      </c>
      <c r="B344" s="24">
        <v>1468.343017578125</v>
      </c>
      <c r="C344" s="24">
        <v>724.3662109375</v>
      </c>
      <c r="D344" s="24">
        <v>3628.65625</v>
      </c>
      <c r="E344" s="24">
        <v>1116.2039794921875</v>
      </c>
      <c r="F344" s="24">
        <v>1356.88037109375</v>
      </c>
      <c r="G344" s="24">
        <v>22967.650390625</v>
      </c>
    </row>
    <row r="345" spans="1:7" ht="15">
      <c r="A345" s="23">
        <v>45436</v>
      </c>
      <c r="B345" s="24">
        <v>1462.6119384765625</v>
      </c>
      <c r="C345" s="24">
        <v>736.30474853515625</v>
      </c>
      <c r="D345" s="24">
        <v>3587.6953125</v>
      </c>
      <c r="E345" s="24">
        <v>1113.695068359375</v>
      </c>
      <c r="F345" s="24">
        <v>1350.1529541015625</v>
      </c>
      <c r="G345" s="24">
        <v>22957.099609375</v>
      </c>
    </row>
    <row r="346" spans="1:7" ht="15">
      <c r="A346" s="23">
        <v>45439</v>
      </c>
      <c r="B346" s="24">
        <v>1448.77880859375</v>
      </c>
      <c r="C346" s="24">
        <v>741.40045166015625</v>
      </c>
      <c r="D346" s="24">
        <v>3585.412109375</v>
      </c>
      <c r="E346" s="24">
        <v>1111.579833984375</v>
      </c>
      <c r="F346" s="24">
        <v>1355.9124755859375</v>
      </c>
      <c r="G346" s="24">
        <v>22932.44921875</v>
      </c>
    </row>
    <row r="347" spans="1:7" ht="15">
      <c r="A347" s="23">
        <v>45440</v>
      </c>
      <c r="B347" s="24">
        <v>1438.8485107421875</v>
      </c>
      <c r="C347" s="24">
        <v>742.75921630859375</v>
      </c>
      <c r="D347" s="24">
        <v>3578.748291015625</v>
      </c>
      <c r="E347" s="24">
        <v>1108.775634765625</v>
      </c>
      <c r="F347" s="24">
        <v>1351.9500732421875</v>
      </c>
      <c r="G347" s="24">
        <v>22888.150390625</v>
      </c>
    </row>
    <row r="348" spans="1:7" ht="15">
      <c r="A348" s="23">
        <v>45441</v>
      </c>
      <c r="B348" s="24">
        <v>1423.607421875</v>
      </c>
      <c r="C348" s="24">
        <v>731.98553466796875</v>
      </c>
      <c r="D348" s="24">
        <v>3544.963623046875</v>
      </c>
      <c r="E348" s="24">
        <v>1084.2281494140625</v>
      </c>
      <c r="F348" s="24">
        <v>1337.113037109375</v>
      </c>
      <c r="G348" s="24">
        <v>22704.69921875</v>
      </c>
    </row>
    <row r="349" spans="1:7" ht="15">
      <c r="A349" s="23">
        <v>45442</v>
      </c>
      <c r="B349" s="24">
        <v>1407.8720703125</v>
      </c>
      <c r="C349" s="24">
        <v>735.16424560546875</v>
      </c>
      <c r="D349" s="24">
        <v>3482.008056640625</v>
      </c>
      <c r="E349" s="24">
        <v>1095.7393798828125</v>
      </c>
      <c r="F349" s="24">
        <v>1315.456787109375</v>
      </c>
      <c r="G349" s="24">
        <v>22488.650390625</v>
      </c>
    </row>
    <row r="350" spans="1:7" ht="15">
      <c r="A350" s="23">
        <v>45443</v>
      </c>
      <c r="B350" s="24">
        <v>1413.3560791015625</v>
      </c>
      <c r="C350" s="24">
        <v>743.268798828125</v>
      </c>
      <c r="D350" s="24">
        <v>3421.288330078125</v>
      </c>
      <c r="E350" s="24">
        <v>1102.970947265625</v>
      </c>
      <c r="F350" s="24">
        <v>1322.4598388671875</v>
      </c>
      <c r="G350" s="24">
        <v>22530.69921875</v>
      </c>
    </row>
    <row r="351" spans="1:7" ht="15">
      <c r="A351" s="23">
        <v>45446</v>
      </c>
      <c r="B351" s="24">
        <v>1492.32861328125</v>
      </c>
      <c r="C351" s="24">
        <v>762.9964599609375</v>
      </c>
      <c r="D351" s="24">
        <v>3451.018798828125</v>
      </c>
      <c r="E351" s="24">
        <v>1141.292724609375</v>
      </c>
      <c r="F351" s="24">
        <v>1321.5198974609375</v>
      </c>
      <c r="G351" s="24">
        <v>23263.900390625</v>
      </c>
    </row>
    <row r="352" spans="1:7" ht="15">
      <c r="A352" s="23">
        <v>45447</v>
      </c>
      <c r="B352" s="24">
        <v>1380.625732421875</v>
      </c>
      <c r="C352" s="24">
        <v>719.78009033203125</v>
      </c>
      <c r="D352" s="24">
        <v>3462.3427734375</v>
      </c>
      <c r="E352" s="24">
        <v>1054.170654296875</v>
      </c>
      <c r="F352" s="24">
        <v>1310.005126953125</v>
      </c>
      <c r="G352" s="24">
        <v>21884.5</v>
      </c>
    </row>
    <row r="353" spans="1:7" ht="15">
      <c r="A353" s="23">
        <v>45448</v>
      </c>
      <c r="B353" s="24">
        <v>1403.821044921875</v>
      </c>
      <c r="C353" s="24">
        <v>753.09625244140625</v>
      </c>
      <c r="D353" s="24">
        <v>3491.65380859375</v>
      </c>
      <c r="E353" s="24">
        <v>1090.7708740234375</v>
      </c>
      <c r="F353" s="24">
        <v>1344.2672119140625</v>
      </c>
      <c r="G353" s="24">
        <v>22620.349609375</v>
      </c>
    </row>
    <row r="354" spans="1:7" ht="15">
      <c r="A354" s="23">
        <v>45449</v>
      </c>
      <c r="B354" s="24">
        <v>1414.541748046875</v>
      </c>
      <c r="C354" s="24">
        <v>756.93011474609375</v>
      </c>
      <c r="D354" s="24">
        <v>3569.894287109375</v>
      </c>
      <c r="E354" s="24">
        <v>1092.49267578125</v>
      </c>
      <c r="F354" s="24">
        <v>1383.887451171875</v>
      </c>
      <c r="G354" s="24">
        <v>22821.400390625</v>
      </c>
    </row>
    <row r="355" spans="1:7" ht="15">
      <c r="A355" s="23">
        <v>45450</v>
      </c>
      <c r="B355" s="24">
        <v>1452.4346923828125</v>
      </c>
      <c r="C355" s="24">
        <v>763.55450439453125</v>
      </c>
      <c r="D355" s="24">
        <v>3629.12255859375</v>
      </c>
      <c r="E355" s="24">
        <v>1103.6103515625</v>
      </c>
      <c r="F355" s="24">
        <v>1441.555419921875</v>
      </c>
      <c r="G355" s="24">
        <v>23290.150390625</v>
      </c>
    </row>
    <row r="356" spans="1:7" ht="15">
      <c r="A356" s="23">
        <v>45453</v>
      </c>
      <c r="B356" s="24">
        <v>1453.867431640625</v>
      </c>
      <c r="C356" s="24">
        <v>757.70672607421875</v>
      </c>
      <c r="D356" s="24">
        <v>3596.269775390625</v>
      </c>
      <c r="E356" s="24">
        <v>1105.676513671875</v>
      </c>
      <c r="F356" s="24">
        <v>1409.7369384765625</v>
      </c>
      <c r="G356" s="24">
        <v>23259.19921875</v>
      </c>
    </row>
    <row r="357" spans="1:7" ht="15">
      <c r="A357" s="23">
        <v>45454</v>
      </c>
      <c r="B357" s="24">
        <v>1439.3179931640625</v>
      </c>
      <c r="C357" s="24">
        <v>759.4052734375</v>
      </c>
      <c r="D357" s="24">
        <v>3590.119140625</v>
      </c>
      <c r="E357" s="24">
        <v>1100.1668701171875</v>
      </c>
      <c r="F357" s="24">
        <v>1405.97705078125</v>
      </c>
      <c r="G357" s="24">
        <v>23264.849609375</v>
      </c>
    </row>
    <row r="358" spans="1:7" ht="15">
      <c r="A358" s="23">
        <v>45455</v>
      </c>
      <c r="B358" s="24">
        <v>1445.888671875</v>
      </c>
      <c r="C358" s="24">
        <v>763.94281005859375</v>
      </c>
      <c r="D358" s="24">
        <v>3571.05908203125</v>
      </c>
      <c r="E358" s="24">
        <v>1101.4951171875</v>
      </c>
      <c r="F358" s="24">
        <v>1396.060302734375</v>
      </c>
      <c r="G358" s="24">
        <v>23322.94921875</v>
      </c>
    </row>
    <row r="359" spans="1:7" ht="15">
      <c r="A359" s="23">
        <v>45456</v>
      </c>
      <c r="B359" s="24">
        <v>1447.7906494140625</v>
      </c>
      <c r="C359" s="24">
        <v>767.1458740234375</v>
      </c>
      <c r="D359" s="24">
        <v>3614.39697265625</v>
      </c>
      <c r="E359" s="24">
        <v>1089.49169921875</v>
      </c>
      <c r="F359" s="24">
        <v>1404.28515625</v>
      </c>
      <c r="G359" s="24">
        <v>23398.900390625</v>
      </c>
    </row>
    <row r="360" spans="1:7" ht="15">
      <c r="A360" s="23">
        <v>45457</v>
      </c>
      <c r="B360" s="24">
        <v>1459.944091796875</v>
      </c>
      <c r="C360" s="24">
        <v>774.9835205078125</v>
      </c>
      <c r="D360" s="24">
        <v>3571.43212890625</v>
      </c>
      <c r="E360" s="24">
        <v>1087.8192138671875</v>
      </c>
      <c r="F360" s="24">
        <v>1399.5382080078125</v>
      </c>
      <c r="G360" s="24">
        <v>23465.599609375</v>
      </c>
    </row>
    <row r="361" spans="1:7" ht="15">
      <c r="A361" s="23">
        <v>45461</v>
      </c>
      <c r="B361" s="24">
        <v>1463.3778076171875</v>
      </c>
      <c r="C361" s="24">
        <v>780.2733154296875</v>
      </c>
      <c r="D361" s="24">
        <v>3555.635009765625</v>
      </c>
      <c r="E361" s="24">
        <v>1104.7418212890625</v>
      </c>
      <c r="F361" s="24">
        <v>1408.280029296875</v>
      </c>
      <c r="G361" s="24">
        <v>23557.900390625</v>
      </c>
    </row>
    <row r="362" spans="1:7" ht="15">
      <c r="A362" s="23">
        <v>45462</v>
      </c>
      <c r="B362" s="24">
        <v>1441.2694091796875</v>
      </c>
      <c r="C362" s="24">
        <v>804.5628662109375</v>
      </c>
      <c r="D362" s="24">
        <v>3543.146484375</v>
      </c>
      <c r="E362" s="24">
        <v>1125.993408203125</v>
      </c>
      <c r="F362" s="24">
        <v>1420.640625</v>
      </c>
      <c r="G362" s="24">
        <v>23516</v>
      </c>
    </row>
    <row r="363" spans="1:7" ht="15">
      <c r="A363" s="23">
        <v>45463</v>
      </c>
      <c r="B363" s="24">
        <v>1456.139892578125</v>
      </c>
      <c r="C363" s="24">
        <v>810.143798828125</v>
      </c>
      <c r="D363" s="24">
        <v>3529.67919921875</v>
      </c>
      <c r="E363" s="24">
        <v>1138.144287109375</v>
      </c>
      <c r="F363" s="24">
        <v>1424.4476318359375</v>
      </c>
      <c r="G363" s="24">
        <v>23567</v>
      </c>
    </row>
    <row r="364" spans="1:7" ht="15">
      <c r="A364" s="23">
        <v>45464</v>
      </c>
      <c r="B364" s="24">
        <v>1436.8724365234375</v>
      </c>
      <c r="C364" s="24">
        <v>808.39678955078125</v>
      </c>
      <c r="D364" s="24">
        <v>3551.5810546875</v>
      </c>
      <c r="E364" s="24">
        <v>1139.9644775390625</v>
      </c>
      <c r="F364" s="24">
        <v>1440.7093505859375</v>
      </c>
      <c r="G364" s="24">
        <v>23501.099609375</v>
      </c>
    </row>
    <row r="365" spans="1:7" ht="15">
      <c r="A365" s="23">
        <v>45467</v>
      </c>
      <c r="B365" s="24">
        <v>1424.2989501953125</v>
      </c>
      <c r="C365" s="24">
        <v>811.6240234375</v>
      </c>
      <c r="D365" s="24">
        <v>3557.218994140625</v>
      </c>
      <c r="E365" s="24">
        <v>1151.229736328125</v>
      </c>
      <c r="F365" s="24">
        <v>1435.4925537109375</v>
      </c>
      <c r="G365" s="24">
        <v>23537.849609375</v>
      </c>
    </row>
    <row r="366" spans="1:7" ht="15">
      <c r="A366" s="23">
        <v>45468</v>
      </c>
      <c r="B366" s="24">
        <v>1436.8228759765625</v>
      </c>
      <c r="C366" s="24">
        <v>830.52667236328125</v>
      </c>
      <c r="D366" s="24">
        <v>3577.396728515625</v>
      </c>
      <c r="E366" s="24">
        <v>1178.630615234375</v>
      </c>
      <c r="F366" s="24">
        <v>1449.4041748046875</v>
      </c>
      <c r="G366" s="24">
        <v>23721.30078125</v>
      </c>
    </row>
    <row r="367" spans="1:7" ht="15">
      <c r="A367" s="23">
        <v>45469</v>
      </c>
      <c r="B367" s="24">
        <v>1495.9844970703125</v>
      </c>
      <c r="C367" s="24">
        <v>825.74639892578125</v>
      </c>
      <c r="D367" s="24">
        <v>3593.61328125</v>
      </c>
      <c r="E367" s="24">
        <v>1198.357421875</v>
      </c>
      <c r="F367" s="24">
        <v>1448.229248046875</v>
      </c>
      <c r="G367" s="24">
        <v>23868.80078125</v>
      </c>
    </row>
    <row r="368" spans="1:7" ht="15">
      <c r="A368" s="23">
        <v>45470</v>
      </c>
      <c r="B368" s="24">
        <v>1512.3126220703125</v>
      </c>
      <c r="C368" s="24">
        <v>823.1500244140625</v>
      </c>
      <c r="D368" s="24">
        <v>3666.588134765625</v>
      </c>
      <c r="E368" s="24">
        <v>1200.2266845703125</v>
      </c>
      <c r="F368" s="24">
        <v>1478.9195556640625</v>
      </c>
      <c r="G368" s="24">
        <v>24044.5</v>
      </c>
    </row>
    <row r="369" spans="1:7" ht="15">
      <c r="A369" s="23">
        <v>45471</v>
      </c>
      <c r="B369" s="24">
        <v>1546.7474365234375</v>
      </c>
      <c r="C369" s="24">
        <v>817.15655517578125</v>
      </c>
      <c r="D369" s="24">
        <v>3638.628662109375</v>
      </c>
      <c r="E369" s="24">
        <v>1180.254150390625</v>
      </c>
      <c r="F369" s="24">
        <v>1472.7158203125</v>
      </c>
      <c r="G369" s="24">
        <v>24010.599609375</v>
      </c>
    </row>
    <row r="370" spans="1:7" ht="15">
      <c r="A370" s="23">
        <v>45474</v>
      </c>
      <c r="B370" s="24">
        <v>1541.5599365234375</v>
      </c>
      <c r="C370" s="24">
        <v>827.5419921875</v>
      </c>
      <c r="D370" s="24">
        <v>3707.642578125</v>
      </c>
      <c r="E370" s="24">
        <v>1192.3065185546875</v>
      </c>
      <c r="F370" s="24">
        <v>1495.322265625</v>
      </c>
      <c r="G370" s="24">
        <v>24141.94921875</v>
      </c>
    </row>
    <row r="371" spans="1:7" ht="15">
      <c r="A371" s="23">
        <v>45475</v>
      </c>
      <c r="B371" s="24">
        <v>1546.525146484375</v>
      </c>
      <c r="C371" s="24">
        <v>839.8687744140625</v>
      </c>
      <c r="D371" s="24">
        <v>3744.176513671875</v>
      </c>
      <c r="E371" s="24">
        <v>1171.399169921875</v>
      </c>
      <c r="F371" s="24">
        <v>1523.7568359375</v>
      </c>
      <c r="G371" s="24">
        <v>24123.849609375</v>
      </c>
    </row>
    <row r="372" spans="1:7" ht="15">
      <c r="A372" s="23">
        <v>45476</v>
      </c>
      <c r="B372" s="24">
        <v>1533.927001953125</v>
      </c>
      <c r="C372" s="24">
        <v>858.33465576171875</v>
      </c>
      <c r="D372" s="24">
        <v>3695.5732421875</v>
      </c>
      <c r="E372" s="24">
        <v>1182.2218017578125</v>
      </c>
      <c r="F372" s="24">
        <v>1529.7257080078125</v>
      </c>
      <c r="G372" s="24">
        <v>24286.5</v>
      </c>
    </row>
    <row r="373" spans="1:7" ht="15">
      <c r="A373" s="23">
        <v>45477</v>
      </c>
      <c r="B373" s="24">
        <v>1535.5079345703125</v>
      </c>
      <c r="C373" s="24">
        <v>838.19451904296875</v>
      </c>
      <c r="D373" s="24">
        <v>3747.485107421875</v>
      </c>
      <c r="E373" s="24">
        <v>1213.115478515625</v>
      </c>
      <c r="F373" s="24">
        <v>1551.5802001953125</v>
      </c>
      <c r="G373" s="24">
        <v>24302.150390625</v>
      </c>
    </row>
    <row r="374" spans="1:7" ht="15">
      <c r="A374" s="23">
        <v>45478</v>
      </c>
      <c r="B374" s="24">
        <v>1569.695556640625</v>
      </c>
      <c r="C374" s="24">
        <v>799.83111572265625</v>
      </c>
      <c r="D374" s="24">
        <v>3738.957275390625</v>
      </c>
      <c r="E374" s="24">
        <v>1213.509033203125</v>
      </c>
      <c r="F374" s="24">
        <v>1548.572265625</v>
      </c>
      <c r="G374" s="24">
        <v>24323.849609375</v>
      </c>
    </row>
    <row r="375" spans="1:7" ht="15">
      <c r="A375" s="23">
        <v>45481</v>
      </c>
      <c r="B375" s="24">
        <v>1581.824462890625</v>
      </c>
      <c r="C375" s="24">
        <v>793.64349365234375</v>
      </c>
      <c r="D375" s="24">
        <v>3721.622314453125</v>
      </c>
      <c r="E375" s="24">
        <v>1215.1324462890625</v>
      </c>
      <c r="F375" s="24">
        <v>1561.9200439453125</v>
      </c>
      <c r="G375" s="24">
        <v>24320.55078125</v>
      </c>
    </row>
    <row r="376" spans="1:7" ht="15">
      <c r="A376" s="23">
        <v>45482</v>
      </c>
      <c r="B376" s="24">
        <v>1571.3260498046875</v>
      </c>
      <c r="C376" s="24">
        <v>794.2015380859375</v>
      </c>
      <c r="D376" s="24">
        <v>3714.446044921875</v>
      </c>
      <c r="E376" s="24">
        <v>1228.1195068359375</v>
      </c>
      <c r="F376" s="24">
        <v>1557.68994140625</v>
      </c>
      <c r="G376" s="24">
        <v>24433.19921875</v>
      </c>
    </row>
    <row r="377" spans="1:7" ht="15">
      <c r="A377" s="23">
        <v>45483</v>
      </c>
      <c r="B377" s="24">
        <v>1565.3480224609375</v>
      </c>
      <c r="C377" s="24">
        <v>789.15435791015625</v>
      </c>
      <c r="D377" s="24">
        <v>3643.28857421875</v>
      </c>
      <c r="E377" s="24">
        <v>1223.15087890625</v>
      </c>
      <c r="F377" s="24">
        <v>1549.32421875</v>
      </c>
      <c r="G377" s="24">
        <v>24324.44921875</v>
      </c>
    </row>
    <row r="378" spans="1:7" ht="15">
      <c r="A378" s="23">
        <v>45484</v>
      </c>
      <c r="B378" s="24">
        <v>1561.815673828125</v>
      </c>
      <c r="C378" s="24">
        <v>787.1162109375</v>
      </c>
      <c r="D378" s="24">
        <v>3656.848876953125</v>
      </c>
      <c r="E378" s="24">
        <v>1218.4775390625</v>
      </c>
      <c r="F378" s="24">
        <v>1553.507080078125</v>
      </c>
      <c r="G378" s="24">
        <v>24315.94921875</v>
      </c>
    </row>
    <row r="379" spans="1:7" ht="15">
      <c r="A379" s="23">
        <v>45485</v>
      </c>
      <c r="B379" s="24">
        <v>1577.6990966796875</v>
      </c>
      <c r="C379" s="24">
        <v>787.50433349609375</v>
      </c>
      <c r="D379" s="24">
        <v>3899.399658203125</v>
      </c>
      <c r="E379" s="24">
        <v>1213.01708984375</v>
      </c>
      <c r="F379" s="24">
        <v>1609.012939453125</v>
      </c>
      <c r="G379" s="24">
        <v>24502.150390625</v>
      </c>
    </row>
    <row r="380" spans="1:7" ht="15">
      <c r="A380" s="23">
        <v>45488</v>
      </c>
      <c r="B380" s="24">
        <v>1578.193115234375</v>
      </c>
      <c r="C380" s="24">
        <v>787.21319580078125</v>
      </c>
      <c r="D380" s="24">
        <v>3885.653076171875</v>
      </c>
      <c r="E380" s="24">
        <v>1210.1146240234375</v>
      </c>
      <c r="F380" s="24">
        <v>1604.59521484375</v>
      </c>
      <c r="G380" s="24">
        <v>24586.69921875</v>
      </c>
    </row>
    <row r="381" spans="1:7" ht="15">
      <c r="A381" s="23">
        <v>45489</v>
      </c>
      <c r="B381" s="24">
        <v>1557.4681396484375</v>
      </c>
      <c r="C381" s="24">
        <v>786.07269287109375</v>
      </c>
      <c r="D381" s="24">
        <v>3894.273681640625</v>
      </c>
      <c r="E381" s="24">
        <v>1219.9041748046875</v>
      </c>
      <c r="F381" s="24">
        <v>1622.454833984375</v>
      </c>
      <c r="G381" s="24">
        <v>24613</v>
      </c>
    </row>
    <row r="382" spans="1:7" ht="15">
      <c r="A382" s="23">
        <v>45491</v>
      </c>
      <c r="B382" s="24">
        <v>1567.76904296875</v>
      </c>
      <c r="C382" s="24">
        <v>783.6705322265625</v>
      </c>
      <c r="D382" s="24">
        <v>4022.049072265625</v>
      </c>
      <c r="E382" s="24">
        <v>1230.1365966796875</v>
      </c>
      <c r="F382" s="24">
        <v>1652.5341796875</v>
      </c>
      <c r="G382" s="24">
        <v>24800.849609375</v>
      </c>
    </row>
    <row r="383" spans="1:7" ht="15">
      <c r="A383" s="23">
        <v>45492</v>
      </c>
      <c r="B383" s="24">
        <v>1536.61962890625</v>
      </c>
      <c r="C383" s="24">
        <v>780.03070068359375</v>
      </c>
      <c r="D383" s="24">
        <v>4019.10693359375</v>
      </c>
      <c r="E383" s="24">
        <v>1228.5130615234375</v>
      </c>
      <c r="F383" s="24">
        <v>1685.339599609375</v>
      </c>
      <c r="G383" s="24">
        <v>24530.900390625</v>
      </c>
    </row>
    <row r="384" spans="1:7" ht="15">
      <c r="A384" s="23">
        <v>45495</v>
      </c>
      <c r="B384" s="24">
        <v>1482.7935791015625</v>
      </c>
      <c r="C384" s="24">
        <v>797.1376953125</v>
      </c>
      <c r="D384" s="24">
        <v>4005.04833984375</v>
      </c>
      <c r="E384" s="24">
        <v>1221.1341552734375</v>
      </c>
      <c r="F384" s="24">
        <v>1702.165283203125</v>
      </c>
      <c r="G384" s="24">
        <v>24509.25</v>
      </c>
    </row>
    <row r="385" spans="1:7" ht="15">
      <c r="A385" s="23">
        <v>45496</v>
      </c>
      <c r="B385" s="24">
        <v>1470.1708984375</v>
      </c>
      <c r="C385" s="24">
        <v>785.4176025390625</v>
      </c>
      <c r="D385" s="24">
        <v>4019.060302734375</v>
      </c>
      <c r="E385" s="24">
        <v>1206.96630859375</v>
      </c>
      <c r="F385" s="24">
        <v>1726.6517333984375</v>
      </c>
      <c r="G385" s="24">
        <v>24479.05078125</v>
      </c>
    </row>
    <row r="386" spans="1:7" ht="15">
      <c r="A386" s="23">
        <v>45497</v>
      </c>
      <c r="B386" s="24">
        <v>1477.8779296875</v>
      </c>
      <c r="C386" s="24">
        <v>778.4534912109375</v>
      </c>
      <c r="D386" s="24">
        <v>4022.70361328125</v>
      </c>
      <c r="E386" s="24">
        <v>1203.2767333984375</v>
      </c>
      <c r="F386" s="24">
        <v>1723.878662109375</v>
      </c>
      <c r="G386" s="24">
        <v>24413.5</v>
      </c>
    </row>
    <row r="387" spans="1:7" ht="15">
      <c r="A387" s="23">
        <v>45498</v>
      </c>
      <c r="B387" s="24">
        <v>1474.6171875</v>
      </c>
      <c r="C387" s="24">
        <v>784.54400634765625</v>
      </c>
      <c r="D387" s="24">
        <v>4037.88330078125</v>
      </c>
      <c r="E387" s="24">
        <v>1178.58154296875</v>
      </c>
      <c r="F387" s="24">
        <v>1715.324951171875</v>
      </c>
      <c r="G387" s="24">
        <v>24406.099609375</v>
      </c>
    </row>
    <row r="388" spans="1:7" ht="15">
      <c r="A388" s="23">
        <v>45499</v>
      </c>
      <c r="B388" s="24">
        <v>1491.044189453125</v>
      </c>
      <c r="C388" s="24">
        <v>785.2962646484375</v>
      </c>
      <c r="D388" s="24">
        <v>4098.9296875</v>
      </c>
      <c r="E388" s="24">
        <v>1187.7314453125</v>
      </c>
      <c r="F388" s="24">
        <v>1766.1309814453125</v>
      </c>
      <c r="G388" s="24">
        <v>24834.849609375</v>
      </c>
    </row>
    <row r="389" spans="1:7" ht="15">
      <c r="A389" s="23">
        <v>45502</v>
      </c>
      <c r="B389" s="24">
        <v>1501.987060546875</v>
      </c>
      <c r="C389" s="24">
        <v>778.93878173828125</v>
      </c>
      <c r="D389" s="24">
        <v>4092.624755859375</v>
      </c>
      <c r="E389" s="24">
        <v>1193.142822265625</v>
      </c>
      <c r="F389" s="24">
        <v>1758.7991943359375</v>
      </c>
      <c r="G389" s="24">
        <v>24836.099609375</v>
      </c>
    </row>
    <row r="390" spans="1:7" ht="15">
      <c r="A390" s="23">
        <v>45503</v>
      </c>
      <c r="B390" s="24">
        <v>1495.1199951171875</v>
      </c>
      <c r="C390" s="24">
        <v>784.0345458984375</v>
      </c>
      <c r="D390" s="24">
        <v>4077.911376953125</v>
      </c>
      <c r="E390" s="24">
        <v>1189.9451904296875</v>
      </c>
      <c r="F390" s="24">
        <v>1764.4859619140625</v>
      </c>
      <c r="G390" s="24">
        <v>24857.30078125</v>
      </c>
    </row>
    <row r="391" spans="1:7" ht="15">
      <c r="A391" s="23">
        <v>45504</v>
      </c>
      <c r="B391" s="24">
        <v>1487.487060546875</v>
      </c>
      <c r="C391" s="24">
        <v>784.13153076171875</v>
      </c>
      <c r="D391" s="24">
        <v>4096.5947265625</v>
      </c>
      <c r="E391" s="24">
        <v>1195.307373046875</v>
      </c>
      <c r="F391" s="24">
        <v>1756.1202392578125</v>
      </c>
      <c r="G391" s="24">
        <v>24951.150390625</v>
      </c>
    </row>
    <row r="392" spans="1:7" ht="15">
      <c r="A392" s="23">
        <v>45505</v>
      </c>
      <c r="B392" s="24">
        <v>1497.244384765625</v>
      </c>
      <c r="C392" s="24">
        <v>795.31781005859375</v>
      </c>
      <c r="D392" s="24">
        <v>4107.57080078125</v>
      </c>
      <c r="E392" s="24">
        <v>1190.584716796875</v>
      </c>
      <c r="F392" s="24">
        <v>1741.4095458984375</v>
      </c>
      <c r="G392" s="24">
        <v>25010.900390625</v>
      </c>
    </row>
    <row r="393" spans="1:7" ht="15">
      <c r="A393" s="23">
        <v>45506</v>
      </c>
      <c r="B393" s="24">
        <v>1481.4595947265625</v>
      </c>
      <c r="C393" s="24">
        <v>805.19378662109375</v>
      </c>
      <c r="D393" s="24">
        <v>4001.030517578125</v>
      </c>
      <c r="E393" s="24">
        <v>1177.2532958984375</v>
      </c>
      <c r="F393" s="24">
        <v>1711.8939208984375</v>
      </c>
      <c r="G393" s="24">
        <v>24717.69921875</v>
      </c>
    </row>
    <row r="394" spans="1:7" ht="15">
      <c r="A394" s="23">
        <v>45509</v>
      </c>
      <c r="B394" s="24">
        <v>1430.079345703125</v>
      </c>
      <c r="C394" s="24">
        <v>784.13153076171875</v>
      </c>
      <c r="D394" s="24">
        <v>3881.458984375</v>
      </c>
      <c r="E394" s="24">
        <v>1153.689453125</v>
      </c>
      <c r="F394" s="24">
        <v>1646.7532958984375</v>
      </c>
      <c r="G394" s="24">
        <v>24055.599609375</v>
      </c>
    </row>
    <row r="395" spans="1:7" ht="15">
      <c r="A395" s="23">
        <v>45510</v>
      </c>
      <c r="B395" s="24">
        <v>1438.700439453125</v>
      </c>
      <c r="C395" s="24">
        <v>777.0703125</v>
      </c>
      <c r="D395" s="24">
        <v>3896.5458984375</v>
      </c>
      <c r="E395" s="24">
        <v>1148.0322265625</v>
      </c>
      <c r="F395" s="24">
        <v>1646.0013427734375</v>
      </c>
      <c r="G395" s="24">
        <v>23992.55078125</v>
      </c>
    </row>
    <row r="396" spans="1:7" ht="15">
      <c r="A396" s="23">
        <v>45511</v>
      </c>
      <c r="B396" s="24">
        <v>1447.3707275390625</v>
      </c>
      <c r="C396" s="24">
        <v>787.89263916015625</v>
      </c>
      <c r="D396" s="24">
        <v>3923.869873046875</v>
      </c>
      <c r="E396" s="24">
        <v>1153.5418701171875</v>
      </c>
      <c r="F396" s="24">
        <v>1684.1175537109375</v>
      </c>
      <c r="G396" s="24">
        <v>24297.5</v>
      </c>
    </row>
    <row r="397" spans="1:7" ht="15">
      <c r="A397" s="23">
        <v>45512</v>
      </c>
      <c r="B397" s="24">
        <v>1431.8577880859375</v>
      </c>
      <c r="C397" s="24">
        <v>797.21044921875</v>
      </c>
      <c r="D397" s="24">
        <v>3897.806640625</v>
      </c>
      <c r="E397" s="24">
        <v>1145.8184814453125</v>
      </c>
      <c r="F397" s="24">
        <v>1638.528564453125</v>
      </c>
      <c r="G397" s="24">
        <v>24117</v>
      </c>
    </row>
    <row r="398" spans="1:7" ht="15">
      <c r="A398" s="23">
        <v>45513</v>
      </c>
      <c r="B398" s="24">
        <v>1456.7330322265625</v>
      </c>
      <c r="C398" s="24">
        <v>800.85028076171875</v>
      </c>
      <c r="D398" s="24">
        <v>3950.305908203125</v>
      </c>
      <c r="E398" s="24">
        <v>1152.70556640625</v>
      </c>
      <c r="F398" s="24">
        <v>1664.471923828125</v>
      </c>
      <c r="G398" s="24">
        <v>24367.5</v>
      </c>
    </row>
    <row r="399" spans="1:7" ht="15">
      <c r="A399" s="23">
        <v>45516</v>
      </c>
      <c r="B399" s="24">
        <v>1443.220703125</v>
      </c>
      <c r="C399" s="24">
        <v>805.65472412109375</v>
      </c>
      <c r="D399" s="24">
        <v>3919.3857421875</v>
      </c>
      <c r="E399" s="24">
        <v>1163.8199462890625</v>
      </c>
      <c r="F399" s="24">
        <v>1689.5224609375</v>
      </c>
      <c r="G399" s="24">
        <v>24347</v>
      </c>
    </row>
    <row r="400" spans="1:7" ht="15">
      <c r="A400" s="23">
        <v>45517</v>
      </c>
      <c r="B400" s="24">
        <v>1446.18505859375</v>
      </c>
      <c r="C400" s="24">
        <v>778.04095458984375</v>
      </c>
      <c r="D400" s="24">
        <v>3920.600341796875</v>
      </c>
      <c r="E400" s="24">
        <v>1159.4039306640625</v>
      </c>
      <c r="F400" s="24">
        <v>1689.5694580078125</v>
      </c>
      <c r="G400" s="24">
        <v>24139</v>
      </c>
    </row>
    <row r="401" spans="1:7" ht="15">
      <c r="A401" s="23">
        <v>45518</v>
      </c>
      <c r="B401" s="24">
        <v>1444.4312744140625</v>
      </c>
      <c r="C401" s="24">
        <v>780.2733154296875</v>
      </c>
      <c r="D401" s="24">
        <v>4012.427490234375</v>
      </c>
      <c r="E401" s="24">
        <v>1152.7552490234375</v>
      </c>
      <c r="F401" s="24">
        <v>1713.8209228515625</v>
      </c>
      <c r="G401" s="24">
        <v>24143.75</v>
      </c>
    </row>
    <row r="402" spans="1:7" ht="15">
      <c r="A402" s="23">
        <v>45520</v>
      </c>
      <c r="B402" s="24">
        <v>1460.58642578125</v>
      </c>
      <c r="C402" s="24">
        <v>792.06622314453125</v>
      </c>
      <c r="D402" s="24">
        <v>4125.2734375</v>
      </c>
      <c r="E402" s="24">
        <v>1178.1591796875</v>
      </c>
      <c r="F402" s="24">
        <v>1747.378173828125</v>
      </c>
      <c r="G402" s="24">
        <v>24541.150390625</v>
      </c>
    </row>
    <row r="403" spans="1:7" ht="15">
      <c r="A403" s="23">
        <v>45523</v>
      </c>
      <c r="B403" s="24">
        <v>1475.65625</v>
      </c>
      <c r="C403" s="24">
        <v>791.79931640625</v>
      </c>
      <c r="D403" s="24">
        <v>4194.3544921875</v>
      </c>
      <c r="E403" s="24">
        <v>1166.8961181640625</v>
      </c>
      <c r="F403" s="24">
        <v>1752.8773193359375</v>
      </c>
      <c r="G403" s="24">
        <v>24572.650390625</v>
      </c>
    </row>
    <row r="404" spans="1:7" ht="15">
      <c r="A404" s="23">
        <v>45524</v>
      </c>
      <c r="B404" s="24">
        <v>1483.1416015625</v>
      </c>
      <c r="C404" s="24">
        <v>794.783935546875</v>
      </c>
      <c r="D404" s="24">
        <v>4225.4609375</v>
      </c>
      <c r="E404" s="24">
        <v>1170.4189453125</v>
      </c>
      <c r="F404" s="24">
        <v>1759.8331298828125</v>
      </c>
      <c r="G404" s="24">
        <v>24698.849609375</v>
      </c>
    </row>
    <row r="405" spans="1:7" ht="15">
      <c r="A405" s="23">
        <v>45525</v>
      </c>
      <c r="B405" s="24">
        <v>1485.8433837890625</v>
      </c>
      <c r="C405" s="24">
        <v>789.00885009765625</v>
      </c>
      <c r="D405" s="24">
        <v>4251.80517578125</v>
      </c>
      <c r="E405" s="24">
        <v>1165.8541259765625</v>
      </c>
      <c r="F405" s="24">
        <v>1760.302978515625</v>
      </c>
      <c r="G405" s="24">
        <v>24770.19921875</v>
      </c>
    </row>
    <row r="406" spans="1:7" ht="15">
      <c r="A406" s="23">
        <v>45526</v>
      </c>
      <c r="B406" s="24">
        <v>1485.2979736328125</v>
      </c>
      <c r="C406" s="24">
        <v>791.67803955078125</v>
      </c>
      <c r="D406" s="24">
        <v>4205.564453125</v>
      </c>
      <c r="E406" s="24">
        <v>1181.979736328125</v>
      </c>
      <c r="F406" s="24">
        <v>1767.3997802734375</v>
      </c>
      <c r="G406" s="24">
        <v>24811.5</v>
      </c>
    </row>
    <row r="407" spans="1:7" ht="15">
      <c r="A407" s="23">
        <v>45527</v>
      </c>
      <c r="B407" s="24">
        <v>1487.1322021484375</v>
      </c>
      <c r="C407" s="24">
        <v>788.64483642578125</v>
      </c>
      <c r="D407" s="24">
        <v>4169.97265625</v>
      </c>
      <c r="E407" s="24">
        <v>1194.2847900390625</v>
      </c>
      <c r="F407" s="24">
        <v>1750.3392333984375</v>
      </c>
      <c r="G407" s="24">
        <v>24823.150390625</v>
      </c>
    </row>
    <row r="408" spans="1:7" ht="15">
      <c r="A408" s="23">
        <v>45530</v>
      </c>
      <c r="B408" s="24">
        <v>1499.6490478515625</v>
      </c>
      <c r="C408" s="24">
        <v>795.87591552734375</v>
      </c>
      <c r="D408" s="24">
        <v>4205.984375</v>
      </c>
      <c r="E408" s="24">
        <v>1204.009765625</v>
      </c>
      <c r="F408" s="24">
        <v>1763.5458984375</v>
      </c>
      <c r="G408" s="24">
        <v>25010.599609375</v>
      </c>
    </row>
    <row r="409" spans="1:7" ht="15">
      <c r="A409" s="23">
        <v>45531</v>
      </c>
      <c r="B409" s="24">
        <v>1487.6031494140625</v>
      </c>
      <c r="C409" s="24">
        <v>794.8082275390625</v>
      </c>
      <c r="D409" s="24">
        <v>4201.033203125</v>
      </c>
      <c r="E409" s="24">
        <v>1216.9598388671875</v>
      </c>
      <c r="F409" s="24">
        <v>1786.0584716796875</v>
      </c>
      <c r="G409" s="24">
        <v>25017.75</v>
      </c>
    </row>
    <row r="410" spans="1:7" ht="15">
      <c r="A410" s="23">
        <v>45532</v>
      </c>
      <c r="B410" s="24">
        <v>1485.4715576171875</v>
      </c>
      <c r="C410" s="24">
        <v>794.4927978515625</v>
      </c>
      <c r="D410" s="24">
        <v>4209.34765625</v>
      </c>
      <c r="E410" s="24">
        <v>1214.47900390625</v>
      </c>
      <c r="F410" s="24">
        <v>1822.7177734375</v>
      </c>
      <c r="G410" s="24">
        <v>25052.349609375</v>
      </c>
    </row>
    <row r="411" spans="1:7" ht="15">
      <c r="A411" s="23">
        <v>45533</v>
      </c>
      <c r="B411" s="24">
        <v>1507.90283203125</v>
      </c>
      <c r="C411" s="24">
        <v>795.19647216796875</v>
      </c>
      <c r="D411" s="24">
        <v>4214.71875</v>
      </c>
      <c r="E411" s="24">
        <v>1212.5439453125</v>
      </c>
      <c r="F411" s="24">
        <v>1817.3128662109375</v>
      </c>
      <c r="G411" s="24">
        <v>25151.94921875</v>
      </c>
    </row>
    <row r="412" spans="1:7" ht="15">
      <c r="A412" s="23">
        <v>45534</v>
      </c>
      <c r="B412" s="24">
        <v>1496.6995849609375</v>
      </c>
      <c r="C412" s="24">
        <v>794.395751953125</v>
      </c>
      <c r="D412" s="24">
        <v>4253.90673828125</v>
      </c>
      <c r="E412" s="24">
        <v>1219.7879638671875</v>
      </c>
      <c r="F412" s="24">
        <v>1827.041748046875</v>
      </c>
      <c r="G412" s="24">
        <v>25235.900390625</v>
      </c>
    </row>
    <row r="413" spans="1:7" ht="15">
      <c r="A413" s="23">
        <v>45537</v>
      </c>
      <c r="B413" s="24">
        <v>1503.267822265625</v>
      </c>
      <c r="C413" s="24">
        <v>789.56683349609375</v>
      </c>
      <c r="D413" s="24">
        <v>4223.359375</v>
      </c>
      <c r="E413" s="24">
        <v>1220.5322265625</v>
      </c>
      <c r="F413" s="24">
        <v>1846.5933837890625</v>
      </c>
      <c r="G413" s="24">
        <v>25278.69921875</v>
      </c>
    </row>
    <row r="414" spans="1:7" ht="15">
      <c r="A414" s="23">
        <v>45538</v>
      </c>
      <c r="B414" s="24">
        <v>1496.203857421875</v>
      </c>
      <c r="C414" s="24">
        <v>794.61407470703125</v>
      </c>
      <c r="D414" s="24">
        <v>4215.232421875</v>
      </c>
      <c r="E414" s="24">
        <v>1238.1463623046875</v>
      </c>
      <c r="F414" s="24">
        <v>1824.73876953125</v>
      </c>
      <c r="G414" s="24">
        <v>25279.849609375</v>
      </c>
    </row>
    <row r="415" spans="1:7" ht="15">
      <c r="A415" s="23">
        <v>45539</v>
      </c>
      <c r="B415" s="24">
        <v>1501.5823974609375</v>
      </c>
      <c r="C415" s="24">
        <v>796.77374267578125</v>
      </c>
      <c r="D415" s="24">
        <v>4184.31201171875</v>
      </c>
      <c r="E415" s="24">
        <v>1226.88330078125</v>
      </c>
      <c r="F415" s="24">
        <v>1807.0670166015625</v>
      </c>
      <c r="G415" s="24">
        <v>25198.69921875</v>
      </c>
    </row>
    <row r="416" spans="1:7" ht="15">
      <c r="A416" s="23">
        <v>45540</v>
      </c>
      <c r="B416" s="24">
        <v>1480.192138671875</v>
      </c>
      <c r="C416" s="24">
        <v>798.5450439453125</v>
      </c>
      <c r="D416" s="24">
        <v>4181.2294921875</v>
      </c>
      <c r="E416" s="24">
        <v>1226.486328125</v>
      </c>
      <c r="F416" s="24">
        <v>1817.1248779296875</v>
      </c>
      <c r="G416" s="24">
        <v>25145.099609375</v>
      </c>
    </row>
    <row r="417" spans="1:7" ht="15">
      <c r="A417" s="23">
        <v>45541</v>
      </c>
      <c r="B417" s="24">
        <v>1452.2830810546875</v>
      </c>
      <c r="C417" s="24">
        <v>794.419921875</v>
      </c>
      <c r="D417" s="24">
        <v>4163.29345703125</v>
      </c>
      <c r="E417" s="24">
        <v>1198.899169921875</v>
      </c>
      <c r="F417" s="24">
        <v>1787.703369140625</v>
      </c>
      <c r="G417" s="24">
        <v>24852.150390625</v>
      </c>
    </row>
    <row r="418" spans="1:7" ht="15">
      <c r="A418" s="23">
        <v>45544</v>
      </c>
      <c r="B418" s="24">
        <v>1449.9283447265625</v>
      </c>
      <c r="C418" s="24">
        <v>799.05462646484375</v>
      </c>
      <c r="D418" s="24">
        <v>4156.56787109375</v>
      </c>
      <c r="E418" s="24">
        <v>1225.5435791015625</v>
      </c>
      <c r="F418" s="24">
        <v>1780.9356689453125</v>
      </c>
      <c r="G418" s="24">
        <v>24936.400390625</v>
      </c>
    </row>
    <row r="419" spans="1:7" ht="15">
      <c r="A419" s="23">
        <v>45545</v>
      </c>
      <c r="B419" s="24">
        <v>1449.0113525390625</v>
      </c>
      <c r="C419" s="24">
        <v>800.923095703125</v>
      </c>
      <c r="D419" s="24">
        <v>4211.0283203125</v>
      </c>
      <c r="E419" s="24">
        <v>1227.8260498046875</v>
      </c>
      <c r="F419" s="24">
        <v>1797.5263671875</v>
      </c>
      <c r="G419" s="24">
        <v>25041.099609375</v>
      </c>
    </row>
    <row r="420" spans="1:7" ht="15">
      <c r="A420" s="23">
        <v>45546</v>
      </c>
      <c r="B420" s="24">
        <v>1439.0721435546875</v>
      </c>
      <c r="C420" s="24">
        <v>797.7928466796875</v>
      </c>
      <c r="D420" s="24">
        <v>4184.40576171875</v>
      </c>
      <c r="E420" s="24">
        <v>1226.88330078125</v>
      </c>
      <c r="F420" s="24">
        <v>1795.50537109375</v>
      </c>
      <c r="G420" s="24">
        <v>24918.44921875</v>
      </c>
    </row>
    <row r="421" spans="1:7" ht="15">
      <c r="A421" s="23">
        <v>45547</v>
      </c>
      <c r="B421" s="24">
        <v>1467.1298828125</v>
      </c>
      <c r="C421" s="24">
        <v>808.80926513671875</v>
      </c>
      <c r="D421" s="24">
        <v>4220.23046875</v>
      </c>
      <c r="E421" s="24">
        <v>1242.5623779296875</v>
      </c>
      <c r="F421" s="24">
        <v>1833.3865966796875</v>
      </c>
      <c r="G421" s="24">
        <v>25388.900390625</v>
      </c>
    </row>
    <row r="422" spans="1:7" ht="15">
      <c r="A422" s="23">
        <v>45548</v>
      </c>
      <c r="B422" s="24">
        <v>1460.016357421875</v>
      </c>
      <c r="C422" s="24">
        <v>808.49383544921875</v>
      </c>
      <c r="D422" s="24">
        <v>4224.80712890625</v>
      </c>
      <c r="E422" s="24">
        <v>1240.7760009765625</v>
      </c>
      <c r="F422" s="24">
        <v>1827.417724609375</v>
      </c>
      <c r="G422" s="24">
        <v>25356.5</v>
      </c>
    </row>
    <row r="423" spans="1:7" ht="15">
      <c r="A423" s="23">
        <v>45551</v>
      </c>
      <c r="B423" s="24">
        <v>1458.752197265625</v>
      </c>
      <c r="C423" s="24">
        <v>810.9202880859375</v>
      </c>
      <c r="D423" s="24">
        <v>4216.0732421875</v>
      </c>
      <c r="E423" s="24">
        <v>1253.1802978515625</v>
      </c>
      <c r="F423" s="24">
        <v>1833.1986083984375</v>
      </c>
      <c r="G423" s="24">
        <v>25383.75</v>
      </c>
    </row>
    <row r="424" spans="1:7" ht="15">
      <c r="A424" s="23">
        <v>45552</v>
      </c>
      <c r="B424" s="24">
        <v>1459.6942138671875</v>
      </c>
      <c r="C424" s="24">
        <v>809.876953125</v>
      </c>
      <c r="D424" s="24">
        <v>4208.97314453125</v>
      </c>
      <c r="E424" s="24">
        <v>1258.39013671875</v>
      </c>
      <c r="F424" s="24">
        <v>1835.360595703125</v>
      </c>
      <c r="G424" s="24">
        <v>25418.55078125</v>
      </c>
    </row>
    <row r="425" spans="1:7" ht="15">
      <c r="A425" s="23">
        <v>45553</v>
      </c>
      <c r="B425" s="24">
        <v>1450.919921875</v>
      </c>
      <c r="C425" s="24">
        <v>822.49493408203125</v>
      </c>
      <c r="D425" s="24">
        <v>4059.97607421875</v>
      </c>
      <c r="E425" s="24">
        <v>1278.485107421875</v>
      </c>
      <c r="F425" s="24">
        <v>1778.5855712890625</v>
      </c>
      <c r="G425" s="24">
        <v>25377.55078125</v>
      </c>
    </row>
    <row r="426" spans="1:7" ht="15">
      <c r="A426" s="23">
        <v>45554</v>
      </c>
      <c r="B426" s="24">
        <v>1457.0916748046875</v>
      </c>
      <c r="C426" s="24">
        <v>829.1435546875</v>
      </c>
      <c r="D426" s="24">
        <v>4013.26806640625</v>
      </c>
      <c r="E426" s="24">
        <v>1282.107177734375</v>
      </c>
      <c r="F426" s="24">
        <v>1780.5126953125</v>
      </c>
      <c r="G426" s="24">
        <v>25415.80078125</v>
      </c>
    </row>
    <row r="427" spans="1:7" ht="15">
      <c r="A427" s="23">
        <v>45555</v>
      </c>
      <c r="B427" s="24">
        <v>1473.2025146484375</v>
      </c>
      <c r="C427" s="24">
        <v>845.01300048828125</v>
      </c>
      <c r="D427" s="24">
        <v>4002.7587890625</v>
      </c>
      <c r="E427" s="24">
        <v>1328.201416015625</v>
      </c>
      <c r="F427" s="24">
        <v>1791.3695068359375</v>
      </c>
      <c r="G427" s="24">
        <v>25790.94921875</v>
      </c>
    </row>
    <row r="428" spans="1:7" ht="15">
      <c r="A428" s="23">
        <v>45558</v>
      </c>
      <c r="B428" s="24">
        <v>1480.5887451171875</v>
      </c>
      <c r="C428" s="24">
        <v>854.0396728515625</v>
      </c>
      <c r="D428" s="24">
        <v>3987.438720703125</v>
      </c>
      <c r="E428" s="24">
        <v>1311.7781982421875</v>
      </c>
      <c r="F428" s="24">
        <v>1782.6275634765625</v>
      </c>
      <c r="G428" s="24">
        <v>25939.05078125</v>
      </c>
    </row>
    <row r="429" spans="1:7" ht="15">
      <c r="A429" s="23">
        <v>45559</v>
      </c>
      <c r="B429" s="24">
        <v>1476.6229248046875</v>
      </c>
      <c r="C429" s="24">
        <v>858.04345703125</v>
      </c>
      <c r="D429" s="24">
        <v>3990.0546875</v>
      </c>
      <c r="E429" s="24">
        <v>1308.50341796875</v>
      </c>
      <c r="F429" s="24">
        <v>1784.6485595703125</v>
      </c>
      <c r="G429" s="24">
        <v>25940.400390625</v>
      </c>
    </row>
    <row r="430" spans="1:7" ht="15">
      <c r="A430" s="23">
        <v>45560</v>
      </c>
      <c r="B430" s="24">
        <v>1481.15869140625</v>
      </c>
      <c r="C430" s="24">
        <v>863.40606689453125</v>
      </c>
      <c r="D430" s="24">
        <v>3993.27734375</v>
      </c>
      <c r="E430" s="24">
        <v>1313.7132568359375</v>
      </c>
      <c r="F430" s="24">
        <v>1781.546630859375</v>
      </c>
      <c r="G430" s="24">
        <v>26004.150390625</v>
      </c>
    </row>
    <row r="431" spans="1:7" ht="15">
      <c r="A431" s="23">
        <v>45561</v>
      </c>
      <c r="B431" s="24">
        <v>1485.12451171875</v>
      </c>
      <c r="C431" s="24">
        <v>865.51708984375</v>
      </c>
      <c r="D431" s="24">
        <v>4009.858642578125</v>
      </c>
      <c r="E431" s="24">
        <v>1318.87353515625</v>
      </c>
      <c r="F431" s="24">
        <v>1786.1995849609375</v>
      </c>
      <c r="G431" s="24">
        <v>26216.05078125</v>
      </c>
    </row>
    <row r="432" spans="1:7" ht="15">
      <c r="A432" s="23">
        <v>45562</v>
      </c>
      <c r="B432" s="24">
        <v>1513.10791015625</v>
      </c>
      <c r="C432" s="24">
        <v>850.56982421875</v>
      </c>
      <c r="D432" s="24">
        <v>4024.99267578125</v>
      </c>
      <c r="E432" s="24">
        <v>1296.5953369140625</v>
      </c>
      <c r="F432" s="24">
        <v>1792.309326171875</v>
      </c>
      <c r="G432" s="24">
        <v>26178.94921875</v>
      </c>
    </row>
    <row r="433" spans="1:7" ht="15">
      <c r="A433" s="23">
        <v>45565</v>
      </c>
      <c r="B433" s="24">
        <v>1463.9324951171875</v>
      </c>
      <c r="C433" s="24">
        <v>840.572509765625</v>
      </c>
      <c r="D433" s="24">
        <v>3987.438720703125</v>
      </c>
      <c r="E433" s="24">
        <v>1263.252685546875</v>
      </c>
      <c r="F433" s="24">
        <v>1763.029052734375</v>
      </c>
      <c r="G433" s="24">
        <v>25810.849609375</v>
      </c>
    </row>
    <row r="434" spans="1:7" ht="15">
      <c r="A434" s="23">
        <v>45566</v>
      </c>
      <c r="B434" s="24">
        <v>1452.2830810546875</v>
      </c>
      <c r="C434" s="24">
        <v>837.7333984375</v>
      </c>
      <c r="D434" s="24">
        <v>4005.561767578125</v>
      </c>
      <c r="E434" s="24">
        <v>1264.6419677734375</v>
      </c>
      <c r="F434" s="24">
        <v>1790.0533447265625</v>
      </c>
      <c r="G434" s="24">
        <v>25796.900390625</v>
      </c>
    </row>
    <row r="435" spans="1:7" ht="15">
      <c r="A435" s="23">
        <v>45568</v>
      </c>
      <c r="B435" s="24">
        <v>1394.928466796875</v>
      </c>
      <c r="C435" s="24">
        <v>816.282958984375</v>
      </c>
      <c r="D435" s="24">
        <v>3954.042724609375</v>
      </c>
      <c r="E435" s="24">
        <v>1246.7301025390625</v>
      </c>
      <c r="F435" s="24">
        <v>1779.7606201171875</v>
      </c>
      <c r="G435" s="24">
        <v>25250.099609375</v>
      </c>
    </row>
    <row r="436" spans="1:7" ht="15">
      <c r="A436" s="23">
        <v>45569</v>
      </c>
      <c r="B436" s="24">
        <v>1374.653564453125</v>
      </c>
      <c r="C436" s="24">
        <v>804.4658203125</v>
      </c>
      <c r="D436" s="24">
        <v>3972.2587890625</v>
      </c>
      <c r="E436" s="24">
        <v>1230.2572021484375</v>
      </c>
      <c r="F436" s="24">
        <v>1803.025146484375</v>
      </c>
      <c r="G436" s="24">
        <v>25014.599609375</v>
      </c>
    </row>
    <row r="437" spans="1:7" ht="15">
      <c r="A437" s="23">
        <v>45572</v>
      </c>
      <c r="B437" s="24">
        <v>1358.9888916015625</v>
      </c>
      <c r="C437" s="24">
        <v>785.12640380859375</v>
      </c>
      <c r="D437" s="24">
        <v>3991.50244140625</v>
      </c>
      <c r="E437" s="24">
        <v>1224.4520263671875</v>
      </c>
      <c r="F437" s="24">
        <v>1818.2060546875</v>
      </c>
      <c r="G437" s="24">
        <v>24795.75</v>
      </c>
    </row>
    <row r="438" spans="1:7" ht="15">
      <c r="A438" s="23">
        <v>45573</v>
      </c>
      <c r="B438" s="24">
        <v>1385.3858642578125</v>
      </c>
      <c r="C438" s="24">
        <v>801.26275634765625</v>
      </c>
      <c r="D438" s="24">
        <v>3973.19287109375</v>
      </c>
      <c r="E438" s="24">
        <v>1227.13134765625</v>
      </c>
      <c r="F438" s="24">
        <v>1831.6005859375</v>
      </c>
      <c r="G438" s="24">
        <v>25013.150390625</v>
      </c>
    </row>
    <row r="439" spans="1:7" ht="15">
      <c r="A439" s="23">
        <v>45574</v>
      </c>
      <c r="B439" s="24">
        <v>1362.8306884765625</v>
      </c>
      <c r="C439" s="24">
        <v>792.57586669921875</v>
      </c>
      <c r="D439" s="24">
        <v>3972.913330078125</v>
      </c>
      <c r="E439" s="24">
        <v>1234.62353515625</v>
      </c>
      <c r="F439" s="24">
        <v>1835.5484619140625</v>
      </c>
      <c r="G439" s="24">
        <v>24981.94921875</v>
      </c>
    </row>
    <row r="440" spans="1:7" ht="15">
      <c r="A440" s="23">
        <v>45575</v>
      </c>
      <c r="B440" s="24">
        <v>1359.31103515625</v>
      </c>
      <c r="C440" s="24">
        <v>806.77093505859375</v>
      </c>
      <c r="D440" s="24">
        <v>3949.045166015625</v>
      </c>
      <c r="E440" s="24">
        <v>1233.978515625</v>
      </c>
      <c r="F440" s="24">
        <v>1803.8240966796875</v>
      </c>
      <c r="G440" s="24">
        <v>24998.44921875</v>
      </c>
    </row>
    <row r="441" spans="1:7" ht="15">
      <c r="A441" s="23">
        <v>45576</v>
      </c>
      <c r="B441" s="24">
        <v>1360.35205078125</v>
      </c>
      <c r="C441" s="24">
        <v>801.23858642578125</v>
      </c>
      <c r="D441" s="24">
        <v>3875.993896484375</v>
      </c>
      <c r="E441" s="24">
        <v>1213.635498046875</v>
      </c>
      <c r="F441" s="24">
        <v>1818.9578857421875</v>
      </c>
      <c r="G441" s="24">
        <v>24964.25</v>
      </c>
    </row>
    <row r="442" spans="1:7" ht="15">
      <c r="A442" s="23">
        <v>45579</v>
      </c>
      <c r="B442" s="24">
        <v>1360.7734375</v>
      </c>
      <c r="C442" s="24">
        <v>819.24334716796875</v>
      </c>
      <c r="D442" s="24">
        <v>3864.270751953125</v>
      </c>
      <c r="E442" s="24">
        <v>1222.3184814453125</v>
      </c>
      <c r="F442" s="24">
        <v>1841.32958984375</v>
      </c>
      <c r="G442" s="24">
        <v>25127.94921875</v>
      </c>
    </row>
    <row r="443" spans="1:7" ht="15">
      <c r="A443" s="23">
        <v>45580</v>
      </c>
      <c r="B443" s="24">
        <v>1332.5174560546875</v>
      </c>
      <c r="C443" s="24">
        <v>817.3021240234375</v>
      </c>
      <c r="D443" s="24">
        <v>3845.7275390625</v>
      </c>
      <c r="E443" s="24">
        <v>1245.8865966796875</v>
      </c>
      <c r="F443" s="24">
        <v>1841.7054443359375</v>
      </c>
      <c r="G443" s="24">
        <v>25057.349609375</v>
      </c>
    </row>
    <row r="444" spans="1:7" ht="15">
      <c r="A444" s="23">
        <v>45581</v>
      </c>
      <c r="B444" s="24">
        <v>1342.4813232421875</v>
      </c>
      <c r="C444" s="24">
        <v>824.92144775390625</v>
      </c>
      <c r="D444" s="24">
        <v>3825.316650390625</v>
      </c>
      <c r="E444" s="24">
        <v>1233.6312255859375</v>
      </c>
      <c r="F444" s="24">
        <v>1804.858154296875</v>
      </c>
      <c r="G444" s="24">
        <v>24971.30078125</v>
      </c>
    </row>
    <row r="445" spans="1:7" ht="15">
      <c r="A445" s="23">
        <v>45582</v>
      </c>
      <c r="B445" s="24">
        <v>1344.811279296875</v>
      </c>
      <c r="C445" s="24">
        <v>811.988037109375</v>
      </c>
      <c r="D445" s="24">
        <v>3838.44140625</v>
      </c>
      <c r="E445" s="24">
        <v>1221.8223876953125</v>
      </c>
      <c r="F445" s="24">
        <v>1849.977294921875</v>
      </c>
      <c r="G445" s="24">
        <v>24749.849609375</v>
      </c>
    </row>
    <row r="446" spans="1:7" ht="15">
      <c r="A446" s="23">
        <v>45583</v>
      </c>
      <c r="B446" s="24">
        <v>1347.66162109375</v>
      </c>
      <c r="C446" s="24">
        <v>816.210205078125</v>
      </c>
      <c r="D446" s="24">
        <v>3860.96240234375</v>
      </c>
      <c r="E446" s="24">
        <v>1254.8177490234375</v>
      </c>
      <c r="F446" s="24">
        <v>1766.7889404296875</v>
      </c>
      <c r="G446" s="24">
        <v>24854.05078125</v>
      </c>
    </row>
    <row r="447" spans="1:7" ht="15">
      <c r="A447" s="23">
        <v>45586</v>
      </c>
      <c r="B447" s="24">
        <v>1357.476806640625</v>
      </c>
      <c r="C447" s="24">
        <v>838.9466552734375</v>
      </c>
      <c r="D447" s="24">
        <v>3820.508544921875</v>
      </c>
      <c r="E447" s="24">
        <v>1249.4095458984375</v>
      </c>
      <c r="F447" s="24">
        <v>1741.5504150390625</v>
      </c>
      <c r="G447" s="24">
        <v>24781.099609375</v>
      </c>
    </row>
    <row r="448" spans="1:7" ht="15">
      <c r="A448" s="23">
        <v>45587</v>
      </c>
      <c r="B448" s="24">
        <v>1331.8482666015625</v>
      </c>
      <c r="C448" s="24">
        <v>832.07965087890625</v>
      </c>
      <c r="D448" s="24">
        <v>3760.2490234375</v>
      </c>
      <c r="E448" s="24">
        <v>1257.7947998046875</v>
      </c>
      <c r="F448" s="24">
        <v>1740.4693603515625</v>
      </c>
      <c r="G448" s="24">
        <v>24472.099609375</v>
      </c>
    </row>
    <row r="449" spans="1:7" ht="15">
      <c r="A449" s="23">
        <v>45588</v>
      </c>
      <c r="B449" s="24">
        <v>1327.0645751953125</v>
      </c>
      <c r="C449" s="24">
        <v>842.3924560546875</v>
      </c>
      <c r="D449" s="24">
        <v>3807.773193359375</v>
      </c>
      <c r="E449" s="24">
        <v>1242.0164794921875</v>
      </c>
      <c r="F449" s="24">
        <v>1760.9610595703125</v>
      </c>
      <c r="G449" s="24">
        <v>24435.5</v>
      </c>
    </row>
    <row r="450" spans="1:7" ht="15">
      <c r="A450" s="23">
        <v>45589</v>
      </c>
      <c r="B450" s="24">
        <v>1328.3287353515625</v>
      </c>
      <c r="C450" s="24">
        <v>849.11383056640625</v>
      </c>
      <c r="D450" s="24">
        <v>3790.5888671875</v>
      </c>
      <c r="E450" s="24">
        <v>1243.15771484375</v>
      </c>
      <c r="F450" s="24">
        <v>1751.51416015625</v>
      </c>
      <c r="G450" s="24">
        <v>24399.400390625</v>
      </c>
    </row>
    <row r="451" spans="1:7" ht="15">
      <c r="A451" s="23">
        <v>45590</v>
      </c>
      <c r="B451" s="24">
        <v>1316.4808349609375</v>
      </c>
      <c r="C451" s="24">
        <v>846.0806884765625</v>
      </c>
      <c r="D451" s="24">
        <v>3799.6259765625</v>
      </c>
      <c r="E451" s="24">
        <v>1245.8370361328125</v>
      </c>
      <c r="F451" s="24">
        <v>1750.292236328125</v>
      </c>
      <c r="G451" s="24">
        <v>24180.80078125</v>
      </c>
    </row>
    <row r="452" spans="1:7" ht="15">
      <c r="A452" s="23">
        <v>45593</v>
      </c>
      <c r="B452" s="24">
        <v>1322.9251708984375</v>
      </c>
      <c r="C452" s="24">
        <v>841.6158447265625</v>
      </c>
      <c r="D452" s="24">
        <v>3830.80908203125</v>
      </c>
      <c r="E452" s="24">
        <v>1282.95068359375</v>
      </c>
      <c r="F452" s="24">
        <v>1753.3941650390625</v>
      </c>
      <c r="G452" s="24">
        <v>24339.150390625</v>
      </c>
    </row>
    <row r="453" spans="1:7" ht="15">
      <c r="A453" s="23">
        <v>45594</v>
      </c>
      <c r="B453" s="24">
        <v>1328.52685546875</v>
      </c>
      <c r="C453" s="24">
        <v>850.1815185546875</v>
      </c>
      <c r="D453" s="24">
        <v>3816.200927734375</v>
      </c>
      <c r="E453" s="24">
        <v>1321.6519775390625</v>
      </c>
      <c r="F453" s="24">
        <v>1748.59326171875</v>
      </c>
      <c r="G453" s="24">
        <v>24466.849609375</v>
      </c>
    </row>
    <row r="454" spans="1:7" ht="15">
      <c r="A454" s="23">
        <v>45595</v>
      </c>
      <c r="B454" s="24">
        <v>1332.3935546875</v>
      </c>
      <c r="C454" s="24">
        <v>841.80999755859375</v>
      </c>
      <c r="D454" s="24">
        <v>3825.003173828125</v>
      </c>
      <c r="E454" s="24">
        <v>1302.1029052734375</v>
      </c>
      <c r="F454" s="24">
        <v>1713.2276611328125</v>
      </c>
      <c r="G454" s="24">
        <v>24340.849609375</v>
      </c>
    </row>
    <row r="455" spans="1:7" ht="15">
      <c r="A455" s="23">
        <v>45596</v>
      </c>
      <c r="B455" s="24">
        <v>1320.64501953125</v>
      </c>
      <c r="C455" s="24">
        <v>842.34381103515625</v>
      </c>
      <c r="D455" s="24">
        <v>3716.18994140625</v>
      </c>
      <c r="E455" s="24">
        <v>1282.355224609375</v>
      </c>
      <c r="F455" s="24">
        <v>1670.589599609375</v>
      </c>
      <c r="G455" s="24">
        <v>24205.349609375</v>
      </c>
    </row>
    <row r="456" spans="1:7" ht="15">
      <c r="A456" s="23">
        <v>45597</v>
      </c>
      <c r="B456" s="24">
        <v>1327.1884765625</v>
      </c>
      <c r="C456" s="24">
        <v>843.120361328125</v>
      </c>
      <c r="D456" s="24">
        <v>3730.938720703125</v>
      </c>
      <c r="E456" s="24">
        <v>1281.90869140625</v>
      </c>
      <c r="F456" s="24">
        <v>1674.011962890625</v>
      </c>
      <c r="G456" s="24">
        <v>24304.349609375</v>
      </c>
    </row>
    <row r="457" spans="1:7" ht="15">
      <c r="A457" s="23">
        <v>45600</v>
      </c>
      <c r="B457" s="24">
        <v>1291.0009765625</v>
      </c>
      <c r="C457" s="24">
        <v>831.8612060546875</v>
      </c>
      <c r="D457" s="24">
        <v>3712.1630859375</v>
      </c>
      <c r="E457" s="24">
        <v>1267.42041015625</v>
      </c>
      <c r="F457" s="24">
        <v>1676.674072265625</v>
      </c>
      <c r="G457" s="24">
        <v>23995.349609375</v>
      </c>
    </row>
    <row r="458" spans="1:7" ht="15">
      <c r="A458" s="23">
        <v>45601</v>
      </c>
      <c r="B458" s="24">
        <v>1294.1240234375</v>
      </c>
      <c r="C458" s="24">
        <v>853.09332275390625</v>
      </c>
      <c r="D458" s="24">
        <v>3718.90576171875</v>
      </c>
      <c r="E458" s="24">
        <v>1286.7711181640625</v>
      </c>
      <c r="F458" s="24">
        <v>1667.6900634765625</v>
      </c>
      <c r="G458" s="24">
        <v>24213.30078125</v>
      </c>
    </row>
    <row r="459" spans="1:7" ht="15">
      <c r="A459" s="23">
        <v>45602</v>
      </c>
      <c r="B459" s="24">
        <v>1314.002197265625</v>
      </c>
      <c r="C459" s="24">
        <v>851.83160400390625</v>
      </c>
      <c r="D459" s="24">
        <v>3876.50732421875</v>
      </c>
      <c r="E459" s="24">
        <v>1292.3779296875</v>
      </c>
      <c r="F459" s="24">
        <v>1733.762451171875</v>
      </c>
      <c r="G459" s="24">
        <v>24484.05078125</v>
      </c>
    </row>
    <row r="460" spans="1:7" ht="15">
      <c r="A460" s="23">
        <v>45603</v>
      </c>
      <c r="B460" s="24">
        <v>1294.470947265625</v>
      </c>
      <c r="C460" s="24">
        <v>847.60943603515625</v>
      </c>
      <c r="D460" s="24">
        <v>3887.042236328125</v>
      </c>
      <c r="E460" s="24">
        <v>1268.908935546875</v>
      </c>
      <c r="F460" s="24">
        <v>1714.1309814453125</v>
      </c>
      <c r="G460" s="24">
        <v>24199.349609375</v>
      </c>
    </row>
    <row r="461" spans="1:7" ht="15">
      <c r="A461" s="23">
        <v>45604</v>
      </c>
      <c r="B461" s="24">
        <v>1272.758544921875</v>
      </c>
      <c r="C461" s="24">
        <v>851.44329833984375</v>
      </c>
      <c r="D461" s="24">
        <v>3883.39013671875</v>
      </c>
      <c r="E461" s="24">
        <v>1249.2109375</v>
      </c>
      <c r="F461" s="24">
        <v>1739.7042236328125</v>
      </c>
      <c r="G461" s="24">
        <v>24148.19921875</v>
      </c>
    </row>
    <row r="462" spans="1:7" ht="15">
      <c r="A462" s="23">
        <v>45607</v>
      </c>
      <c r="B462" s="24">
        <v>1261.802978515625</v>
      </c>
      <c r="C462" s="24">
        <v>857.1942138671875</v>
      </c>
      <c r="D462" s="24">
        <v>3931.803955078125</v>
      </c>
      <c r="E462" s="24">
        <v>1259.5810546875</v>
      </c>
      <c r="F462" s="24">
        <v>1768.367431640625</v>
      </c>
      <c r="G462" s="24">
        <v>24141.30078125</v>
      </c>
    </row>
    <row r="463" spans="1:7" ht="15">
      <c r="A463" s="23">
        <v>45608</v>
      </c>
      <c r="B463" s="24">
        <v>1263.33984375</v>
      </c>
      <c r="C463" s="24">
        <v>833.8509521484375</v>
      </c>
      <c r="D463" s="24">
        <v>3930.586181640625</v>
      </c>
      <c r="E463" s="24">
        <v>1260.8709716796875</v>
      </c>
      <c r="F463" s="24">
        <v>1776.638427734375</v>
      </c>
      <c r="G463" s="24">
        <v>23883.44921875</v>
      </c>
    </row>
    <row r="464" spans="1:7" ht="15">
      <c r="A464" s="23">
        <v>45609</v>
      </c>
      <c r="B464" s="24">
        <v>1241.3299560546875</v>
      </c>
      <c r="C464" s="24">
        <v>815.96746826171875</v>
      </c>
      <c r="D464" s="24">
        <v>3886.52734375</v>
      </c>
      <c r="E464" s="24">
        <v>1244.100341796875</v>
      </c>
      <c r="F464" s="24">
        <v>1776.2581787109375</v>
      </c>
      <c r="G464" s="24">
        <v>23559.05078125</v>
      </c>
    </row>
    <row r="465" spans="1:7" ht="15">
      <c r="A465" s="23">
        <v>45610</v>
      </c>
      <c r="B465" s="24">
        <v>1256.746826171875</v>
      </c>
      <c r="C465" s="24">
        <v>821.5</v>
      </c>
      <c r="D465" s="24">
        <v>3882.359375</v>
      </c>
      <c r="E465" s="24">
        <v>1247.325439453125</v>
      </c>
      <c r="F465" s="24">
        <v>1772.59814453125</v>
      </c>
      <c r="G465" s="24">
        <v>23532.69921875</v>
      </c>
    </row>
    <row r="466" spans="1:7" ht="15">
      <c r="A466" s="23">
        <v>45614</v>
      </c>
      <c r="B466" s="24">
        <v>1249.9554443359375</v>
      </c>
      <c r="C466" s="24">
        <v>827.49346923828125</v>
      </c>
      <c r="D466" s="24">
        <v>3763.99462890625</v>
      </c>
      <c r="E466" s="24">
        <v>1243.852294921875</v>
      </c>
      <c r="F466" s="24">
        <v>1722.11669921875</v>
      </c>
      <c r="G466" s="24">
        <v>23453.80078125</v>
      </c>
    </row>
    <row r="467" spans="1:7" ht="15">
      <c r="A467" s="23">
        <v>45615</v>
      </c>
      <c r="B467" s="24">
        <v>1231.0189208984375</v>
      </c>
      <c r="C467" s="24">
        <v>845.5225830078125</v>
      </c>
      <c r="D467" s="24">
        <v>3782.770263671875</v>
      </c>
      <c r="E467" s="24">
        <v>1239.53564453125</v>
      </c>
      <c r="F467" s="24">
        <v>1734.7608642578125</v>
      </c>
      <c r="G467" s="24">
        <v>23518.5</v>
      </c>
    </row>
    <row r="468" spans="1:7" ht="15">
      <c r="A468" s="23">
        <v>45617</v>
      </c>
      <c r="B468" s="24">
        <v>1212.528564453125</v>
      </c>
      <c r="C468" s="24">
        <v>845.01300048828125</v>
      </c>
      <c r="D468" s="24">
        <v>3813.95361328125</v>
      </c>
      <c r="E468" s="24">
        <v>1240.974609375</v>
      </c>
      <c r="F468" s="24">
        <v>1743.6021728515625</v>
      </c>
      <c r="G468" s="24">
        <v>23349.900390625</v>
      </c>
    </row>
    <row r="469" spans="1:7" ht="15">
      <c r="A469" s="23">
        <v>45618</v>
      </c>
      <c r="B469" s="24">
        <v>1254.565673828125</v>
      </c>
      <c r="C469" s="24">
        <v>847.14837646484375</v>
      </c>
      <c r="D469" s="24">
        <v>3974.7861328125</v>
      </c>
      <c r="E469" s="24">
        <v>1268.2640380859375</v>
      </c>
      <c r="F469" s="24">
        <v>1808.438720703125</v>
      </c>
      <c r="G469" s="24">
        <v>23907.25</v>
      </c>
    </row>
    <row r="470" spans="1:7" ht="15">
      <c r="A470" s="23">
        <v>45621</v>
      </c>
      <c r="B470" s="24">
        <v>1275.9805908203125</v>
      </c>
      <c r="C470" s="24">
        <v>866.560546875</v>
      </c>
      <c r="D470" s="24">
        <v>4040.80419921875</v>
      </c>
      <c r="E470" s="24">
        <v>1290.9886474609375</v>
      </c>
      <c r="F470" s="24">
        <v>1796.507568359375</v>
      </c>
      <c r="G470" s="24">
        <v>24221.900390625</v>
      </c>
    </row>
    <row r="471" spans="1:7" ht="15">
      <c r="A471" s="23">
        <v>45622</v>
      </c>
      <c r="B471" s="24">
        <v>1284.6060791015625</v>
      </c>
      <c r="C471" s="24">
        <v>866.53631591796875</v>
      </c>
      <c r="D471" s="24">
        <v>4076.01416015625</v>
      </c>
      <c r="E471" s="24">
        <v>1294.9580078125</v>
      </c>
      <c r="F471" s="24">
        <v>1829.2587890625</v>
      </c>
      <c r="G471" s="24">
        <v>24194.5</v>
      </c>
    </row>
    <row r="472" spans="1:7" ht="15">
      <c r="A472" s="23">
        <v>45623</v>
      </c>
      <c r="B472" s="24">
        <v>1282.1275634765625</v>
      </c>
      <c r="C472" s="24">
        <v>879.5181884765625</v>
      </c>
      <c r="D472" s="24">
        <v>4057.144775390625</v>
      </c>
      <c r="E472" s="24">
        <v>1290.740478515625</v>
      </c>
      <c r="F472" s="24">
        <v>1829.591552734375</v>
      </c>
      <c r="G472" s="24">
        <v>24274.900390625</v>
      </c>
    </row>
    <row r="473" spans="1:7" ht="15">
      <c r="A473" s="23">
        <v>45624</v>
      </c>
      <c r="B473" s="24">
        <v>1259.91943359375</v>
      </c>
      <c r="C473" s="24">
        <v>870.224609375</v>
      </c>
      <c r="D473" s="24">
        <v>3975.067138671875</v>
      </c>
      <c r="E473" s="24">
        <v>1276.5003662109375</v>
      </c>
      <c r="F473" s="24">
        <v>1765.0875244140625</v>
      </c>
      <c r="G473" s="24">
        <v>23914.150390625</v>
      </c>
    </row>
    <row r="474" spans="1:7" ht="15">
      <c r="A474" s="23">
        <v>45625</v>
      </c>
      <c r="B474" s="24">
        <v>1281.1361083984375</v>
      </c>
      <c r="C474" s="24">
        <v>871.63201904296875</v>
      </c>
      <c r="D474" s="24">
        <v>3999.367431640625</v>
      </c>
      <c r="E474" s="24">
        <v>1290.1451416015625</v>
      </c>
      <c r="F474" s="24">
        <v>1766.2283935546875</v>
      </c>
      <c r="G474" s="24">
        <v>24131.099609375</v>
      </c>
    </row>
    <row r="475" spans="1:7" ht="15">
      <c r="A475" s="23">
        <v>45628</v>
      </c>
      <c r="B475" s="24">
        <v>1297.9410400390625</v>
      </c>
      <c r="C475" s="24">
        <v>875.82989501953125</v>
      </c>
      <c r="D475" s="24">
        <v>4004.798583984375</v>
      </c>
      <c r="E475" s="24">
        <v>1294.6602783203125</v>
      </c>
      <c r="F475" s="24">
        <v>1787.0960693359375</v>
      </c>
      <c r="G475" s="24">
        <v>24276.05078125</v>
      </c>
    </row>
    <row r="476" spans="1:7" ht="15">
      <c r="A476" s="23">
        <v>45629</v>
      </c>
      <c r="B476" s="24">
        <v>1311.969970703125</v>
      </c>
      <c r="C476" s="24">
        <v>886.31243896484375</v>
      </c>
      <c r="D476" s="24">
        <v>4029.239990234375</v>
      </c>
      <c r="E476" s="24">
        <v>1298.381591796875</v>
      </c>
      <c r="F476" s="24">
        <v>1798.7894287109375</v>
      </c>
      <c r="G476" s="24">
        <v>24457.150390625</v>
      </c>
    </row>
    <row r="477" spans="1:7" ht="15">
      <c r="A477" s="23">
        <v>45630</v>
      </c>
      <c r="B477" s="24">
        <v>1297.74267578125</v>
      </c>
      <c r="C477" s="24">
        <v>902.71575927734375</v>
      </c>
      <c r="D477" s="24">
        <v>4077.6064453125</v>
      </c>
      <c r="E477" s="24">
        <v>1305.9730224609375</v>
      </c>
      <c r="F477" s="24">
        <v>1796.0799560546875</v>
      </c>
      <c r="G477" s="24">
        <v>24467.44921875</v>
      </c>
    </row>
    <row r="478" spans="1:7" ht="15">
      <c r="A478" s="23">
        <v>45631</v>
      </c>
      <c r="B478" s="24">
        <v>1310.7305908203125</v>
      </c>
      <c r="C478" s="24">
        <v>905.457763671875</v>
      </c>
      <c r="D478" s="24">
        <v>4180.28662109375</v>
      </c>
      <c r="E478" s="24">
        <v>1326.2664794921875</v>
      </c>
      <c r="F478" s="24">
        <v>1839.4310302734375</v>
      </c>
      <c r="G478" s="24">
        <v>24708.400390625</v>
      </c>
    </row>
    <row r="479" spans="1:7" ht="15">
      <c r="A479" s="23">
        <v>45632</v>
      </c>
      <c r="B479" s="24">
        <v>1300.320556640625</v>
      </c>
      <c r="C479" s="24">
        <v>900.6531982421875</v>
      </c>
      <c r="D479" s="24">
        <v>4162.91552734375</v>
      </c>
      <c r="E479" s="24">
        <v>1318.5758056640625</v>
      </c>
      <c r="F479" s="24">
        <v>1827.5950927734375</v>
      </c>
      <c r="G479" s="24">
        <v>24677.80078125</v>
      </c>
    </row>
    <row r="480" spans="1:7" ht="15">
      <c r="A480" s="23">
        <v>45635</v>
      </c>
      <c r="B480" s="24">
        <v>1284.0609130859375</v>
      </c>
      <c r="C480" s="24">
        <v>907.520263671875</v>
      </c>
      <c r="D480" s="24">
        <v>4169.14306640625</v>
      </c>
      <c r="E480" s="24">
        <v>1312.1751708984375</v>
      </c>
      <c r="F480" s="24">
        <v>1828.7835693359375</v>
      </c>
      <c r="G480" s="24">
        <v>24619</v>
      </c>
    </row>
    <row r="481" spans="1:7" ht="15">
      <c r="A481" s="23">
        <v>45636</v>
      </c>
      <c r="B481" s="24">
        <v>1273.8489990234375</v>
      </c>
      <c r="C481" s="24">
        <v>906.59820556640625</v>
      </c>
      <c r="D481" s="24">
        <v>4150.78857421875</v>
      </c>
      <c r="E481" s="24">
        <v>1320.2626953125</v>
      </c>
      <c r="F481" s="24">
        <v>1852.4554443359375</v>
      </c>
      <c r="G481" s="24">
        <v>24610.05078125</v>
      </c>
    </row>
    <row r="482" spans="1:7" ht="15">
      <c r="A482" s="23">
        <v>45637</v>
      </c>
      <c r="B482" s="24">
        <v>1267.2559814453125</v>
      </c>
      <c r="C482" s="24">
        <v>904.17169189453125</v>
      </c>
      <c r="D482" s="24">
        <v>4146.0126953125</v>
      </c>
      <c r="E482" s="24">
        <v>1317.3353271484375</v>
      </c>
      <c r="F482" s="24">
        <v>1876.79296875</v>
      </c>
      <c r="G482" s="24">
        <v>24641.80078125</v>
      </c>
    </row>
    <row r="483" spans="1:7" ht="15">
      <c r="A483" s="23">
        <v>45638</v>
      </c>
      <c r="B483" s="24">
        <v>1252.0870361328125</v>
      </c>
      <c r="C483" s="24">
        <v>902.30328369140625</v>
      </c>
      <c r="D483" s="24">
        <v>4171.76513671875</v>
      </c>
      <c r="E483" s="24">
        <v>1319.0718994140625</v>
      </c>
      <c r="F483" s="24">
        <v>1889.0093994140625</v>
      </c>
      <c r="G483" s="24">
        <v>24548.69921875</v>
      </c>
    </row>
    <row r="484" spans="1:7" ht="15">
      <c r="A484" s="23">
        <v>45639</v>
      </c>
      <c r="B484" s="24">
        <v>1261.9517822265625</v>
      </c>
      <c r="C484" s="24">
        <v>908.36956787109375</v>
      </c>
      <c r="D484" s="24">
        <v>4189.509765625</v>
      </c>
      <c r="E484" s="24">
        <v>1334.6021728515625</v>
      </c>
      <c r="F484" s="24">
        <v>1901.0828857421875</v>
      </c>
      <c r="G484" s="24">
        <v>24768.30078125</v>
      </c>
    </row>
    <row r="485" spans="1:7" ht="15">
      <c r="A485" s="23">
        <v>45642</v>
      </c>
      <c r="B485" s="24">
        <v>1257.4407958984375</v>
      </c>
      <c r="C485" s="24">
        <v>905.1907958984375</v>
      </c>
      <c r="D485" s="24">
        <v>4134.54150390625</v>
      </c>
      <c r="E485" s="24">
        <v>1335.7928466796875</v>
      </c>
      <c r="F485" s="24">
        <v>1882.402099609375</v>
      </c>
      <c r="G485" s="24">
        <v>24668.25</v>
      </c>
    </row>
    <row r="486" spans="1:7" ht="15">
      <c r="A486" s="23">
        <v>45643</v>
      </c>
      <c r="B486" s="24">
        <v>1234.6378173828125</v>
      </c>
      <c r="C486" s="24">
        <v>889.68536376953125</v>
      </c>
      <c r="D486" s="24">
        <v>4053.353271484375</v>
      </c>
      <c r="E486" s="24">
        <v>1323.5374755859375</v>
      </c>
      <c r="F486" s="24">
        <v>1879.1220703125</v>
      </c>
      <c r="G486" s="24">
        <v>24336</v>
      </c>
    </row>
    <row r="487" spans="1:7" ht="15">
      <c r="A487" s="23">
        <v>45644</v>
      </c>
      <c r="B487" s="24">
        <v>1242.5196533203125</v>
      </c>
      <c r="C487" s="24">
        <v>878.74169921875</v>
      </c>
      <c r="D487" s="24">
        <v>4071.472412109375</v>
      </c>
      <c r="E487" s="24">
        <v>1304.087646484375</v>
      </c>
      <c r="F487" s="24">
        <v>1881.54638671875</v>
      </c>
      <c r="G487" s="24">
        <v>24198.849609375</v>
      </c>
    </row>
    <row r="488" spans="1:7" ht="15">
      <c r="A488" s="23">
        <v>45645</v>
      </c>
      <c r="B488" s="24">
        <v>1219.914794921875</v>
      </c>
      <c r="C488" s="24">
        <v>870.39447021484375</v>
      </c>
      <c r="D488" s="24">
        <v>4000.350830078125</v>
      </c>
      <c r="E488" s="24">
        <v>1277.0462646484375</v>
      </c>
      <c r="F488" s="24">
        <v>1850.22119140625</v>
      </c>
      <c r="G488" s="24">
        <v>23951.69921875</v>
      </c>
    </row>
    <row r="489" spans="1:7" ht="15">
      <c r="A489" s="23">
        <v>45646</v>
      </c>
      <c r="B489" s="24">
        <v>1194.9803466796875</v>
      </c>
      <c r="C489" s="24">
        <v>859.7177734375</v>
      </c>
      <c r="D489" s="24">
        <v>3905.208251953125</v>
      </c>
      <c r="E489" s="24">
        <v>1278.5347900390625</v>
      </c>
      <c r="F489" s="24">
        <v>1827.3575439453125</v>
      </c>
      <c r="G489" s="24">
        <v>23587.5</v>
      </c>
    </row>
    <row r="490" spans="1:7" ht="15">
      <c r="A490" s="23">
        <v>45649</v>
      </c>
      <c r="B490" s="24">
        <v>1211.834716796875</v>
      </c>
      <c r="C490" s="24">
        <v>874.03424072265625</v>
      </c>
      <c r="D490" s="24">
        <v>3893.970947265625</v>
      </c>
      <c r="E490" s="24">
        <v>1286.8704833984375</v>
      </c>
      <c r="F490" s="24">
        <v>1829.4013671875</v>
      </c>
      <c r="G490" s="24">
        <v>23753.44921875</v>
      </c>
    </row>
    <row r="491" spans="1:7" ht="15">
      <c r="A491" s="23">
        <v>45650</v>
      </c>
      <c r="B491" s="24">
        <v>1212.2808837890625</v>
      </c>
      <c r="C491" s="24">
        <v>872.62689208984375</v>
      </c>
      <c r="D491" s="24">
        <v>3913.824462890625</v>
      </c>
      <c r="E491" s="24">
        <v>1287.3170166015625</v>
      </c>
      <c r="F491" s="24">
        <v>1814.9034423828125</v>
      </c>
      <c r="G491" s="24">
        <v>23727.650390625</v>
      </c>
    </row>
    <row r="492" spans="1:7" ht="15">
      <c r="A492" s="23">
        <v>45652</v>
      </c>
      <c r="B492" s="24">
        <v>1206.1339111328125</v>
      </c>
      <c r="C492" s="24">
        <v>869.05987548828125</v>
      </c>
      <c r="D492" s="24">
        <v>3904.08544921875</v>
      </c>
      <c r="E492" s="24">
        <v>1287.4161376953125</v>
      </c>
      <c r="F492" s="24">
        <v>1813.3348388671875</v>
      </c>
      <c r="G492" s="24">
        <v>23750.19921875</v>
      </c>
    </row>
    <row r="493" spans="1:7" ht="15">
      <c r="A493" s="23">
        <v>45653</v>
      </c>
      <c r="B493" s="24">
        <v>1210.595458984375</v>
      </c>
      <c r="C493" s="24">
        <v>872.69970703125</v>
      </c>
      <c r="D493" s="24">
        <v>3900.10546875</v>
      </c>
      <c r="E493" s="24">
        <v>1297.5382080078125</v>
      </c>
      <c r="F493" s="24">
        <v>1822.2237548828125</v>
      </c>
      <c r="G493" s="24">
        <v>23813.400390625</v>
      </c>
    </row>
    <row r="494" spans="1:7" ht="15">
      <c r="A494" s="23">
        <v>45656</v>
      </c>
      <c r="B494" s="24">
        <v>1200.3338623046875</v>
      </c>
      <c r="C494" s="24">
        <v>862.82373046875</v>
      </c>
      <c r="D494" s="24">
        <v>3894.439697265625</v>
      </c>
      <c r="E494" s="24">
        <v>1284.7369384765625</v>
      </c>
      <c r="F494" s="24">
        <v>1812.00390625</v>
      </c>
      <c r="G494" s="24">
        <v>23644.900390625</v>
      </c>
    </row>
    <row r="495" spans="1:7" ht="15">
      <c r="A495" s="23">
        <v>45657</v>
      </c>
      <c r="B495" s="24">
        <v>1205.043212890625</v>
      </c>
      <c r="C495" s="24">
        <v>860.3729248046875</v>
      </c>
      <c r="D495" s="24">
        <v>3834.50830078125</v>
      </c>
      <c r="E495" s="24">
        <v>1271.83642578125</v>
      </c>
      <c r="F495" s="24">
        <v>1787.2860107421875</v>
      </c>
      <c r="G495" s="24">
        <v>23644.80078125</v>
      </c>
    </row>
    <row r="496" spans="1:7" ht="15">
      <c r="A496" s="23">
        <v>45658</v>
      </c>
      <c r="B496" s="24">
        <v>1210.7935791015625</v>
      </c>
      <c r="C496" s="24">
        <v>865.1773681640625</v>
      </c>
      <c r="D496" s="24">
        <v>3851.036376953125</v>
      </c>
      <c r="E496" s="24">
        <v>1273.8211669921875</v>
      </c>
      <c r="F496" s="24">
        <v>1789.6627197265625</v>
      </c>
      <c r="G496" s="24">
        <v>23742.900390625</v>
      </c>
    </row>
    <row r="497" spans="1:7" ht="15">
      <c r="A497" s="23">
        <v>45659</v>
      </c>
      <c r="B497" s="24">
        <v>1231.167724609375</v>
      </c>
      <c r="C497" s="24">
        <v>870.51580810546875</v>
      </c>
      <c r="D497" s="24">
        <v>3910.312744140625</v>
      </c>
      <c r="E497" s="24">
        <v>1280.7178955078125</v>
      </c>
      <c r="F497" s="24">
        <v>1861.2967529296875</v>
      </c>
      <c r="G497" s="24">
        <v>24188.650390625</v>
      </c>
    </row>
    <row r="498" spans="1:7" ht="15">
      <c r="A498" s="23">
        <v>45660</v>
      </c>
      <c r="B498" s="24">
        <v>1240.4376220703125</v>
      </c>
      <c r="C498" s="24">
        <v>848.8953857421875</v>
      </c>
      <c r="D498" s="24">
        <v>3839.283935546875</v>
      </c>
      <c r="E498" s="24">
        <v>1255.363525390625</v>
      </c>
      <c r="F498" s="24">
        <v>1843.138671875</v>
      </c>
      <c r="G498" s="24">
        <v>24004.75</v>
      </c>
    </row>
    <row r="499" spans="1:7" ht="15">
      <c r="A499" s="23">
        <v>45663</v>
      </c>
      <c r="B499" s="24">
        <v>1207.571533203125</v>
      </c>
      <c r="C499" s="24">
        <v>830.11419677734375</v>
      </c>
      <c r="D499" s="24">
        <v>3834.695556640625</v>
      </c>
      <c r="E499" s="24">
        <v>1254.4207763671875</v>
      </c>
      <c r="F499" s="24">
        <v>1842.283203125</v>
      </c>
      <c r="G499" s="24">
        <v>23616.05078125</v>
      </c>
    </row>
    <row r="500" spans="1:7" ht="15">
      <c r="A500" s="23">
        <v>45664</v>
      </c>
      <c r="B500" s="24">
        <v>1230.2257080078125</v>
      </c>
      <c r="C500" s="24">
        <v>831.521484375</v>
      </c>
      <c r="D500" s="24">
        <v>3772.2353515625</v>
      </c>
      <c r="E500" s="24">
        <v>1269.454833984375</v>
      </c>
      <c r="F500" s="24">
        <v>1835.6282958984375</v>
      </c>
      <c r="G500" s="24">
        <v>23707.900390625</v>
      </c>
    </row>
    <row r="501" spans="1:7" ht="15">
      <c r="A501" s="23">
        <v>45665</v>
      </c>
      <c r="B501" s="24">
        <v>1254.664794921875</v>
      </c>
      <c r="C501" s="24">
        <v>822.25225830078125</v>
      </c>
      <c r="D501" s="24">
        <v>3847.243408203125</v>
      </c>
      <c r="E501" s="24">
        <v>1254.073486328125</v>
      </c>
      <c r="F501" s="24">
        <v>1837.81494140625</v>
      </c>
      <c r="G501" s="24">
        <v>23688.94921875</v>
      </c>
    </row>
    <row r="502" spans="1:7" ht="15">
      <c r="A502" s="23">
        <v>45666</v>
      </c>
      <c r="B502" s="24">
        <v>1244.0068359375</v>
      </c>
      <c r="C502" s="24">
        <v>809.39166259765625</v>
      </c>
      <c r="D502" s="24">
        <v>3782.114990234375</v>
      </c>
      <c r="E502" s="24">
        <v>1252.73388671875</v>
      </c>
      <c r="F502" s="24">
        <v>1822.7467041015625</v>
      </c>
      <c r="G502" s="24">
        <v>23526.5</v>
      </c>
    </row>
    <row r="503" spans="1:7" ht="15">
      <c r="A503" s="23">
        <v>45667</v>
      </c>
      <c r="B503" s="24">
        <v>1231.266845703125</v>
      </c>
      <c r="C503" s="24">
        <v>804.02899169921875</v>
      </c>
      <c r="D503" s="24">
        <v>3994.497802734375</v>
      </c>
      <c r="E503" s="24">
        <v>1240.2799072265625</v>
      </c>
      <c r="F503" s="24">
        <v>1869.947998046875</v>
      </c>
      <c r="G503" s="24">
        <v>23431.5</v>
      </c>
    </row>
    <row r="504" spans="1:7" ht="15">
      <c r="A504" s="23">
        <v>45670</v>
      </c>
      <c r="B504" s="24">
        <v>1229.234375</v>
      </c>
      <c r="C504" s="24">
        <v>791.45965576171875</v>
      </c>
      <c r="D504" s="24">
        <v>4018.330322265625</v>
      </c>
      <c r="E504" s="24">
        <v>1220.3338623046875</v>
      </c>
      <c r="F504" s="24">
        <v>1865.4322509765625</v>
      </c>
      <c r="G504" s="24">
        <v>23085.94921875</v>
      </c>
    </row>
    <row r="505" spans="1:7" ht="15">
      <c r="A505" s="23">
        <v>45671</v>
      </c>
      <c r="B505" s="24">
        <v>1228.143798828125</v>
      </c>
      <c r="C505" s="24">
        <v>799.1031494140625</v>
      </c>
      <c r="D505" s="24">
        <v>3963.97021484375</v>
      </c>
      <c r="E505" s="24">
        <v>1230.8031005859375</v>
      </c>
      <c r="F505" s="24">
        <v>1844.374755859375</v>
      </c>
      <c r="G505" s="24">
        <v>23176.05078125</v>
      </c>
    </row>
    <row r="506" spans="1:7" ht="15">
      <c r="A506" s="23">
        <v>45672</v>
      </c>
      <c r="B506" s="24">
        <v>1241.478515625</v>
      </c>
      <c r="C506" s="24">
        <v>797.38031005859375</v>
      </c>
      <c r="D506" s="24">
        <v>3979.46826171875</v>
      </c>
      <c r="E506" s="24">
        <v>1228.7686767578125</v>
      </c>
      <c r="F506" s="24">
        <v>1853.501220703125</v>
      </c>
      <c r="G506" s="24">
        <v>23213.19921875</v>
      </c>
    </row>
    <row r="507" spans="1:7" ht="15">
      <c r="A507" s="23">
        <v>45673</v>
      </c>
      <c r="B507" s="24">
        <v>1255.6065673828125</v>
      </c>
      <c r="C507" s="24">
        <v>801.74810791015625</v>
      </c>
      <c r="D507" s="24">
        <v>3938.920166015625</v>
      </c>
      <c r="E507" s="24">
        <v>1239.53564453125</v>
      </c>
      <c r="F507" s="24">
        <v>1833.3466796875</v>
      </c>
      <c r="G507" s="24">
        <v>23311.80078125</v>
      </c>
    </row>
    <row r="508" spans="1:7" ht="15">
      <c r="A508" s="23">
        <v>45674</v>
      </c>
      <c r="B508" s="24">
        <v>1291.19921875</v>
      </c>
      <c r="C508" s="24">
        <v>794.32293701171875</v>
      </c>
      <c r="D508" s="24">
        <v>3933.1982421875</v>
      </c>
      <c r="E508" s="24">
        <v>1216.066650390625</v>
      </c>
      <c r="F508" s="24">
        <v>1725.9193115234375</v>
      </c>
      <c r="G508" s="24">
        <v>23203.19921875</v>
      </c>
    </row>
    <row r="509" spans="1:7" ht="15">
      <c r="A509" s="23">
        <v>45677</v>
      </c>
      <c r="B509" s="24">
        <v>1294.272705078125</v>
      </c>
      <c r="C509" s="24">
        <v>801.35980224609375</v>
      </c>
      <c r="D509" s="24">
        <v>3888.853271484375</v>
      </c>
      <c r="E509" s="24">
        <v>1223.50927734375</v>
      </c>
      <c r="F509" s="24">
        <v>1723.87548828125</v>
      </c>
      <c r="G509" s="24">
        <v>23344.75</v>
      </c>
    </row>
    <row r="510" spans="1:7" ht="15">
      <c r="A510" s="23">
        <v>45678</v>
      </c>
      <c r="B510" s="24">
        <v>1262.7945556640625</v>
      </c>
      <c r="C510" s="24">
        <v>797.06488037109375</v>
      </c>
      <c r="D510" s="24">
        <v>3848.8466796875</v>
      </c>
      <c r="E510" s="24">
        <v>1186.9910888671875</v>
      </c>
      <c r="F510" s="24">
        <v>1711.896728515625</v>
      </c>
      <c r="G510" s="24">
        <v>23024.650390625</v>
      </c>
    </row>
    <row r="511" spans="1:7" ht="15">
      <c r="A511" s="23">
        <v>45679</v>
      </c>
      <c r="B511" s="24">
        <v>1266.16552734375</v>
      </c>
      <c r="C511" s="24">
        <v>808.5423583984375</v>
      </c>
      <c r="D511" s="24">
        <v>3964.001708984375</v>
      </c>
      <c r="E511" s="24">
        <v>1191.258056640625</v>
      </c>
      <c r="F511" s="24">
        <v>1764.8974609375</v>
      </c>
      <c r="G511" s="24">
        <v>23155.349609375</v>
      </c>
    </row>
    <row r="512" spans="1:7" ht="15">
      <c r="A512" s="23">
        <v>45680</v>
      </c>
      <c r="B512" s="24">
        <v>1252.8306884765625</v>
      </c>
      <c r="C512" s="24">
        <v>807.98431396484375</v>
      </c>
      <c r="D512" s="24">
        <v>3953.36865234375</v>
      </c>
      <c r="E512" s="24">
        <v>1192.5482177734375</v>
      </c>
      <c r="F512" s="24">
        <v>1773.4534912109375</v>
      </c>
      <c r="G512" s="24">
        <v>23205.349609375</v>
      </c>
    </row>
    <row r="513" spans="1:7" ht="15">
      <c r="A513" s="23">
        <v>45681</v>
      </c>
      <c r="B513" s="24">
        <v>1235.6292724609375</v>
      </c>
      <c r="C513" s="24">
        <v>800.65618896484375</v>
      </c>
      <c r="D513" s="24">
        <v>3959.94921875</v>
      </c>
      <c r="E513" s="24">
        <v>1199.941162109375</v>
      </c>
      <c r="F513" s="24">
        <v>1782.96044921875</v>
      </c>
      <c r="G513" s="24">
        <v>23092.19921875</v>
      </c>
    </row>
    <row r="514" spans="1:7" ht="15">
      <c r="A514" s="23">
        <v>45684</v>
      </c>
      <c r="B514" s="24">
        <v>1218.82421875</v>
      </c>
      <c r="C514" s="24">
        <v>790.9500732421875</v>
      </c>
      <c r="D514" s="24">
        <v>3876.789306640625</v>
      </c>
      <c r="E514" s="24">
        <v>1218.547607421875</v>
      </c>
      <c r="F514" s="24">
        <v>1732.1463623046875</v>
      </c>
      <c r="G514" s="24">
        <v>22829.150390625</v>
      </c>
    </row>
    <row r="515" spans="1:7" ht="15">
      <c r="A515" s="23">
        <v>45685</v>
      </c>
      <c r="B515" s="24">
        <v>1223.8310546875</v>
      </c>
      <c r="C515" s="24">
        <v>810.65338134765625</v>
      </c>
      <c r="D515" s="24">
        <v>3853.0908203125</v>
      </c>
      <c r="E515" s="24">
        <v>1237.3525390625</v>
      </c>
      <c r="F515" s="24">
        <v>1739.51416015625</v>
      </c>
      <c r="G515" s="24">
        <v>22957.25</v>
      </c>
    </row>
    <row r="516" spans="1:7" ht="15">
      <c r="A516" s="23">
        <v>45686</v>
      </c>
      <c r="B516" s="24">
        <v>1224.921630859375</v>
      </c>
      <c r="C516" s="24">
        <v>814.00201416015625</v>
      </c>
      <c r="D516" s="24">
        <v>3909.83349609375</v>
      </c>
      <c r="E516" s="24">
        <v>1242.066162109375</v>
      </c>
      <c r="F516" s="24">
        <v>1788.474365234375</v>
      </c>
      <c r="G516" s="24">
        <v>23163.099609375</v>
      </c>
    </row>
    <row r="517" spans="1:7" ht="15">
      <c r="A517" s="23">
        <v>45687</v>
      </c>
      <c r="B517" s="24">
        <v>1242.3214111328125</v>
      </c>
      <c r="C517" s="24">
        <v>820.89337158203125</v>
      </c>
      <c r="D517" s="24">
        <v>3910.07177734375</v>
      </c>
      <c r="E517" s="24">
        <v>1245.98583984375</v>
      </c>
      <c r="F517" s="24">
        <v>1768.224853515625</v>
      </c>
      <c r="G517" s="24">
        <v>23249.5</v>
      </c>
    </row>
    <row r="518" spans="1:7" ht="15">
      <c r="A518" s="23">
        <v>45688</v>
      </c>
      <c r="B518" s="24">
        <v>1254.2681884765625</v>
      </c>
      <c r="C518" s="24">
        <v>824.41180419921875</v>
      </c>
      <c r="D518" s="24">
        <v>3921.849609375</v>
      </c>
      <c r="E518" s="24">
        <v>1243.2073974609375</v>
      </c>
      <c r="F518" s="24">
        <v>1787.0960693359375</v>
      </c>
      <c r="G518" s="24">
        <v>23508.400390625</v>
      </c>
    </row>
    <row r="519" spans="1:7" ht="15">
      <c r="A519" s="23">
        <v>45689</v>
      </c>
      <c r="B519" s="24">
        <v>1253.7724609375</v>
      </c>
      <c r="C519" s="24">
        <v>820.62640380859375</v>
      </c>
      <c r="D519" s="24">
        <v>3884.41845703125</v>
      </c>
      <c r="E519" s="24">
        <v>1245.936279296875</v>
      </c>
      <c r="F519" s="24">
        <v>1760.0489501953125</v>
      </c>
      <c r="G519" s="24">
        <v>23482.150390625</v>
      </c>
    </row>
    <row r="520" spans="1:7" ht="15">
      <c r="A520" s="23">
        <v>45691</v>
      </c>
      <c r="B520" s="24">
        <v>1235.232666015625</v>
      </c>
      <c r="C520" s="24">
        <v>814.34173583984375</v>
      </c>
      <c r="D520" s="24">
        <v>3880.126953125</v>
      </c>
      <c r="E520" s="24">
        <v>1243.40576171875</v>
      </c>
      <c r="F520" s="24">
        <v>1771.40966796875</v>
      </c>
      <c r="G520" s="24">
        <v>23361.05078125</v>
      </c>
    </row>
    <row r="521" spans="1:7" ht="15">
      <c r="A521" s="23">
        <v>45692</v>
      </c>
      <c r="B521" s="24">
        <v>1274.196044921875</v>
      </c>
      <c r="C521" s="24">
        <v>835.161376953125</v>
      </c>
      <c r="D521" s="24">
        <v>3916.74755859375</v>
      </c>
      <c r="E521" s="24">
        <v>1258.4893798828125</v>
      </c>
      <c r="F521" s="24">
        <v>1805.1590576171875</v>
      </c>
      <c r="G521" s="24">
        <v>23739.25</v>
      </c>
    </row>
    <row r="522" spans="1:7" ht="15">
      <c r="A522" s="23">
        <v>45693</v>
      </c>
      <c r="B522" s="24">
        <v>1267.2559814453125</v>
      </c>
      <c r="C522" s="24">
        <v>843.363037109375</v>
      </c>
      <c r="D522" s="24">
        <v>3901.536865234375</v>
      </c>
      <c r="E522" s="24">
        <v>1257.9931640625</v>
      </c>
      <c r="F522" s="24">
        <v>1803.495361328125</v>
      </c>
      <c r="G522" s="24">
        <v>23696.30078125</v>
      </c>
    </row>
    <row r="523" spans="1:7" ht="15">
      <c r="A523" s="23">
        <v>45694</v>
      </c>
      <c r="B523" s="24">
        <v>1270.577392578125</v>
      </c>
      <c r="C523" s="24">
        <v>846.299072265625</v>
      </c>
      <c r="D523" s="24">
        <v>3893.573974609375</v>
      </c>
      <c r="E523" s="24">
        <v>1262.6572265625</v>
      </c>
      <c r="F523" s="24">
        <v>1821.177978515625</v>
      </c>
      <c r="G523" s="24">
        <v>23603.349609375</v>
      </c>
    </row>
    <row r="524" spans="1:7" ht="15">
      <c r="A524" s="23">
        <v>45695</v>
      </c>
      <c r="B524" s="24">
        <v>1255.8544921875</v>
      </c>
      <c r="C524" s="24">
        <v>840.91217041015625</v>
      </c>
      <c r="D524" s="24">
        <v>3842.695556640625</v>
      </c>
      <c r="E524" s="24">
        <v>1247.2760009765625</v>
      </c>
      <c r="F524" s="24">
        <v>1809.769775390625</v>
      </c>
      <c r="G524" s="24">
        <v>23559.94921875</v>
      </c>
    </row>
    <row r="525" spans="1:7" ht="15">
      <c r="A525" s="23">
        <v>45698</v>
      </c>
      <c r="B525" s="24">
        <v>1242.916259765625</v>
      </c>
      <c r="C525" s="24">
        <v>832.6619873046875</v>
      </c>
      <c r="D525" s="24">
        <v>3849.895751953125</v>
      </c>
      <c r="E525" s="24">
        <v>1252.9322509765625</v>
      </c>
      <c r="F525" s="24">
        <v>1787.5712890625</v>
      </c>
      <c r="G525" s="24">
        <v>23381.599609375</v>
      </c>
    </row>
    <row r="526" spans="1:7" ht="15">
      <c r="A526" s="23">
        <v>45699</v>
      </c>
      <c r="B526" s="24">
        <v>1224.2772216796875</v>
      </c>
      <c r="C526" s="24">
        <v>825.69793701171875</v>
      </c>
      <c r="D526" s="24">
        <v>3779.89697265625</v>
      </c>
      <c r="E526" s="24">
        <v>1243.15771484375</v>
      </c>
      <c r="F526" s="24">
        <v>1783.150634765625</v>
      </c>
      <c r="G526" s="24">
        <v>23071.80078125</v>
      </c>
    </row>
    <row r="527" spans="1:7" ht="15">
      <c r="A527" s="23">
        <v>45700</v>
      </c>
      <c r="B527" s="24">
        <v>1206.1339111328125</v>
      </c>
      <c r="C527" s="24">
        <v>828.31854248046875</v>
      </c>
      <c r="D527" s="24">
        <v>3767.117919921875</v>
      </c>
      <c r="E527" s="24">
        <v>1242.2149658203125</v>
      </c>
      <c r="F527" s="24">
        <v>1771.26708984375</v>
      </c>
      <c r="G527" s="24">
        <v>23045.25</v>
      </c>
    </row>
    <row r="528" spans="1:7" ht="15">
      <c r="A528" s="23">
        <v>45701</v>
      </c>
      <c r="B528" s="24">
        <v>1205.6876220703125</v>
      </c>
      <c r="C528" s="24">
        <v>823.9022216796875</v>
      </c>
      <c r="D528" s="24">
        <v>3728.971435546875</v>
      </c>
      <c r="E528" s="24">
        <v>1239.337158203125</v>
      </c>
      <c r="F528" s="24">
        <v>1752.348388671875</v>
      </c>
      <c r="G528" s="24">
        <v>23031.400390625</v>
      </c>
    </row>
    <row r="529" spans="1:7" ht="15">
      <c r="A529" s="23">
        <v>45702</v>
      </c>
      <c r="B529" s="24">
        <v>1206.827880859375</v>
      </c>
      <c r="C529" s="24">
        <v>822.51910400390625</v>
      </c>
      <c r="D529" s="24">
        <v>3752.526611328125</v>
      </c>
      <c r="E529" s="24">
        <v>1250.451416015625</v>
      </c>
      <c r="F529" s="24">
        <v>1764.849853515625</v>
      </c>
      <c r="G529" s="24">
        <v>22929.25</v>
      </c>
    </row>
    <row r="530" spans="1:7" ht="15">
      <c r="A530" s="23">
        <v>45705</v>
      </c>
      <c r="B530" s="24">
        <v>1214.4124755859375</v>
      </c>
      <c r="C530" s="24">
        <v>833.4384765625</v>
      </c>
      <c r="D530" s="24">
        <v>3723.583251953125</v>
      </c>
      <c r="E530" s="24">
        <v>1241.5699462890625</v>
      </c>
      <c r="F530" s="24">
        <v>1751.4453125</v>
      </c>
      <c r="G530" s="24">
        <v>22959.5</v>
      </c>
    </row>
    <row r="531" spans="1:7" ht="15">
      <c r="A531" s="23">
        <v>45706</v>
      </c>
      <c r="B531" s="24">
        <v>1214.908203125</v>
      </c>
      <c r="C531" s="24">
        <v>836.2047119140625</v>
      </c>
      <c r="D531" s="24">
        <v>3693.733154296875</v>
      </c>
      <c r="E531" s="24">
        <v>1233.531982421875</v>
      </c>
      <c r="F531" s="24">
        <v>1760.619384765625</v>
      </c>
      <c r="G531" s="24">
        <v>22945.30078125</v>
      </c>
    </row>
    <row r="532" spans="1:7" ht="15">
      <c r="A532" s="23">
        <v>45707</v>
      </c>
      <c r="B532" s="24">
        <v>1216.9404296875</v>
      </c>
      <c r="C532" s="24">
        <v>838.21875</v>
      </c>
      <c r="D532" s="24">
        <v>3608.761962890625</v>
      </c>
      <c r="E532" s="24">
        <v>1251.9896240234375</v>
      </c>
      <c r="F532" s="24">
        <v>1721.498779296875</v>
      </c>
      <c r="G532" s="24">
        <v>22932.900390625</v>
      </c>
    </row>
    <row r="533" spans="1:7" ht="15">
      <c r="A533" s="23">
        <v>45708</v>
      </c>
      <c r="B533" s="24">
        <v>1222.4429931640625</v>
      </c>
      <c r="C533" s="24">
        <v>818.75799560546875</v>
      </c>
      <c r="D533" s="24">
        <v>3604.279541015625</v>
      </c>
      <c r="E533" s="24">
        <v>1240.379150390625</v>
      </c>
      <c r="F533" s="24">
        <v>1735.14111328125</v>
      </c>
      <c r="G533" s="24">
        <v>22913.150390625</v>
      </c>
    </row>
    <row r="534" spans="1:7" ht="15">
      <c r="A534" s="23">
        <v>45709</v>
      </c>
      <c r="B534" s="24">
        <v>1217.634521484375</v>
      </c>
      <c r="C534" s="24">
        <v>821.378662109375</v>
      </c>
      <c r="D534" s="24">
        <v>3610.57373046875</v>
      </c>
      <c r="E534" s="24">
        <v>1223.50927734375</v>
      </c>
      <c r="F534" s="24">
        <v>1725.4915771484375</v>
      </c>
      <c r="G534" s="24">
        <v>22795.900390625</v>
      </c>
    </row>
    <row r="535" spans="1:7" ht="15">
      <c r="A535" s="23">
        <v>45712</v>
      </c>
      <c r="B535" s="24">
        <v>1204.151123046875</v>
      </c>
      <c r="C535" s="24">
        <v>813.90496826171875</v>
      </c>
      <c r="D535" s="24">
        <v>3505.289306640625</v>
      </c>
      <c r="E535" s="24">
        <v>1209.0211181640625</v>
      </c>
      <c r="F535" s="24">
        <v>1677.1016845703125</v>
      </c>
      <c r="G535" s="24">
        <v>22553.349609375</v>
      </c>
    </row>
    <row r="536" spans="1:7" ht="15">
      <c r="A536" s="23">
        <v>45713</v>
      </c>
      <c r="B536" s="24">
        <v>1193.69140625</v>
      </c>
      <c r="C536" s="24">
        <v>816.45281982421875</v>
      </c>
      <c r="D536" s="24">
        <v>3461.373046875</v>
      </c>
      <c r="E536" s="24">
        <v>1214.7767333984375</v>
      </c>
      <c r="F536" s="24">
        <v>1680.524169921875</v>
      </c>
      <c r="G536" s="24">
        <v>22547.55078125</v>
      </c>
    </row>
    <row r="537" spans="1:7" ht="15">
      <c r="A537" s="23">
        <v>45715</v>
      </c>
      <c r="B537" s="24">
        <v>1196.7647705078125</v>
      </c>
      <c r="C537" s="24">
        <v>825.358154296875</v>
      </c>
      <c r="D537" s="24">
        <v>3445.160400390625</v>
      </c>
      <c r="E537" s="24">
        <v>1213.0897216796875</v>
      </c>
      <c r="F537" s="24">
        <v>1677.2919921875</v>
      </c>
      <c r="G537" s="24">
        <v>22545.05078125</v>
      </c>
    </row>
    <row r="538" spans="1:7" ht="15">
      <c r="A538" s="23">
        <v>45716</v>
      </c>
      <c r="B538" s="24">
        <v>1189.82470703125</v>
      </c>
      <c r="C538" s="24">
        <v>840.74237060546875</v>
      </c>
      <c r="D538" s="24">
        <v>3321.851806640625</v>
      </c>
      <c r="E538" s="24">
        <v>1194.8802490234375</v>
      </c>
      <c r="F538" s="24">
        <v>1604.469482421875</v>
      </c>
      <c r="G538" s="24">
        <v>22124.69921875</v>
      </c>
    </row>
    <row r="539" spans="1:7" ht="15">
      <c r="A539" s="23">
        <v>45719</v>
      </c>
      <c r="B539" s="24">
        <v>1161.2216796875</v>
      </c>
      <c r="C539" s="24">
        <v>825.770751953125</v>
      </c>
      <c r="D539" s="24">
        <v>3331.197998046875</v>
      </c>
      <c r="E539" s="24">
        <v>1196.964111328125</v>
      </c>
      <c r="F539" s="24">
        <v>1624.3387451171875</v>
      </c>
      <c r="G539" s="24">
        <v>22119.30078125</v>
      </c>
    </row>
    <row r="540" spans="1:7" ht="15">
      <c r="A540" s="23">
        <v>45720</v>
      </c>
      <c r="B540" s="24">
        <v>1151.9517822265625</v>
      </c>
      <c r="C540" s="24">
        <v>829.87152099609375</v>
      </c>
      <c r="D540" s="24">
        <v>3368.390869140625</v>
      </c>
      <c r="E540" s="24">
        <v>1201.1319580078125</v>
      </c>
      <c r="F540" s="24">
        <v>1605.0400390625</v>
      </c>
      <c r="G540" s="24">
        <v>22082.650390625</v>
      </c>
    </row>
    <row r="541" spans="1:7" ht="15">
      <c r="A541" s="23">
        <v>45721</v>
      </c>
      <c r="B541" s="24">
        <v>1165.534423828125</v>
      </c>
      <c r="C541" s="24">
        <v>820.1654052734375</v>
      </c>
      <c r="D541" s="24">
        <v>3382.695556640625</v>
      </c>
      <c r="E541" s="24">
        <v>1206.391357421875</v>
      </c>
      <c r="F541" s="24">
        <v>1627.0958251953125</v>
      </c>
      <c r="G541" s="24">
        <v>22337.30078125</v>
      </c>
    </row>
    <row r="542" spans="1:7" ht="15">
      <c r="A542" s="23">
        <v>45722</v>
      </c>
      <c r="B542" s="24">
        <v>1199.2432861328125</v>
      </c>
      <c r="C542" s="24">
        <v>820.74774169921875</v>
      </c>
      <c r="D542" s="24">
        <v>3434.7177734375</v>
      </c>
      <c r="E542" s="24">
        <v>1208.7235107421875</v>
      </c>
      <c r="F542" s="24">
        <v>1631.2313232421875</v>
      </c>
      <c r="G542" s="24">
        <v>22544.69921875</v>
      </c>
    </row>
    <row r="543" spans="1:7" ht="15">
      <c r="A543" s="23">
        <v>45723</v>
      </c>
      <c r="B543" s="24">
        <v>1239.0992431640625</v>
      </c>
      <c r="C543" s="24">
        <v>819.8013916015625</v>
      </c>
      <c r="D543" s="24">
        <v>3443.873291015625</v>
      </c>
      <c r="E543" s="24">
        <v>1205.250244140625</v>
      </c>
      <c r="F543" s="24">
        <v>1602.8533935546875</v>
      </c>
      <c r="G543" s="24">
        <v>22552.5</v>
      </c>
    </row>
    <row r="544" spans="1:7" ht="15">
      <c r="A544" s="23">
        <v>45726</v>
      </c>
      <c r="B544" s="24">
        <v>1227.796875</v>
      </c>
      <c r="C544" s="24">
        <v>818.9521484375</v>
      </c>
      <c r="D544" s="24">
        <v>3423.321533203125</v>
      </c>
      <c r="E544" s="24">
        <v>1205.5478515625</v>
      </c>
      <c r="F544" s="24">
        <v>1617.54150390625</v>
      </c>
      <c r="G544" s="24">
        <v>22460.30078125</v>
      </c>
    </row>
    <row r="545" spans="1:7" ht="15">
      <c r="A545" s="23">
        <v>45727</v>
      </c>
      <c r="B545" s="24">
        <v>1236.62060546875</v>
      </c>
      <c r="C545" s="24">
        <v>817.9815673828125</v>
      </c>
      <c r="D545" s="24">
        <v>3409.63671875</v>
      </c>
      <c r="E545" s="24">
        <v>1235.864013671875</v>
      </c>
      <c r="F545" s="24">
        <v>1579.6566162109375</v>
      </c>
      <c r="G545" s="24">
        <v>22497.900390625</v>
      </c>
    </row>
    <row r="546" spans="1:7" ht="15">
      <c r="A546" s="23">
        <v>45728</v>
      </c>
      <c r="B546" s="24">
        <v>1246.2872314453125</v>
      </c>
      <c r="C546" s="24">
        <v>830.42962646484375</v>
      </c>
      <c r="D546" s="24">
        <v>3343.738525390625</v>
      </c>
      <c r="E546" s="24">
        <v>1234.425048828125</v>
      </c>
      <c r="F546" s="24">
        <v>1512.395751953125</v>
      </c>
      <c r="G546" s="24">
        <v>22470.5</v>
      </c>
    </row>
    <row r="547" spans="1:7" ht="15">
      <c r="A547" s="23">
        <v>45729</v>
      </c>
      <c r="B547" s="24">
        <v>1237.2154541015625</v>
      </c>
      <c r="C547" s="24">
        <v>828.221435546875</v>
      </c>
      <c r="D547" s="24">
        <v>3348.36376953125</v>
      </c>
      <c r="E547" s="24">
        <v>1240.4783935546875</v>
      </c>
      <c r="F547" s="24">
        <v>1501.938232421875</v>
      </c>
      <c r="G547" s="24">
        <v>22397.19921875</v>
      </c>
    </row>
    <row r="548" spans="1:7" ht="15">
      <c r="A548" s="23">
        <v>45733</v>
      </c>
      <c r="B548" s="24">
        <v>1228.242919921875</v>
      </c>
      <c r="C548" s="24">
        <v>830.065673828125</v>
      </c>
      <c r="D548" s="24">
        <v>3335.63232421875</v>
      </c>
      <c r="E548" s="24">
        <v>1259.2833251953125</v>
      </c>
      <c r="F548" s="24">
        <v>1511.6353759765625</v>
      </c>
      <c r="G548" s="24">
        <v>22508.75</v>
      </c>
    </row>
    <row r="549" spans="1:7" ht="15">
      <c r="A549" s="23">
        <v>45734</v>
      </c>
      <c r="B549" s="24">
        <v>1228.242919921875</v>
      </c>
      <c r="C549" s="24">
        <v>830.065673828125</v>
      </c>
      <c r="D549" s="24">
        <v>3335.63232421875</v>
      </c>
      <c r="E549" s="24">
        <v>1259.2833251953125</v>
      </c>
      <c r="F549" s="24">
        <v>1511.6353759765625</v>
      </c>
      <c r="G549" s="24">
        <v>22834.30078125</v>
      </c>
    </row>
    <row r="550" spans="1:7" ht="15">
      <c r="A550" s="23">
        <v>45735</v>
      </c>
      <c r="B550" s="24">
        <v>1236.471923828125</v>
      </c>
      <c r="C550" s="24">
        <v>846.42041015625</v>
      </c>
      <c r="D550" s="24">
        <v>3335.06005859375</v>
      </c>
      <c r="E550" s="24">
        <v>1303.0455322265625</v>
      </c>
      <c r="F550" s="24">
        <v>1508.307861328125</v>
      </c>
      <c r="G550" s="24">
        <v>22907.599609375</v>
      </c>
    </row>
    <row r="551" spans="1:7" ht="15">
      <c r="A551" s="23">
        <v>45736</v>
      </c>
      <c r="B551" s="24">
        <v>1258.283447265625</v>
      </c>
      <c r="C551" s="24">
        <v>858.38311767578125</v>
      </c>
      <c r="D551" s="24">
        <v>3398.04931640625</v>
      </c>
      <c r="E551" s="24">
        <v>1311.5797119140625</v>
      </c>
      <c r="F551" s="24">
        <v>1535.877685546875</v>
      </c>
      <c r="G551" s="24">
        <v>23190.650390625</v>
      </c>
    </row>
    <row r="552" spans="1:7" ht="15">
      <c r="A552" s="23">
        <v>45737</v>
      </c>
      <c r="B552" s="24">
        <v>1265.421875</v>
      </c>
      <c r="C552" s="24">
        <v>859.15966796875</v>
      </c>
      <c r="D552" s="24">
        <v>3412.30712890625</v>
      </c>
      <c r="E552" s="24">
        <v>1332.81591796875</v>
      </c>
      <c r="F552" s="24">
        <v>1514.011962890625</v>
      </c>
      <c r="G552" s="24">
        <v>23350.400390625</v>
      </c>
    </row>
    <row r="553" spans="1:7" ht="15">
      <c r="A553" s="23">
        <v>45740</v>
      </c>
      <c r="B553" s="24">
        <v>1290.951416015625</v>
      </c>
      <c r="C553" s="24">
        <v>873.5489501953125</v>
      </c>
      <c r="D553" s="24">
        <v>3460.800537109375</v>
      </c>
      <c r="E553" s="24">
        <v>1347.750732421875</v>
      </c>
      <c r="F553" s="24">
        <v>1514.2021484375</v>
      </c>
      <c r="G553" s="24">
        <v>23658.349609375</v>
      </c>
    </row>
    <row r="554" spans="1:7" ht="15">
      <c r="A554" s="23">
        <v>45741</v>
      </c>
      <c r="B554" s="24">
        <v>1274.4439697265625</v>
      </c>
      <c r="C554" s="24">
        <v>883.958740234375</v>
      </c>
      <c r="D554" s="24">
        <v>3488.26611328125</v>
      </c>
      <c r="E554" s="24">
        <v>1333.4112548828125</v>
      </c>
      <c r="F554" s="24">
        <v>1548.141357421875</v>
      </c>
      <c r="G554" s="24">
        <v>23668.650390625</v>
      </c>
    </row>
    <row r="555" spans="1:7" ht="15">
      <c r="A555" s="23">
        <v>45742</v>
      </c>
      <c r="B555" s="24">
        <v>1262.150146484375</v>
      </c>
      <c r="C555" s="24">
        <v>876.72772216796875</v>
      </c>
      <c r="D555" s="24">
        <v>3467.333251953125</v>
      </c>
      <c r="E555" s="24">
        <v>1325.6710205078125</v>
      </c>
      <c r="F555" s="24">
        <v>1520.571533203125</v>
      </c>
      <c r="G555" s="24">
        <v>23486.849609375</v>
      </c>
    </row>
    <row r="556" spans="1:7" ht="15">
      <c r="A556" s="23">
        <v>45743</v>
      </c>
      <c r="B556" s="24">
        <v>1267.2559814453125</v>
      </c>
      <c r="C556" s="24">
        <v>885.8514404296875</v>
      </c>
      <c r="D556" s="24">
        <v>3482.019775390625</v>
      </c>
      <c r="E556" s="24">
        <v>1326.415283203125</v>
      </c>
      <c r="F556" s="24">
        <v>1524.469482421875</v>
      </c>
      <c r="G556" s="24">
        <v>23591.94921875</v>
      </c>
    </row>
    <row r="557" spans="1:7" ht="15">
      <c r="A557" s="23">
        <v>45744</v>
      </c>
      <c r="B557" s="24">
        <v>1264.1824951171875</v>
      </c>
      <c r="C557" s="24">
        <v>887.2344970703125</v>
      </c>
      <c r="D557" s="24">
        <v>3439.056884765625</v>
      </c>
      <c r="E557" s="24">
        <v>1338.025634765625</v>
      </c>
      <c r="F557" s="24">
        <v>1493.1920166015625</v>
      </c>
      <c r="G557" s="24">
        <v>23519.349609375</v>
      </c>
    </row>
    <row r="558" spans="1:7" ht="15">
      <c r="A558" s="23">
        <v>45748</v>
      </c>
      <c r="B558" s="24">
        <v>1241.8751220703125</v>
      </c>
      <c r="C558" s="24">
        <v>857.9464111328125</v>
      </c>
      <c r="D558" s="24">
        <v>3386.27197265625</v>
      </c>
      <c r="E558" s="24">
        <v>1308.3546142578125</v>
      </c>
      <c r="F558" s="24">
        <v>1451.21923828125</v>
      </c>
      <c r="G558" s="24">
        <v>23165.69921875</v>
      </c>
    </row>
    <row r="559" spans="1:7" ht="15">
      <c r="A559" s="23">
        <v>45749</v>
      </c>
      <c r="B559" s="24">
        <v>1240.4376220703125</v>
      </c>
      <c r="C559" s="24">
        <v>872.04449462890625</v>
      </c>
      <c r="D559" s="24">
        <v>3379.739501953125</v>
      </c>
      <c r="E559" s="24">
        <v>1321.056640625</v>
      </c>
      <c r="F559" s="24">
        <v>1473.7030029296875</v>
      </c>
      <c r="G559" s="24">
        <v>23332.349609375</v>
      </c>
    </row>
    <row r="560" spans="1:7" ht="15">
      <c r="A560" s="23">
        <v>45750</v>
      </c>
      <c r="B560" s="24">
        <v>1238.008544921875</v>
      </c>
      <c r="C560" s="24">
        <v>871.04962158203125</v>
      </c>
      <c r="D560" s="24">
        <v>3245.462890625</v>
      </c>
      <c r="E560" s="24">
        <v>1319.3697509765625</v>
      </c>
      <c r="F560" s="24">
        <v>1422.69873046875</v>
      </c>
      <c r="G560" s="24">
        <v>23250.099609375</v>
      </c>
    </row>
    <row r="561" spans="1:7" ht="15">
      <c r="A561" s="23">
        <v>45751</v>
      </c>
      <c r="B561" s="24">
        <v>1194.38525390625</v>
      </c>
      <c r="C561" s="24">
        <v>881.94482421875</v>
      </c>
      <c r="D561" s="24">
        <v>3146.520751953125</v>
      </c>
      <c r="E561" s="24">
        <v>1325.07568359375</v>
      </c>
      <c r="F561" s="24">
        <v>1380.0606689453125</v>
      </c>
      <c r="G561" s="24">
        <v>22904.44921875</v>
      </c>
    </row>
    <row r="562" spans="1:7" ht="15">
      <c r="A562" s="23">
        <v>45754</v>
      </c>
      <c r="B562" s="24">
        <v>1155.71923828125</v>
      </c>
      <c r="C562" s="24">
        <v>853.0205078125</v>
      </c>
      <c r="D562" s="24">
        <v>3122.345458984375</v>
      </c>
      <c r="E562" s="24">
        <v>1277.6912841796875</v>
      </c>
      <c r="F562" s="24">
        <v>1327.8680419921875</v>
      </c>
      <c r="G562" s="24">
        <v>22161.599609375</v>
      </c>
    </row>
    <row r="563" spans="1:7" ht="15">
      <c r="A563" s="23">
        <v>45755</v>
      </c>
      <c r="B563" s="24">
        <v>1172.0780029296875</v>
      </c>
      <c r="C563" s="24">
        <v>858.57733154296875</v>
      </c>
      <c r="D563" s="24">
        <v>3140.369384765625</v>
      </c>
      <c r="E563" s="24">
        <v>1289.9466552734375</v>
      </c>
      <c r="F563" s="24">
        <v>1358.3375244140625</v>
      </c>
      <c r="G563" s="24">
        <v>22535.849609375</v>
      </c>
    </row>
    <row r="564" spans="1:7" ht="15">
      <c r="A564" s="23">
        <v>45756</v>
      </c>
      <c r="B564" s="24">
        <v>1175.2010498046875</v>
      </c>
      <c r="C564" s="24">
        <v>856.56329345703125</v>
      </c>
      <c r="D564" s="24">
        <v>3096.167236328125</v>
      </c>
      <c r="E564" s="24">
        <v>1290.83984375</v>
      </c>
      <c r="F564" s="24">
        <v>1334.4752197265625</v>
      </c>
      <c r="G564" s="24">
        <v>22399.150390625</v>
      </c>
    </row>
    <row r="565" spans="1:7" ht="15">
      <c r="A565" s="23">
        <v>45758</v>
      </c>
      <c r="B565" s="24">
        <v>1208.5133056640625</v>
      </c>
      <c r="C565" s="24">
        <v>876.82476806640625</v>
      </c>
      <c r="D565" s="24">
        <v>3081.766845703125</v>
      </c>
      <c r="E565" s="24">
        <v>1301.606689453125</v>
      </c>
      <c r="F565" s="24">
        <v>1339.941650390625</v>
      </c>
      <c r="G565" s="24">
        <v>22828.55078125</v>
      </c>
    </row>
    <row r="566" spans="1:7" ht="15">
      <c r="A566" s="23">
        <v>45762</v>
      </c>
      <c r="B566" s="24">
        <v>1229.4822998046875</v>
      </c>
      <c r="C566" s="24">
        <v>905.0452880859375</v>
      </c>
      <c r="D566" s="24">
        <v>3097.693115234375</v>
      </c>
      <c r="E566" s="24">
        <v>1339.8614501953125</v>
      </c>
      <c r="F566" s="24">
        <v>1355.675537109375</v>
      </c>
      <c r="G566" s="24">
        <v>23328.55078125</v>
      </c>
    </row>
    <row r="567" spans="1:7" ht="15">
      <c r="A567" s="23">
        <v>45763</v>
      </c>
      <c r="B567" s="24">
        <v>1228.689208984375</v>
      </c>
      <c r="C567" s="24">
        <v>911.40277099609375</v>
      </c>
      <c r="D567" s="24">
        <v>3122.106689453125</v>
      </c>
      <c r="E567" s="24">
        <v>1346.0140380859375</v>
      </c>
      <c r="F567" s="24">
        <v>1343.41162109375</v>
      </c>
      <c r="G567" s="24">
        <v>23437.19921875</v>
      </c>
    </row>
    <row r="568" spans="1:7" ht="15">
      <c r="A568" s="23">
        <v>45764</v>
      </c>
      <c r="B568" s="24">
        <v>1263.5877685546875</v>
      </c>
      <c r="C568" s="24">
        <v>925.33099365234375</v>
      </c>
      <c r="D568" s="24">
        <v>3146.043701171875</v>
      </c>
      <c r="E568" s="24">
        <v>1395.9288330078125</v>
      </c>
      <c r="F568" s="24">
        <v>1349.49609375</v>
      </c>
      <c r="G568" s="24">
        <v>23851.650390625</v>
      </c>
    </row>
    <row r="569" spans="1:7" ht="15">
      <c r="A569" s="23">
        <v>45768</v>
      </c>
      <c r="B569" s="24">
        <v>1284.407958984375</v>
      </c>
      <c r="C569" s="24">
        <v>935.231201171875</v>
      </c>
      <c r="D569" s="24">
        <v>3167.69189453125</v>
      </c>
      <c r="E569" s="24">
        <v>1399.0052490234375</v>
      </c>
      <c r="F569" s="24">
        <v>1379.442626953125</v>
      </c>
      <c r="G569" s="24">
        <v>24125.55078125</v>
      </c>
    </row>
    <row r="570" spans="1:7" ht="15">
      <c r="A570" s="23">
        <v>45769</v>
      </c>
      <c r="B570" s="24">
        <v>1280.1446533203125</v>
      </c>
      <c r="C570" s="24">
        <v>952.02276611328125</v>
      </c>
      <c r="D570" s="24">
        <v>3160.82568359375</v>
      </c>
      <c r="E570" s="24">
        <v>1405.6539306640625</v>
      </c>
      <c r="F570" s="24">
        <v>1352.6334228515625</v>
      </c>
      <c r="G570" s="24">
        <v>24167.25</v>
      </c>
    </row>
    <row r="571" spans="1:7" ht="15">
      <c r="A571" s="23">
        <v>45770</v>
      </c>
      <c r="B571" s="24">
        <v>1288.869384765625</v>
      </c>
      <c r="C571" s="24">
        <v>933.67822265625</v>
      </c>
      <c r="D571" s="24">
        <v>3254.856689453125</v>
      </c>
      <c r="E571" s="24">
        <v>1413.493408203125</v>
      </c>
      <c r="F571" s="24">
        <v>1402.1640625</v>
      </c>
      <c r="G571" s="24">
        <v>24328.94921875</v>
      </c>
    </row>
    <row r="572" spans="1:7" ht="15">
      <c r="A572" s="23">
        <v>45771</v>
      </c>
      <c r="B572" s="24">
        <v>1290.4556884765625</v>
      </c>
      <c r="C572" s="24">
        <v>930.23260498046875</v>
      </c>
      <c r="D572" s="24">
        <v>3243.9853515625</v>
      </c>
      <c r="E572" s="24">
        <v>1391.95947265625</v>
      </c>
      <c r="F572" s="24">
        <v>1398.8365478515625</v>
      </c>
      <c r="G572" s="24">
        <v>24246.69921875</v>
      </c>
    </row>
    <row r="573" spans="1:7" ht="15">
      <c r="A573" s="23">
        <v>45772</v>
      </c>
      <c r="B573" s="24">
        <v>1289.2659912109375</v>
      </c>
      <c r="C573" s="24">
        <v>927.51483154296875</v>
      </c>
      <c r="D573" s="24">
        <v>3288.235107421875</v>
      </c>
      <c r="E573" s="24">
        <v>1394.04345703125</v>
      </c>
      <c r="F573" s="24">
        <v>1407.2025146484375</v>
      </c>
      <c r="G573" s="24">
        <v>24039.349609375</v>
      </c>
    </row>
    <row r="574" spans="1:7" ht="15">
      <c r="A574" s="23">
        <v>45775</v>
      </c>
      <c r="B574" s="24">
        <v>1357.080322265625</v>
      </c>
      <c r="C574" s="24">
        <v>931.882568359375</v>
      </c>
      <c r="D574" s="24">
        <v>3283.94384765625</v>
      </c>
      <c r="E574" s="24">
        <v>1417.8597412109375</v>
      </c>
      <c r="F574" s="24">
        <v>1409.0087890625</v>
      </c>
      <c r="G574" s="24">
        <v>24328.5</v>
      </c>
    </row>
    <row r="575" spans="1:7" ht="15">
      <c r="A575" s="23">
        <v>45776</v>
      </c>
      <c r="B575" s="24">
        <v>1387.7156982421875</v>
      </c>
      <c r="C575" s="24">
        <v>926.35015869140625</v>
      </c>
      <c r="D575" s="24">
        <v>3311.60009765625</v>
      </c>
      <c r="E575" s="24">
        <v>1418.85205078125</v>
      </c>
      <c r="F575" s="24">
        <v>1423.6494140625</v>
      </c>
      <c r="G575" s="24">
        <v>24335.94921875</v>
      </c>
    </row>
    <row r="576" spans="1:7" ht="15">
      <c r="A576" s="23">
        <v>45777</v>
      </c>
      <c r="B576" s="24">
        <v>1392.9703369140625</v>
      </c>
      <c r="C576" s="24">
        <v>934.2120361328125</v>
      </c>
      <c r="D576" s="24">
        <v>3293.671142578125</v>
      </c>
      <c r="E576" s="24">
        <v>1416.073486328125</v>
      </c>
      <c r="F576" s="24">
        <v>1426.1212158203125</v>
      </c>
      <c r="G576" s="24">
        <v>24334.19921875</v>
      </c>
    </row>
    <row r="577" spans="1:7" ht="15">
      <c r="A577" s="23">
        <v>45779</v>
      </c>
      <c r="B577" s="24">
        <v>1407.6436767578125</v>
      </c>
      <c r="C577" s="24">
        <v>932.70770263671875</v>
      </c>
      <c r="D577" s="24">
        <v>3272.02294921875</v>
      </c>
      <c r="E577" s="24">
        <v>1419.149658203125</v>
      </c>
      <c r="F577" s="24">
        <v>1432.5859375</v>
      </c>
      <c r="G577" s="24">
        <v>24346.69921875</v>
      </c>
    </row>
    <row r="578" spans="1:7" ht="15">
      <c r="A578" s="23">
        <v>45782</v>
      </c>
      <c r="B578" s="24">
        <v>1419.0452880859375</v>
      </c>
      <c r="C578" s="24">
        <v>939.93865966796875</v>
      </c>
      <c r="D578" s="24">
        <v>3294.243408203125</v>
      </c>
      <c r="E578" s="24">
        <v>1418.455078125</v>
      </c>
      <c r="F578" s="24">
        <v>1434.201904296875</v>
      </c>
      <c r="G578" s="24">
        <v>24461.150390625</v>
      </c>
    </row>
    <row r="579" spans="1:7" ht="15">
      <c r="A579" s="23">
        <v>45783</v>
      </c>
      <c r="B579" s="24">
        <v>1408.7342529296875</v>
      </c>
      <c r="C579" s="24">
        <v>937.46356201171875</v>
      </c>
      <c r="D579" s="24">
        <v>3299.67919921875</v>
      </c>
      <c r="E579" s="24">
        <v>1420.63818359375</v>
      </c>
      <c r="F579" s="24">
        <v>1436.958984375</v>
      </c>
      <c r="G579" s="24">
        <v>24379.599609375</v>
      </c>
    </row>
    <row r="580" spans="1:7" ht="15">
      <c r="A580" s="23">
        <v>45784</v>
      </c>
      <c r="B580" s="24">
        <v>1393.9617919921875</v>
      </c>
      <c r="C580" s="24">
        <v>944.2093505859375</v>
      </c>
      <c r="D580" s="24">
        <v>3285.469482421875</v>
      </c>
      <c r="E580" s="24">
        <v>1424.4091796875</v>
      </c>
      <c r="F580" s="24">
        <v>1433.9168701171875</v>
      </c>
      <c r="G580" s="24">
        <v>24414.400390625</v>
      </c>
    </row>
    <row r="581" spans="1:7" ht="15">
      <c r="A581" s="23">
        <v>45785</v>
      </c>
      <c r="B581" s="24">
        <v>1394.9532470703125</v>
      </c>
      <c r="C581" s="24">
        <v>935.91064453125</v>
      </c>
      <c r="D581" s="24">
        <v>3289.09326171875</v>
      </c>
      <c r="E581" s="24">
        <v>1424.5084228515625</v>
      </c>
      <c r="F581" s="24">
        <v>1436.8638916015625</v>
      </c>
      <c r="G581" s="24">
        <v>24273.80078125</v>
      </c>
    </row>
    <row r="582" spans="1:7" ht="15">
      <c r="A582" s="23">
        <v>45786</v>
      </c>
      <c r="B582" s="24">
        <v>1365.408447265625</v>
      </c>
      <c r="C582" s="24">
        <v>917.08074951171875</v>
      </c>
      <c r="D582" s="24">
        <v>3280.892333984375</v>
      </c>
      <c r="E582" s="24">
        <v>1378.2652587890625</v>
      </c>
      <c r="F582" s="24">
        <v>1433.2513427734375</v>
      </c>
      <c r="G582" s="24">
        <v>24008</v>
      </c>
    </row>
    <row r="583" spans="1:7" ht="15">
      <c r="A583" s="23">
        <v>45789</v>
      </c>
      <c r="B583" s="24">
        <v>1424.20068359375</v>
      </c>
      <c r="C583" s="24">
        <v>949.83892822265625</v>
      </c>
      <c r="D583" s="24">
        <v>3452.64697265625</v>
      </c>
      <c r="E583" s="24">
        <v>1437.4088134765625</v>
      </c>
      <c r="F583" s="24">
        <v>1546.66796875</v>
      </c>
      <c r="G583" s="24">
        <v>24924.69921875</v>
      </c>
    </row>
    <row r="584" spans="1:7" ht="15">
      <c r="A584" s="23">
        <v>45790</v>
      </c>
      <c r="B584" s="24">
        <v>1403.5787353515625</v>
      </c>
      <c r="C584" s="24">
        <v>933.04730224609375</v>
      </c>
      <c r="D584" s="24">
        <v>3352.130859375</v>
      </c>
      <c r="E584" s="24">
        <v>1419.6458740234375</v>
      </c>
      <c r="F584" s="24">
        <v>1491.2430419921875</v>
      </c>
      <c r="G584" s="24">
        <v>24578.349609375</v>
      </c>
    </row>
    <row r="585" spans="1:7" ht="15">
      <c r="A585" s="23">
        <v>45791</v>
      </c>
      <c r="B585" s="24">
        <v>1412.2042236328125</v>
      </c>
      <c r="C585" s="24">
        <v>927.22369384765625</v>
      </c>
      <c r="D585" s="24">
        <v>3384.269287109375</v>
      </c>
      <c r="E585" s="24">
        <v>1415.279541015625</v>
      </c>
      <c r="F585" s="24">
        <v>1513.869384765625</v>
      </c>
      <c r="G585" s="24">
        <v>24666.900390625</v>
      </c>
    </row>
    <row r="586" spans="1:7" ht="15">
      <c r="A586" s="23">
        <v>45792</v>
      </c>
      <c r="B586" s="24">
        <v>1441.7491455078125</v>
      </c>
      <c r="C586" s="24">
        <v>938.4827880859375</v>
      </c>
      <c r="D586" s="24">
        <v>3414.0234375</v>
      </c>
      <c r="E586" s="24">
        <v>1439.6912841796875</v>
      </c>
      <c r="F586" s="24">
        <v>1533.4534912109375</v>
      </c>
      <c r="G586" s="24">
        <v>25062.099609375</v>
      </c>
    </row>
    <row r="587" spans="1:7" ht="15">
      <c r="A587" s="23">
        <v>45793</v>
      </c>
      <c r="B587" s="24">
        <v>1443.9302978515625</v>
      </c>
      <c r="C587" s="24">
        <v>938.9195556640625</v>
      </c>
      <c r="D587" s="24">
        <v>3396.285400390625</v>
      </c>
      <c r="E587" s="24">
        <v>1442.86669921875</v>
      </c>
      <c r="F587" s="24">
        <v>1511.49267578125</v>
      </c>
      <c r="G587" s="24">
        <v>25019.80078125</v>
      </c>
    </row>
    <row r="588" spans="1:7" ht="15">
      <c r="A588" s="23">
        <v>45796</v>
      </c>
      <c r="B588" s="24">
        <v>1428.4638671875</v>
      </c>
      <c r="C588" s="24">
        <v>940.8607177734375</v>
      </c>
      <c r="D588" s="24">
        <v>3355.754638671875</v>
      </c>
      <c r="E588" s="24">
        <v>1437.905029296875</v>
      </c>
      <c r="F588" s="24">
        <v>1482.877197265625</v>
      </c>
      <c r="G588" s="24">
        <v>24945.44921875</v>
      </c>
    </row>
    <row r="589" spans="1:7" ht="15">
      <c r="A589" s="23">
        <v>45797</v>
      </c>
      <c r="B589" s="24">
        <v>1412.402587890625</v>
      </c>
      <c r="C589" s="24">
        <v>929.31048583984375</v>
      </c>
      <c r="D589" s="24">
        <v>3336.204345703125</v>
      </c>
      <c r="E589" s="24">
        <v>1427.1876220703125</v>
      </c>
      <c r="F589" s="24">
        <v>1483.6375732421875</v>
      </c>
      <c r="G589" s="24">
        <v>24683.900390625</v>
      </c>
    </row>
    <row r="590" spans="1:7" ht="15">
      <c r="A590" s="23">
        <v>45798</v>
      </c>
      <c r="B590" s="24">
        <v>1416.963134765625</v>
      </c>
      <c r="C590" s="24">
        <v>935.08563232421875</v>
      </c>
      <c r="D590" s="24">
        <v>3362.43017578125</v>
      </c>
      <c r="E590" s="24">
        <v>1433.637939453125</v>
      </c>
      <c r="F590" s="24">
        <v>1491.14794921875</v>
      </c>
      <c r="G590" s="24">
        <v>24813.44921875</v>
      </c>
    </row>
    <row r="591" spans="1:7" ht="15">
      <c r="A591" s="23">
        <v>45799</v>
      </c>
      <c r="B591" s="24">
        <v>1397.332763671875</v>
      </c>
      <c r="C591" s="24">
        <v>931.737060546875</v>
      </c>
      <c r="D591" s="24">
        <v>3315.891357421875</v>
      </c>
      <c r="E591" s="24">
        <v>1431.057861328125</v>
      </c>
      <c r="F591" s="24">
        <v>1471.18359375</v>
      </c>
      <c r="G591" s="24">
        <v>24609.69921875</v>
      </c>
    </row>
    <row r="592" spans="1:7" ht="15">
      <c r="A592" s="23">
        <v>45800</v>
      </c>
      <c r="B592" s="24">
        <v>1414.5838623046875</v>
      </c>
      <c r="C592" s="24">
        <v>938.38568115234375</v>
      </c>
      <c r="D592" s="24">
        <v>3351.749267578125</v>
      </c>
      <c r="E592" s="24">
        <v>1438.698974609375</v>
      </c>
      <c r="F592" s="24">
        <v>1487.6304931640625</v>
      </c>
      <c r="G592" s="24">
        <v>24853.150390625</v>
      </c>
    </row>
    <row r="593" spans="1:7" ht="15">
      <c r="A593" s="23">
        <v>45803</v>
      </c>
      <c r="B593" s="24">
        <v>1422.5152587890625</v>
      </c>
      <c r="C593" s="24">
        <v>941.588623046875</v>
      </c>
      <c r="D593" s="24">
        <v>3373.397216796875</v>
      </c>
      <c r="E593" s="24">
        <v>1449.4161376953125</v>
      </c>
      <c r="F593" s="24">
        <v>1502.55615234375</v>
      </c>
      <c r="G593" s="24">
        <v>25001.150390625</v>
      </c>
    </row>
    <row r="594" spans="1:7" ht="15">
      <c r="A594" s="23">
        <v>45804</v>
      </c>
      <c r="B594" s="24">
        <v>1409.9239501953125</v>
      </c>
      <c r="C594" s="24">
        <v>934.84295654296875</v>
      </c>
      <c r="D594" s="24">
        <v>3336.5859375</v>
      </c>
      <c r="E594" s="24">
        <v>1435.324951171875</v>
      </c>
      <c r="F594" s="24">
        <v>1492.6690673828125</v>
      </c>
      <c r="G594" s="24">
        <v>24826.19921875</v>
      </c>
    </row>
    <row r="595" spans="1:7" ht="15">
      <c r="A595" s="23">
        <v>45805</v>
      </c>
      <c r="B595" s="24">
        <v>1400.802734375</v>
      </c>
      <c r="C595" s="24">
        <v>933.48406982421875</v>
      </c>
      <c r="D595" s="24">
        <v>3335.63232421875</v>
      </c>
      <c r="E595" s="24">
        <v>1442.6683349609375</v>
      </c>
      <c r="F595" s="24">
        <v>1494.2852783203125</v>
      </c>
      <c r="G595" s="24">
        <v>24752.44921875</v>
      </c>
    </row>
    <row r="596" spans="1:7" ht="15">
      <c r="A596" s="23">
        <v>45806</v>
      </c>
      <c r="B596" s="24">
        <v>1405.660888671875</v>
      </c>
      <c r="C596" s="24">
        <v>935.42529296875</v>
      </c>
      <c r="D596" s="24">
        <v>3336.013916015625</v>
      </c>
      <c r="E596" s="24">
        <v>1445.3475341796875</v>
      </c>
      <c r="F596" s="24">
        <v>1507.4046630859375</v>
      </c>
      <c r="G596" s="24">
        <v>24833.599609375</v>
      </c>
    </row>
    <row r="597" spans="1:7" ht="15">
      <c r="A597" s="23">
        <v>45807</v>
      </c>
      <c r="B597" s="24">
        <v>1408.7342529296875</v>
      </c>
      <c r="C597" s="24">
        <v>943.86962890625</v>
      </c>
      <c r="D597" s="24">
        <v>3302.921630859375</v>
      </c>
      <c r="E597" s="24">
        <v>1434.7296142578125</v>
      </c>
      <c r="F597" s="24">
        <v>1506.5369873046875</v>
      </c>
      <c r="G597" s="24">
        <v>24750.69921875</v>
      </c>
    </row>
    <row r="598" spans="1:7" ht="15">
      <c r="A598" s="23">
        <v>45810</v>
      </c>
      <c r="B598" s="24">
        <v>1401.5958251953125</v>
      </c>
      <c r="C598" s="24">
        <v>937.65765380859375</v>
      </c>
      <c r="D598" s="24">
        <v>3289.951904296875</v>
      </c>
      <c r="E598" s="24">
        <v>1439.3935546875</v>
      </c>
      <c r="F598" s="24">
        <v>1497.9569091796875</v>
      </c>
      <c r="G598" s="24">
        <v>24716.599609375</v>
      </c>
    </row>
    <row r="599" spans="1:7" ht="15">
      <c r="A599" s="23">
        <v>45811</v>
      </c>
      <c r="B599" s="24">
        <v>1393.4661865234375</v>
      </c>
      <c r="C599" s="24">
        <v>934.0179443359375</v>
      </c>
      <c r="D599" s="24">
        <v>3247.418212890625</v>
      </c>
      <c r="E599" s="24">
        <v>1426.8900146484375</v>
      </c>
      <c r="F599" s="24">
        <v>1487.5450439453125</v>
      </c>
      <c r="G599" s="24">
        <v>24542.5</v>
      </c>
    </row>
    <row r="600" spans="1:7" ht="15">
      <c r="A600" s="23">
        <v>45812</v>
      </c>
      <c r="B600" s="24">
        <v>1411.31201171875</v>
      </c>
      <c r="C600" s="24">
        <v>942.073974609375</v>
      </c>
      <c r="D600" s="24">
        <v>3252.902587890625</v>
      </c>
      <c r="E600" s="24">
        <v>1420.0428466796875</v>
      </c>
      <c r="F600" s="24">
        <v>1495.4503173828125</v>
      </c>
      <c r="G600" s="24">
        <v>24620.19921875</v>
      </c>
    </row>
    <row r="601" spans="1:7" ht="15">
      <c r="A601" s="23">
        <v>45813</v>
      </c>
      <c r="B601" s="24">
        <v>1430.0501708984375</v>
      </c>
      <c r="C601" s="24">
        <v>946.1505126953125</v>
      </c>
      <c r="D601" s="24">
        <v>3243.473388671875</v>
      </c>
      <c r="E601" s="24">
        <v>1443.66064453125</v>
      </c>
      <c r="F601" s="24">
        <v>1498.43896484375</v>
      </c>
      <c r="G601" s="24">
        <v>24750.900390625</v>
      </c>
    </row>
    <row r="602" spans="1:7" ht="15">
      <c r="A602" s="23">
        <v>45814</v>
      </c>
      <c r="B602" s="24">
        <v>1431.1407470703125</v>
      </c>
      <c r="C602" s="24">
        <v>960.27288818359375</v>
      </c>
      <c r="D602" s="24">
        <v>3256.077392578125</v>
      </c>
      <c r="E602" s="24">
        <v>1448.5230712890625</v>
      </c>
      <c r="F602" s="24">
        <v>1507.5975341796875</v>
      </c>
      <c r="G602" s="24">
        <v>25003.05078125</v>
      </c>
    </row>
    <row r="603" spans="1:7" ht="15">
      <c r="A603" s="23">
        <v>45817</v>
      </c>
      <c r="B603" s="24">
        <v>1436.3953857421875</v>
      </c>
      <c r="C603" s="24">
        <v>960.37005615234375</v>
      </c>
      <c r="D603" s="24">
        <v>3292.350341796875</v>
      </c>
      <c r="E603" s="24">
        <v>1423.8138427734375</v>
      </c>
      <c r="F603" s="24">
        <v>1516.3704833984375</v>
      </c>
      <c r="G603" s="24">
        <v>25103.19921875</v>
      </c>
    </row>
    <row r="604" spans="1:7" ht="15">
      <c r="A604" s="23">
        <v>45818</v>
      </c>
      <c r="B604" s="24">
        <v>1426.1834716796875</v>
      </c>
      <c r="C604" s="24">
        <v>953.7698974609375</v>
      </c>
      <c r="D604" s="24">
        <v>3331.798095703125</v>
      </c>
      <c r="E604" s="24">
        <v>1412.0048828125</v>
      </c>
      <c r="F604" s="24">
        <v>1538.6402587890625</v>
      </c>
      <c r="G604" s="24">
        <v>25104.25</v>
      </c>
    </row>
    <row r="605" spans="1:7" ht="15">
      <c r="A605" s="23">
        <v>45819</v>
      </c>
      <c r="B605" s="24">
        <v>1436.4945068359375</v>
      </c>
      <c r="C605" s="24">
        <v>946.538818359375</v>
      </c>
      <c r="D605" s="24">
        <v>3340.457275390625</v>
      </c>
      <c r="E605" s="24">
        <v>1420.0428466796875</v>
      </c>
      <c r="F605" s="24">
        <v>1572.478759765625</v>
      </c>
      <c r="G605" s="24">
        <v>25141.400390625</v>
      </c>
    </row>
    <row r="606" spans="1:7" ht="15">
      <c r="A606" s="23">
        <v>45820</v>
      </c>
      <c r="B606" s="24">
        <v>1429.257080078125</v>
      </c>
      <c r="C606" s="24">
        <v>943.14166259765625</v>
      </c>
      <c r="D606" s="24">
        <v>3304.1845703125</v>
      </c>
      <c r="E606" s="24">
        <v>1414.2872314453125</v>
      </c>
      <c r="F606" s="24">
        <v>1550.787353515625</v>
      </c>
      <c r="G606" s="24">
        <v>24888.19921875</v>
      </c>
    </row>
    <row r="607" spans="1:7" ht="15">
      <c r="A607" s="23">
        <v>45821</v>
      </c>
      <c r="B607" s="24">
        <v>1415.67431640625</v>
      </c>
      <c r="C607" s="24">
        <v>930.62078857421875</v>
      </c>
      <c r="D607" s="24">
        <v>3315.249267578125</v>
      </c>
      <c r="E607" s="24">
        <v>1405.2569580078125</v>
      </c>
      <c r="F607" s="24">
        <v>1544.424560546875</v>
      </c>
      <c r="G607" s="24">
        <v>24718.599609375</v>
      </c>
    </row>
    <row r="608" spans="1:7" ht="15">
      <c r="A608" s="23">
        <v>45824</v>
      </c>
      <c r="B608" s="24">
        <v>1425.4896240234375</v>
      </c>
      <c r="C608" s="24">
        <v>939.25921630859375</v>
      </c>
      <c r="D608" s="24">
        <v>3363.93359375</v>
      </c>
      <c r="E608" s="24">
        <v>1415.9742431640625</v>
      </c>
      <c r="F608" s="24">
        <v>1565.441162109375</v>
      </c>
      <c r="G608" s="24">
        <v>24946.5</v>
      </c>
    </row>
    <row r="609" spans="1:7" ht="15">
      <c r="A609" s="23">
        <v>45825</v>
      </c>
      <c r="B609" s="24">
        <v>1418.946044921875</v>
      </c>
      <c r="C609" s="24">
        <v>936.4444580078125</v>
      </c>
      <c r="D609" s="24">
        <v>3382.21435546875</v>
      </c>
      <c r="E609" s="24">
        <v>1412.302490234375</v>
      </c>
      <c r="F609" s="24">
        <v>1580.9625244140625</v>
      </c>
      <c r="G609" s="24">
        <v>24853.400390625</v>
      </c>
    </row>
    <row r="610" spans="1:7" ht="15">
      <c r="A610" s="23">
        <v>45826</v>
      </c>
      <c r="B610" s="24">
        <v>1417.85546875</v>
      </c>
      <c r="C610" s="24">
        <v>938.53131103515625</v>
      </c>
      <c r="D610" s="24">
        <v>3320.733154296875</v>
      </c>
      <c r="E610" s="24">
        <v>1401.78369140625</v>
      </c>
      <c r="F610" s="24">
        <v>1574.214111328125</v>
      </c>
      <c r="G610" s="24">
        <v>24812.05078125</v>
      </c>
    </row>
    <row r="611" spans="1:7" ht="15">
      <c r="A611" s="23">
        <v>45827</v>
      </c>
      <c r="B611" s="24">
        <v>1421.0281982421875</v>
      </c>
      <c r="C611" s="24">
        <v>939.21075439453125</v>
      </c>
      <c r="D611" s="24">
        <v>3294.370849609375</v>
      </c>
      <c r="E611" s="24">
        <v>1400.4937744140625</v>
      </c>
      <c r="F611" s="24">
        <v>1560.2352294921875</v>
      </c>
      <c r="G611" s="24">
        <v>24793.25</v>
      </c>
    </row>
    <row r="612" spans="1:7" ht="15">
      <c r="A612" s="23">
        <v>45828</v>
      </c>
      <c r="B612" s="24">
        <v>1453.6463623046875</v>
      </c>
      <c r="C612" s="24">
        <v>953.4786376953125</v>
      </c>
      <c r="D612" s="24">
        <v>3305.627685546875</v>
      </c>
      <c r="E612" s="24">
        <v>1416.1727294921875</v>
      </c>
      <c r="F612" s="24">
        <v>1564.573486328125</v>
      </c>
      <c r="G612" s="24">
        <v>25112.400390625</v>
      </c>
    </row>
    <row r="613" spans="1:7" ht="15">
      <c r="A613" s="23">
        <v>45831</v>
      </c>
      <c r="B613" s="24">
        <v>1444.326904296875</v>
      </c>
      <c r="C613" s="24">
        <v>945.5682373046875</v>
      </c>
      <c r="D613" s="24">
        <v>3265.121826171875</v>
      </c>
      <c r="E613" s="24">
        <v>1409.226318359375</v>
      </c>
      <c r="F613" s="24">
        <v>1527.071533203125</v>
      </c>
      <c r="G613" s="24">
        <v>24971.900390625</v>
      </c>
    </row>
    <row r="614" spans="1:7" ht="15">
      <c r="A614" s="23">
        <v>45832</v>
      </c>
      <c r="B614" s="24">
        <v>1438.3782958984375</v>
      </c>
      <c r="C614" s="24">
        <v>951.634521484375</v>
      </c>
      <c r="D614" s="24">
        <v>3262.042724609375</v>
      </c>
      <c r="E614" s="24">
        <v>1413.1956787109375</v>
      </c>
      <c r="F614" s="24">
        <v>1524.7576904296875</v>
      </c>
      <c r="G614" s="24">
        <v>25044.349609375</v>
      </c>
    </row>
    <row r="615" spans="1:7" ht="15">
      <c r="A615" s="23">
        <v>45833</v>
      </c>
      <c r="B615" s="24">
        <v>1454.737060546875</v>
      </c>
      <c r="C615" s="24">
        <v>961.00091552734375</v>
      </c>
      <c r="D615" s="24">
        <v>3314.38330078125</v>
      </c>
      <c r="E615" s="24">
        <v>1414.8826904296875</v>
      </c>
      <c r="F615" s="24">
        <v>1556.8609619140625</v>
      </c>
      <c r="G615" s="24">
        <v>25244.75</v>
      </c>
    </row>
    <row r="616" spans="1:7" ht="15">
      <c r="A616" s="23">
        <v>45834</v>
      </c>
      <c r="B616" s="24">
        <v>1482.497314453125</v>
      </c>
      <c r="C616" s="24">
        <v>981.1895751953125</v>
      </c>
      <c r="D616" s="24">
        <v>3311.496826171875</v>
      </c>
      <c r="E616" s="24">
        <v>1428.080810546875</v>
      </c>
      <c r="F616" s="24">
        <v>1557.92138671875</v>
      </c>
      <c r="G616" s="24">
        <v>25549</v>
      </c>
    </row>
    <row r="617" spans="1:7" ht="15">
      <c r="A617" s="23">
        <v>45835</v>
      </c>
      <c r="B617" s="24">
        <v>1502.4251708984375</v>
      </c>
      <c r="C617" s="24">
        <v>988.5982666015625</v>
      </c>
      <c r="D617" s="24">
        <v>3310.82373046875</v>
      </c>
      <c r="E617" s="24">
        <v>1451.00390625</v>
      </c>
      <c r="F617" s="24">
        <v>1550.208984375</v>
      </c>
      <c r="G617" s="24">
        <v>25637.80078125</v>
      </c>
    </row>
    <row r="618" spans="1:7" ht="15">
      <c r="A618" s="23">
        <v>45838</v>
      </c>
      <c r="B618" s="24">
        <v>1487.7518310546875</v>
      </c>
      <c r="C618" s="24">
        <v>982.023681640625</v>
      </c>
      <c r="D618" s="24">
        <v>3330.93212890625</v>
      </c>
      <c r="E618" s="24">
        <v>1434.7296142578125</v>
      </c>
      <c r="F618" s="24">
        <v>1544.2318115234375</v>
      </c>
      <c r="G618" s="24">
        <v>25517.05078125</v>
      </c>
    </row>
    <row r="619" spans="1:7" ht="15">
      <c r="A619" s="23">
        <v>45839</v>
      </c>
      <c r="B619" s="24">
        <v>1515.3138427734375</v>
      </c>
      <c r="C619" s="24">
        <v>987.2244873046875</v>
      </c>
      <c r="D619" s="24">
        <v>3299.855224609375</v>
      </c>
      <c r="E619" s="24">
        <v>1421.03515625</v>
      </c>
      <c r="F619" s="24">
        <v>1549.05224609375</v>
      </c>
      <c r="G619" s="24">
        <v>25541.80078125</v>
      </c>
    </row>
    <row r="620" spans="1:7" ht="15">
      <c r="A620" s="23">
        <v>45840</v>
      </c>
      <c r="B620" s="24">
        <v>1505.7960205078125</v>
      </c>
      <c r="C620" s="24">
        <v>974.418701171875</v>
      </c>
      <c r="D620" s="24">
        <v>3293.697265625</v>
      </c>
      <c r="E620" s="24">
        <v>1416.867431640625</v>
      </c>
      <c r="F620" s="24">
        <v>1552.619140625</v>
      </c>
      <c r="G620" s="24">
        <v>25453.400390625</v>
      </c>
    </row>
    <row r="621" spans="1:7" ht="15">
      <c r="A621" s="23">
        <v>45841</v>
      </c>
      <c r="B621" s="24">
        <v>1504.8046875</v>
      </c>
      <c r="C621" s="24">
        <v>974.9583740234375</v>
      </c>
      <c r="D621" s="24">
        <v>3272.049072265625</v>
      </c>
      <c r="E621" s="24">
        <v>1414.98193359375</v>
      </c>
      <c r="F621" s="24">
        <v>1560.5244140625</v>
      </c>
      <c r="G621" s="24">
        <v>25405.30078125</v>
      </c>
    </row>
    <row r="622" spans="1:7" ht="15">
      <c r="A622" s="23">
        <v>45842</v>
      </c>
      <c r="B622" s="24">
        <v>1514.223388671875</v>
      </c>
      <c r="C622" s="24">
        <v>976.037841796875</v>
      </c>
      <c r="D622" s="24">
        <v>3290.329833984375</v>
      </c>
      <c r="E622" s="24">
        <v>1431.7525634765625</v>
      </c>
      <c r="F622" s="24">
        <v>1581.733642578125</v>
      </c>
      <c r="G622" s="24">
        <v>25461</v>
      </c>
    </row>
    <row r="623" spans="1:7" ht="15">
      <c r="A623" s="23">
        <v>45845</v>
      </c>
      <c r="B623" s="24">
        <v>1528.3016357421875</v>
      </c>
      <c r="C623" s="24">
        <v>975.1055908203125</v>
      </c>
      <c r="D623" s="24">
        <v>3282.53662109375</v>
      </c>
      <c r="E623" s="24">
        <v>1424.706787109375</v>
      </c>
      <c r="F623" s="24">
        <v>1568.5262451171875</v>
      </c>
      <c r="G623" s="24">
        <v>25461.30078125</v>
      </c>
    </row>
    <row r="624" spans="1:7" ht="15">
      <c r="A624" s="23">
        <v>45846</v>
      </c>
      <c r="B624" s="24">
        <v>1524.4349365234375</v>
      </c>
      <c r="C624" s="24">
        <v>981.974609375</v>
      </c>
      <c r="D624" s="24">
        <v>3277.24462890625</v>
      </c>
      <c r="E624" s="24">
        <v>1430.9586181640625</v>
      </c>
      <c r="F624" s="24">
        <v>1579.8055419921875</v>
      </c>
      <c r="G624" s="24">
        <v>25522.5</v>
      </c>
    </row>
    <row r="625" spans="1:7" ht="15">
      <c r="A625" s="23">
        <v>45847</v>
      </c>
      <c r="B625" s="24">
        <v>1505.9942626953125</v>
      </c>
      <c r="C625" s="24">
        <v>986.7828369140625</v>
      </c>
      <c r="D625" s="24">
        <v>3255.69287109375</v>
      </c>
      <c r="E625" s="24">
        <v>1420.93603515625</v>
      </c>
      <c r="F625" s="24">
        <v>1574.9853515625</v>
      </c>
      <c r="G625" s="24">
        <v>25476.099609375</v>
      </c>
    </row>
    <row r="626" spans="1:7" ht="15">
      <c r="A626" s="23">
        <v>45848</v>
      </c>
      <c r="B626" s="24">
        <v>1504.2095947265625</v>
      </c>
      <c r="C626" s="24">
        <v>984.32965087890625</v>
      </c>
      <c r="D626" s="24">
        <v>3253.960693359375</v>
      </c>
      <c r="E626" s="24">
        <v>1413.1956787109375</v>
      </c>
      <c r="F626" s="24">
        <v>1557.728759765625</v>
      </c>
      <c r="G626" s="24">
        <v>25355.25</v>
      </c>
    </row>
    <row r="627" spans="1:7" ht="15">
      <c r="A627" s="23">
        <v>45849</v>
      </c>
      <c r="B627" s="24">
        <v>1482.3980712890625</v>
      </c>
      <c r="C627" s="24">
        <v>973.29022216796875</v>
      </c>
      <c r="D627" s="24">
        <v>3142.352294921875</v>
      </c>
      <c r="E627" s="24">
        <v>1411.0125732421875</v>
      </c>
      <c r="F627" s="24">
        <v>1537.5797119140625</v>
      </c>
      <c r="G627" s="24">
        <v>25149.849609375</v>
      </c>
    </row>
    <row r="628" spans="1:7" ht="15">
      <c r="A628" s="23">
        <v>45852</v>
      </c>
      <c r="B628" s="24">
        <v>1470.9964599609375</v>
      </c>
      <c r="C628" s="24">
        <v>972.94677734375</v>
      </c>
      <c r="D628" s="24">
        <v>3100.691650390625</v>
      </c>
      <c r="E628" s="24">
        <v>1412.1041259765625</v>
      </c>
      <c r="F628" s="24">
        <v>1513.8638916015625</v>
      </c>
      <c r="G628" s="24">
        <v>25082.30078125</v>
      </c>
    </row>
    <row r="629" spans="1:7" ht="15">
      <c r="A629" s="23">
        <v>45853</v>
      </c>
      <c r="B629" s="24">
        <v>1472.6820068359375</v>
      </c>
      <c r="C629" s="24">
        <v>979.079833984375</v>
      </c>
      <c r="D629" s="24">
        <v>3129.171142578125</v>
      </c>
      <c r="E629" s="24">
        <v>1419.844482421875</v>
      </c>
      <c r="F629" s="24">
        <v>1528.614013671875</v>
      </c>
      <c r="G629" s="24">
        <v>25195.80078125</v>
      </c>
    </row>
    <row r="630" spans="1:7" ht="15">
      <c r="A630" s="23">
        <v>45854</v>
      </c>
      <c r="B630" s="24">
        <v>1472.8802490234375</v>
      </c>
      <c r="C630" s="24">
        <v>979.4722900390625</v>
      </c>
      <c r="D630" s="24">
        <v>3121.2548828125</v>
      </c>
      <c r="E630" s="24">
        <v>1415.4781494140625</v>
      </c>
      <c r="F630" s="24">
        <v>1550.1126708984375</v>
      </c>
      <c r="G630" s="24">
        <v>25212.05078125</v>
      </c>
    </row>
    <row r="631" spans="1:7" ht="15">
      <c r="A631" s="23">
        <v>45855</v>
      </c>
      <c r="B631" s="24">
        <v>1463.7591552734375</v>
      </c>
      <c r="C631" s="24">
        <v>974.8602294921875</v>
      </c>
      <c r="D631" s="24">
        <v>3098.181640625</v>
      </c>
      <c r="E631" s="24">
        <v>1407.8370361328125</v>
      </c>
      <c r="F631" s="24">
        <v>1526.589599609375</v>
      </c>
      <c r="G631" s="24">
        <v>25111.44921875</v>
      </c>
    </row>
    <row r="632" spans="1:7" ht="15">
      <c r="A632" s="23">
        <v>45856</v>
      </c>
      <c r="B632" s="24">
        <v>1463.362548828125</v>
      </c>
      <c r="C632" s="24">
        <v>960.38623046875</v>
      </c>
      <c r="D632" s="24">
        <v>3079.549072265625</v>
      </c>
      <c r="E632" s="24">
        <v>1414.8826904296875</v>
      </c>
      <c r="F632" s="24">
        <v>1529.095947265625</v>
      </c>
      <c r="G632" s="24">
        <v>24968.400390625</v>
      </c>
    </row>
    <row r="633" spans="1:7" ht="15">
      <c r="A633" s="23">
        <v>45859</v>
      </c>
      <c r="B633" s="24">
        <v>1416.3682861328125</v>
      </c>
      <c r="C633" s="24">
        <v>981.53302001953125</v>
      </c>
      <c r="D633" s="24">
        <v>3048.94580078125</v>
      </c>
      <c r="E633" s="24">
        <v>1454.576416015625</v>
      </c>
      <c r="F633" s="24">
        <v>1527.36083984375</v>
      </c>
      <c r="G633" s="24">
        <v>25090.69921875</v>
      </c>
    </row>
    <row r="634" spans="1:7" ht="15">
      <c r="A634" s="23">
        <v>45860</v>
      </c>
      <c r="B634" s="24">
        <v>1400.70361328125</v>
      </c>
      <c r="C634" s="24">
        <v>984.771240234375</v>
      </c>
      <c r="D634" s="24">
        <v>3050.297607421875</v>
      </c>
      <c r="E634" s="24">
        <v>1462.316650390625</v>
      </c>
      <c r="F634" s="24">
        <v>1514.4423828125</v>
      </c>
      <c r="G634" s="24">
        <v>25060.900390625</v>
      </c>
    </row>
    <row r="635" spans="1:7" ht="15">
      <c r="A635" s="23">
        <v>45861</v>
      </c>
      <c r="B635" s="24">
        <v>1412.402587890625</v>
      </c>
      <c r="C635" s="24">
        <v>993.21038818359375</v>
      </c>
      <c r="D635" s="24">
        <v>3069.122802734375</v>
      </c>
      <c r="E635" s="24">
        <v>1477.2017822265625</v>
      </c>
      <c r="F635" s="24">
        <v>1517.9129638671875</v>
      </c>
      <c r="G635" s="24">
        <v>25219.900390625</v>
      </c>
    </row>
    <row r="636" spans="1:7" ht="15">
      <c r="A636" s="23">
        <v>45862</v>
      </c>
      <c r="B636" s="24">
        <v>1390.888427734375</v>
      </c>
      <c r="C636" s="24">
        <v>988.25482177734375</v>
      </c>
      <c r="D636" s="24">
        <v>3039.098876953125</v>
      </c>
      <c r="E636" s="24">
        <v>1472.0416259765625</v>
      </c>
      <c r="F636" s="24">
        <v>1496.70361328125</v>
      </c>
      <c r="G636" s="24">
        <v>25062.099609375</v>
      </c>
    </row>
    <row r="637" spans="1:7" ht="15">
      <c r="A637" s="23">
        <v>45863</v>
      </c>
      <c r="B637" s="24">
        <v>1379.7841796875</v>
      </c>
      <c r="C637" s="24">
        <v>985.99224853515625</v>
      </c>
      <c r="D637" s="24">
        <v>3027.32080078125</v>
      </c>
      <c r="E637" s="24">
        <v>1465.789794921875</v>
      </c>
      <c r="F637" s="24">
        <v>1461.2261962890625</v>
      </c>
      <c r="G637" s="24">
        <v>24837</v>
      </c>
    </row>
    <row r="638" spans="1:7" ht="15">
      <c r="A638" s="23">
        <v>45866</v>
      </c>
      <c r="B638" s="24">
        <v>1375.71923828125</v>
      </c>
      <c r="C638" s="24">
        <v>987.9105224609375</v>
      </c>
      <c r="D638" s="24">
        <v>2972.775146484375</v>
      </c>
      <c r="E638" s="24">
        <v>1477.00341796875</v>
      </c>
      <c r="F638" s="24">
        <v>1461.515380859375</v>
      </c>
      <c r="G638" s="24">
        <v>24680.900390625</v>
      </c>
    </row>
    <row r="639" spans="1:7" ht="15">
      <c r="A639" s="23">
        <v>45867</v>
      </c>
      <c r="B639" s="24">
        <v>1404.9666748046875</v>
      </c>
      <c r="C639" s="24">
        <v>994.35394287109375</v>
      </c>
      <c r="D639" s="24">
        <v>2950.281494140625</v>
      </c>
      <c r="E639" s="24">
        <v>1474.8201904296875</v>
      </c>
      <c r="F639" s="24">
        <v>1459.2979736328125</v>
      </c>
      <c r="G639" s="24">
        <v>24821.099609375</v>
      </c>
    </row>
    <row r="640" spans="1:7" ht="15">
      <c r="A640" s="23">
        <v>45868</v>
      </c>
      <c r="B640" s="24">
        <v>1398.026611328125</v>
      </c>
      <c r="C640" s="24">
        <v>996.4197998046875</v>
      </c>
      <c r="D640" s="24">
        <v>2947.96435546875</v>
      </c>
      <c r="E640" s="24">
        <v>1471.04931640625</v>
      </c>
      <c r="F640" s="24">
        <v>1464.40771484375</v>
      </c>
      <c r="G640" s="24">
        <v>24855.05078125</v>
      </c>
    </row>
    <row r="641" spans="1:7" ht="15">
      <c r="A641" s="23">
        <v>45869</v>
      </c>
      <c r="B641" s="24">
        <v>1378.2969970703125</v>
      </c>
      <c r="C641" s="24">
        <v>992.68157958984375</v>
      </c>
      <c r="D641" s="24">
        <v>2931.74560546875</v>
      </c>
      <c r="E641" s="24">
        <v>1470.0570068359375</v>
      </c>
      <c r="F641" s="24">
        <v>1454.76708984375</v>
      </c>
      <c r="G641" s="24">
        <v>24768.349609375</v>
      </c>
    </row>
    <row r="642" spans="1:7" ht="15">
      <c r="A642" s="23">
        <v>45870</v>
      </c>
      <c r="B642" s="24">
        <v>1381.76708984375</v>
      </c>
      <c r="C642" s="24">
        <v>989.73040771484375</v>
      </c>
      <c r="D642" s="24">
        <v>2899.11474609375</v>
      </c>
      <c r="E642" s="24">
        <v>1460.3319091796875</v>
      </c>
      <c r="F642" s="24">
        <v>1416.782958984375</v>
      </c>
      <c r="G642" s="24">
        <v>24565.349609375</v>
      </c>
    </row>
    <row r="643" spans="1:7" ht="15">
      <c r="A643" s="23">
        <v>45873</v>
      </c>
      <c r="B643" s="24">
        <v>1399.4146728515625</v>
      </c>
      <c r="C643" s="24">
        <v>979.79473876953125</v>
      </c>
      <c r="D643" s="24">
        <v>2968.044677734375</v>
      </c>
      <c r="E643" s="24">
        <v>1451.9962158203125</v>
      </c>
      <c r="F643" s="24">
        <v>1427.291259765625</v>
      </c>
      <c r="G643" s="24">
        <v>24722.75</v>
      </c>
    </row>
    <row r="644" spans="1:7" ht="15">
      <c r="A644" s="23">
        <v>45874</v>
      </c>
      <c r="B644" s="24">
        <v>1379.7841796875</v>
      </c>
      <c r="C644" s="24">
        <v>972.71185302734375</v>
      </c>
      <c r="D644" s="24">
        <v>2957.907958984375</v>
      </c>
      <c r="E644" s="24">
        <v>1433.3402099609375</v>
      </c>
      <c r="F644" s="24">
        <v>1407.8172607421875</v>
      </c>
      <c r="G644" s="24">
        <v>24649.55078125</v>
      </c>
    </row>
    <row r="645" spans="1:7" ht="15">
      <c r="A645" s="23">
        <v>45875</v>
      </c>
      <c r="B645" s="24">
        <v>1380.874755859375</v>
      </c>
      <c r="C645" s="24">
        <v>976.499267578125</v>
      </c>
      <c r="D645" s="24">
        <v>2927.401123046875</v>
      </c>
      <c r="E645" s="24">
        <v>1432.54638671875</v>
      </c>
      <c r="F645" s="24">
        <v>1385.0654296875</v>
      </c>
      <c r="G645" s="24">
        <v>24574.19921875</v>
      </c>
    </row>
    <row r="646" spans="1:7" ht="15">
      <c r="A646" s="23">
        <v>45876</v>
      </c>
      <c r="B646" s="24">
        <v>1377.5040283203125</v>
      </c>
      <c r="C646" s="24">
        <v>981.46710205078125</v>
      </c>
      <c r="D646" s="24">
        <v>2941.5927734375</v>
      </c>
      <c r="E646" s="24">
        <v>1429.271728515625</v>
      </c>
      <c r="F646" s="24">
        <v>1385.2581787109375</v>
      </c>
      <c r="G646" s="24">
        <v>24596.150390625</v>
      </c>
    </row>
    <row r="647" spans="1:7" ht="15">
      <c r="A647" s="23">
        <v>45877</v>
      </c>
      <c r="B647" s="24">
        <v>1356.0888671875</v>
      </c>
      <c r="C647" s="24">
        <v>970.89202880859375</v>
      </c>
      <c r="D647" s="24">
        <v>2931.359130859375</v>
      </c>
      <c r="E647" s="24">
        <v>1424.9053955078125</v>
      </c>
      <c r="F647" s="24">
        <v>1371.9542236328125</v>
      </c>
      <c r="G647" s="24">
        <v>24363.30078125</v>
      </c>
    </row>
    <row r="648" spans="1:7" ht="15">
      <c r="A648" s="23">
        <v>45880</v>
      </c>
      <c r="B648" s="24">
        <v>1374.331298828125</v>
      </c>
      <c r="C648" s="24">
        <v>981.5654296875</v>
      </c>
      <c r="D648" s="24">
        <v>2935.607421875</v>
      </c>
      <c r="E648" s="24">
        <v>1425.5999755859375</v>
      </c>
      <c r="F648" s="24">
        <v>1376.870849609375</v>
      </c>
      <c r="G648" s="24">
        <v>24585.05078125</v>
      </c>
    </row>
    <row r="649" spans="1:7" ht="15">
      <c r="A649" s="23">
        <v>45881</v>
      </c>
      <c r="B649" s="24">
        <v>1368.5810546875</v>
      </c>
      <c r="C649" s="24">
        <v>968.924560546875</v>
      </c>
      <c r="D649" s="24">
        <v>2930.393798828125</v>
      </c>
      <c r="E649" s="24">
        <v>1422</v>
      </c>
      <c r="F649" s="24">
        <v>1372.9183349609375</v>
      </c>
      <c r="G649" s="24">
        <v>24487.400390625</v>
      </c>
    </row>
    <row r="650" spans="1:7" ht="15">
      <c r="A650" s="23">
        <v>45882</v>
      </c>
      <c r="B650" s="24">
        <v>1370.7620849609375</v>
      </c>
      <c r="C650" s="24">
        <v>974.0399169921875</v>
      </c>
      <c r="D650" s="24">
        <v>2931.166259765625</v>
      </c>
      <c r="E650" s="24">
        <v>1420.800048828125</v>
      </c>
      <c r="F650" s="24">
        <v>1375.3284912109375</v>
      </c>
      <c r="G650" s="24">
        <v>24619.349609375</v>
      </c>
    </row>
    <row r="651" spans="1:7" ht="15">
      <c r="A651" s="23">
        <v>45883</v>
      </c>
      <c r="B651" s="24">
        <v>1367.4774169921875</v>
      </c>
      <c r="C651" s="24">
        <v>979.35205078125</v>
      </c>
      <c r="D651" s="24">
        <v>2917.7470703125</v>
      </c>
      <c r="E651" s="24">
        <v>1427.300048828125</v>
      </c>
      <c r="F651" s="24">
        <v>1395.6700439453125</v>
      </c>
      <c r="G651" s="24">
        <v>24631.30078125</v>
      </c>
    </row>
    <row r="652" spans="1:7" ht="15">
      <c r="A652" s="23">
        <v>45887</v>
      </c>
      <c r="B652" s="24">
        <v>1375.3409423828125</v>
      </c>
      <c r="C652" s="24">
        <v>985.5003662109375</v>
      </c>
      <c r="D652" s="24">
        <v>2907.03125</v>
      </c>
      <c r="E652" s="24">
        <v>1434.5999755859375</v>
      </c>
      <c r="F652" s="24">
        <v>1384.19775390625</v>
      </c>
      <c r="G652" s="24">
        <v>24876.94921875</v>
      </c>
    </row>
    <row r="653" spans="1:7" ht="15">
      <c r="A653" s="23">
        <v>45888</v>
      </c>
      <c r="B653" s="24">
        <v>1413.564208984375</v>
      </c>
      <c r="C653" s="24">
        <v>979.35205078125</v>
      </c>
      <c r="D653" s="24">
        <v>2911.8583984375</v>
      </c>
      <c r="E653" s="24">
        <v>1436.300048828125</v>
      </c>
      <c r="F653" s="24">
        <v>1388.2469482421875</v>
      </c>
      <c r="G653" s="24">
        <v>24980.650390625</v>
      </c>
    </row>
    <row r="654" spans="1:7" ht="15">
      <c r="A654" s="23">
        <v>45889</v>
      </c>
      <c r="B654" s="24">
        <v>1406.4969482421875</v>
      </c>
      <c r="C654" s="24">
        <v>977.9256591796875</v>
      </c>
      <c r="D654" s="24">
        <v>2991.40771484375</v>
      </c>
      <c r="E654" s="24">
        <v>1430.5999755859375</v>
      </c>
      <c r="F654" s="24">
        <v>1442.427001953125</v>
      </c>
      <c r="G654" s="24">
        <v>25050.55078125</v>
      </c>
    </row>
    <row r="655" spans="1:7" ht="15">
      <c r="A655" s="23">
        <v>45890</v>
      </c>
      <c r="B655" s="24">
        <v>1418.24267578125</v>
      </c>
      <c r="C655" s="24">
        <v>979.4012451171875</v>
      </c>
      <c r="D655" s="24">
        <v>2995.26953125</v>
      </c>
      <c r="E655" s="24">
        <v>1446</v>
      </c>
      <c r="F655" s="24">
        <v>1442.619873046875</v>
      </c>
      <c r="G655" s="24">
        <v>25083.75</v>
      </c>
    </row>
    <row r="656" spans="1:7" ht="15">
      <c r="A656" s="23">
        <v>45891</v>
      </c>
      <c r="B656" s="24">
        <v>1402.71435546875</v>
      </c>
      <c r="C656" s="24">
        <v>966.317626953125</v>
      </c>
      <c r="D656" s="24">
        <v>2948.3505859375</v>
      </c>
      <c r="E656" s="24">
        <v>1436.4000244140625</v>
      </c>
      <c r="F656" s="24">
        <v>1434.0396728515625</v>
      </c>
      <c r="G656" s="24">
        <v>24870.099609375</v>
      </c>
    </row>
    <row r="657" spans="1:7" ht="15">
      <c r="A657" s="23">
        <v>45894</v>
      </c>
      <c r="B657" s="24">
        <v>1406.0987548828125</v>
      </c>
      <c r="C657" s="24">
        <v>966.07171630859375</v>
      </c>
      <c r="D657" s="24">
        <v>3031.954833984375</v>
      </c>
      <c r="E657" s="24">
        <v>1433.199951171875</v>
      </c>
      <c r="F657" s="24">
        <v>1477.0367431640625</v>
      </c>
      <c r="G657" s="24">
        <v>24967.75</v>
      </c>
    </row>
    <row r="658" spans="1:7" ht="15">
      <c r="A658" s="23">
        <v>45895</v>
      </c>
      <c r="B658" s="24">
        <v>1378.5262451171875</v>
      </c>
      <c r="C658" s="24">
        <v>957.5625</v>
      </c>
      <c r="D658" s="24">
        <v>3047.980712890625</v>
      </c>
      <c r="E658" s="24">
        <v>1416.5999755859375</v>
      </c>
      <c r="F658" s="24">
        <v>1474.6265869140625</v>
      </c>
      <c r="G658" s="24">
        <v>24712.05078125</v>
      </c>
    </row>
    <row r="659" spans="1:7" ht="15">
      <c r="A659" s="23">
        <v>45897</v>
      </c>
      <c r="B659" s="24">
        <v>1379.521728515625</v>
      </c>
      <c r="C659" s="24">
        <v>942.21624755859375</v>
      </c>
      <c r="D659" s="24">
        <v>2986.677001953125</v>
      </c>
      <c r="E659" s="24">
        <v>1399.0999755859375</v>
      </c>
      <c r="F659" s="24">
        <v>1446.1868896484375</v>
      </c>
      <c r="G659" s="24">
        <v>24500.900390625</v>
      </c>
    </row>
    <row r="660" spans="1:7" ht="15">
      <c r="A660" s="23">
        <v>45898</v>
      </c>
      <c r="B660" s="24">
        <v>1350.9537353515625</v>
      </c>
      <c r="C660" s="24">
        <v>936.11712646484375</v>
      </c>
      <c r="D660" s="24">
        <v>2977.988525390625</v>
      </c>
      <c r="E660" s="24">
        <v>1397.800048828125</v>
      </c>
      <c r="F660" s="24">
        <v>1416.782958984375</v>
      </c>
      <c r="G660" s="24">
        <v>24426.849609375</v>
      </c>
    </row>
    <row r="661" spans="1:7" ht="15">
      <c r="A661" s="23">
        <v>45901</v>
      </c>
      <c r="B661" s="24">
        <v>1347.6689453125</v>
      </c>
      <c r="C661" s="24">
        <v>935.13336181640625</v>
      </c>
      <c r="D661" s="24">
        <v>3004.92333984375</v>
      </c>
      <c r="E661" s="24">
        <v>1411</v>
      </c>
      <c r="F661" s="24">
        <v>1445.5120849609375</v>
      </c>
      <c r="G661" s="24">
        <v>24625.05078125</v>
      </c>
    </row>
    <row r="662" spans="1:7" ht="15">
      <c r="A662" s="23">
        <v>45902</v>
      </c>
      <c r="B662" s="24">
        <v>1360.2109375</v>
      </c>
      <c r="C662" s="24">
        <v>929.1326904296875</v>
      </c>
      <c r="D662" s="24">
        <v>3003.861328125</v>
      </c>
      <c r="E662" s="24">
        <v>1394.199951171875</v>
      </c>
      <c r="F662" s="24">
        <v>1444.837158203125</v>
      </c>
      <c r="G662" s="24">
        <v>24579.599609375</v>
      </c>
    </row>
    <row r="663" spans="1:7" ht="15">
      <c r="A663" s="23">
        <v>45903</v>
      </c>
      <c r="B663" s="24">
        <v>1366.2828369140625</v>
      </c>
      <c r="C663" s="24">
        <v>938.9207763671875</v>
      </c>
      <c r="D663" s="24">
        <v>2990.345703125</v>
      </c>
      <c r="E663" s="24">
        <v>1397</v>
      </c>
      <c r="F663" s="24">
        <v>1425.9415283203125</v>
      </c>
      <c r="G663" s="24">
        <v>24715.05078125</v>
      </c>
    </row>
    <row r="664" spans="1:7" ht="15">
      <c r="A664" s="23">
        <v>45904</v>
      </c>
      <c r="B664" s="24">
        <v>1353.0440673828125</v>
      </c>
      <c r="C664" s="24">
        <v>945.610107421875</v>
      </c>
      <c r="D664" s="24">
        <v>2988.608154296875</v>
      </c>
      <c r="E664" s="24">
        <v>1405.5</v>
      </c>
      <c r="F664" s="24">
        <v>1410.4202880859375</v>
      </c>
      <c r="G664" s="24">
        <v>24734.30078125</v>
      </c>
    </row>
    <row r="665" spans="1:7" ht="15">
      <c r="A665" s="23">
        <v>45905</v>
      </c>
      <c r="B665" s="24">
        <v>1368.671875</v>
      </c>
      <c r="C665" s="24">
        <v>947.72515869140625</v>
      </c>
      <c r="D665" s="24">
        <v>2942.84765625</v>
      </c>
      <c r="E665" s="24">
        <v>1402.800048828125</v>
      </c>
      <c r="F665" s="24">
        <v>1392.681396484375</v>
      </c>
      <c r="G665" s="24">
        <v>24741</v>
      </c>
    </row>
    <row r="666" spans="1:7" ht="15">
      <c r="A666" s="23">
        <v>45908</v>
      </c>
      <c r="B666" s="24">
        <v>1372.15576171875</v>
      </c>
      <c r="C666" s="24">
        <v>950.2828369140625</v>
      </c>
      <c r="D666" s="24">
        <v>2914.561279296875</v>
      </c>
      <c r="E666" s="24">
        <v>1402.699951171875</v>
      </c>
      <c r="F666" s="24">
        <v>1381.402099609375</v>
      </c>
      <c r="G666" s="24">
        <v>24773.150390625</v>
      </c>
    </row>
    <row r="667" spans="1:7" ht="15">
      <c r="A667" s="23">
        <v>45909</v>
      </c>
      <c r="B667" s="24">
        <v>1369.8662109375</v>
      </c>
      <c r="C667" s="24">
        <v>949.44671630859375</v>
      </c>
      <c r="D667" s="24">
        <v>2943.909423828125</v>
      </c>
      <c r="E667" s="24">
        <v>1403.699951171875</v>
      </c>
      <c r="F667" s="24">
        <v>1450.2359619140625</v>
      </c>
      <c r="G667" s="24">
        <v>24868.599609375</v>
      </c>
    </row>
    <row r="668" spans="1:7" ht="15">
      <c r="A668" s="23">
        <v>45910</v>
      </c>
      <c r="B668" s="24">
        <v>1370.66259765625</v>
      </c>
      <c r="C668" s="24">
        <v>950.18450927734375</v>
      </c>
      <c r="D668" s="24">
        <v>3002.413330078125</v>
      </c>
      <c r="E668" s="24">
        <v>1403.9000244140625</v>
      </c>
      <c r="F668" s="24">
        <v>1477.518798828125</v>
      </c>
      <c r="G668" s="24">
        <v>24973.099609375</v>
      </c>
    </row>
    <row r="669" spans="1:7" ht="15">
      <c r="A669" s="23">
        <v>45911</v>
      </c>
      <c r="B669" s="24">
        <v>1376.9337158203125</v>
      </c>
      <c r="C669" s="24">
        <v>952.05352783203125</v>
      </c>
      <c r="D669" s="24">
        <v>3016.1220703125</v>
      </c>
      <c r="E669" s="24">
        <v>1401.5999755859375</v>
      </c>
      <c r="F669" s="24">
        <v>1455.4417724609375</v>
      </c>
      <c r="G669" s="24">
        <v>25005.5</v>
      </c>
    </row>
    <row r="670" spans="1:7" ht="15">
      <c r="A670" s="23">
        <v>45912</v>
      </c>
      <c r="B670" s="24">
        <v>1388.579833984375</v>
      </c>
      <c r="C670" s="24">
        <v>951.56170654296875</v>
      </c>
      <c r="D670" s="24">
        <v>3025.00390625</v>
      </c>
      <c r="E670" s="24">
        <v>1417.699951171875</v>
      </c>
      <c r="F670" s="24">
        <v>1470.7703857421875</v>
      </c>
      <c r="G670" s="24">
        <v>25114</v>
      </c>
    </row>
    <row r="671" spans="1:7" ht="15">
      <c r="A671" s="23">
        <v>45915</v>
      </c>
      <c r="B671" s="24">
        <v>1392.8599853515625</v>
      </c>
      <c r="C671" s="24">
        <v>951.31573486328125</v>
      </c>
      <c r="D671" s="24">
        <v>3004.247314453125</v>
      </c>
      <c r="E671" s="24">
        <v>1419.4000244140625</v>
      </c>
      <c r="F671" s="24">
        <v>1454.1885986328125</v>
      </c>
      <c r="G671" s="24">
        <v>25069.19921875</v>
      </c>
    </row>
    <row r="672" spans="1:7" ht="15">
      <c r="A672" s="23">
        <v>45916</v>
      </c>
      <c r="B672" s="24">
        <v>1398.8323974609375</v>
      </c>
      <c r="C672" s="24">
        <v>951.1190185546875</v>
      </c>
      <c r="D672" s="24">
        <v>3036.87841796875</v>
      </c>
      <c r="E672" s="24">
        <v>1421.5999755859375</v>
      </c>
      <c r="F672" s="24">
        <v>1456.9844970703125</v>
      </c>
      <c r="G672" s="24">
        <v>25239.099609375</v>
      </c>
    </row>
    <row r="673" spans="1:7" ht="15">
      <c r="A673" s="23">
        <v>45917</v>
      </c>
      <c r="B673" s="24">
        <v>1407.2933349609375</v>
      </c>
      <c r="C673" s="24">
        <v>950.77471923828125</v>
      </c>
      <c r="D673" s="24">
        <v>3063.040771484375</v>
      </c>
      <c r="E673" s="24">
        <v>1419.199951171875</v>
      </c>
      <c r="F673" s="24">
        <v>1467.685546875</v>
      </c>
      <c r="G673" s="24">
        <v>25330.25</v>
      </c>
    </row>
    <row r="674" spans="1:7" ht="15">
      <c r="A674" s="23">
        <v>45918</v>
      </c>
      <c r="B674" s="24">
        <v>1408.4876708984375</v>
      </c>
      <c r="C674" s="24">
        <v>961.00555419921875</v>
      </c>
      <c r="D674" s="24">
        <v>3066.805908203125</v>
      </c>
      <c r="E674" s="24">
        <v>1421.699951171875</v>
      </c>
      <c r="F674" s="24">
        <v>1485.2313232421875</v>
      </c>
      <c r="G674" s="24">
        <v>25423.599609375</v>
      </c>
    </row>
    <row r="675" spans="1:7" ht="15">
      <c r="A675" s="23">
        <v>45919</v>
      </c>
      <c r="B675" s="24">
        <v>1400.9227294921875</v>
      </c>
      <c r="C675" s="24">
        <v>951.168212890625</v>
      </c>
      <c r="D675" s="24">
        <v>3059.565185546875</v>
      </c>
      <c r="E675" s="24">
        <v>1402.199951171875</v>
      </c>
      <c r="F675" s="24">
        <v>1484.845703125</v>
      </c>
      <c r="G675" s="24">
        <v>25327.05078125</v>
      </c>
    </row>
    <row r="676" spans="1:7" ht="15">
      <c r="A676" s="23">
        <v>45922</v>
      </c>
      <c r="B676" s="24">
        <v>1384.199951171875</v>
      </c>
      <c r="C676" s="24">
        <v>948.51214599609375</v>
      </c>
      <c r="D676" s="24">
        <v>2967.465576171875</v>
      </c>
      <c r="E676" s="24">
        <v>1401.5</v>
      </c>
      <c r="F676" s="24">
        <v>1445.6083984375</v>
      </c>
      <c r="G676" s="24">
        <v>25202.349609375</v>
      </c>
    </row>
    <row r="677" spans="1:7" ht="15">
      <c r="A677" s="23">
        <v>45923</v>
      </c>
      <c r="B677" s="24">
        <v>1383.40380859375</v>
      </c>
      <c r="C677" s="24">
        <v>941.62603759765625</v>
      </c>
      <c r="D677" s="24">
        <v>2956.459716796875</v>
      </c>
      <c r="E677" s="24">
        <v>1394.300048828125</v>
      </c>
      <c r="F677" s="24">
        <v>1443.6802978515625</v>
      </c>
      <c r="G677" s="24">
        <v>25169.5</v>
      </c>
    </row>
    <row r="678" spans="1:7" ht="15">
      <c r="A678" s="23">
        <v>45924</v>
      </c>
      <c r="B678" s="24">
        <v>1376.635009765625</v>
      </c>
      <c r="C678" s="24">
        <v>935.57611083984375</v>
      </c>
      <c r="D678" s="24">
        <v>2930.393798828125</v>
      </c>
      <c r="E678" s="24">
        <v>1382.699951171875</v>
      </c>
      <c r="F678" s="24">
        <v>1440.884521484375</v>
      </c>
      <c r="G678" s="24">
        <v>25056.900390625</v>
      </c>
    </row>
    <row r="679" spans="1:7" ht="15">
      <c r="A679" s="23">
        <v>45925</v>
      </c>
      <c r="B679" s="24">
        <v>1366.0838623046875</v>
      </c>
      <c r="C679" s="24">
        <v>934.39556884765625</v>
      </c>
      <c r="D679" s="24">
        <v>2855.092041015625</v>
      </c>
      <c r="E679" s="24">
        <v>1375.800048828125</v>
      </c>
      <c r="F679" s="24">
        <v>1431.436767578125</v>
      </c>
      <c r="G679" s="24">
        <v>24890.849609375</v>
      </c>
    </row>
    <row r="680" spans="1:7" ht="15">
      <c r="A680" s="23">
        <v>45926</v>
      </c>
      <c r="B680" s="24">
        <v>1371.2598876953125</v>
      </c>
      <c r="C680" s="24">
        <v>929.6737060546875</v>
      </c>
      <c r="D680" s="24">
        <v>2798.809326171875</v>
      </c>
      <c r="E680" s="24">
        <v>1359.5999755859375</v>
      </c>
      <c r="F680" s="24">
        <v>1396.8270263671875</v>
      </c>
      <c r="G680" s="24">
        <v>24654.69921875</v>
      </c>
    </row>
    <row r="681" spans="1:7" ht="15">
      <c r="A681" s="23">
        <v>45929</v>
      </c>
      <c r="B681" s="24">
        <v>1366.48193359375</v>
      </c>
      <c r="C681" s="24">
        <v>934.8382568359375</v>
      </c>
      <c r="D681" s="24">
        <v>2795.912841796875</v>
      </c>
      <c r="E681" s="24">
        <v>1348.0999755859375</v>
      </c>
      <c r="F681" s="24">
        <v>1389.982177734375</v>
      </c>
      <c r="G681" s="24">
        <v>24634.900390625</v>
      </c>
    </row>
    <row r="682" spans="1:7" ht="15">
      <c r="A682" s="23">
        <v>45930</v>
      </c>
      <c r="B682" s="24">
        <v>1357.722412109375</v>
      </c>
      <c r="C682" s="24">
        <v>935.52691650390625</v>
      </c>
      <c r="D682" s="24">
        <v>2788.479248046875</v>
      </c>
      <c r="E682" s="24">
        <v>1348</v>
      </c>
      <c r="F682" s="24">
        <v>1389.982177734375</v>
      </c>
      <c r="G682" s="24">
        <v>24611.099609375</v>
      </c>
    </row>
    <row r="683" spans="1:7" ht="15">
      <c r="A683" s="23">
        <v>45931</v>
      </c>
      <c r="B683" s="24">
        <v>1362.4007568359375</v>
      </c>
      <c r="C683" s="24">
        <v>949.5450439453125</v>
      </c>
      <c r="D683" s="24">
        <v>2813.38671875</v>
      </c>
      <c r="E683" s="24">
        <v>1372</v>
      </c>
      <c r="F683" s="24">
        <v>1393.83837890625</v>
      </c>
      <c r="G683" s="24">
        <v>24836.30078125</v>
      </c>
    </row>
    <row r="684" spans="1:7" ht="15">
      <c r="A684" s="23">
        <v>45933</v>
      </c>
      <c r="B684" s="24">
        <v>1357.125244140625</v>
      </c>
      <c r="C684" s="24">
        <v>949.44671630859375</v>
      </c>
      <c r="D684" s="24">
        <v>2801.51220703125</v>
      </c>
      <c r="E684" s="24">
        <v>1365.199951171875</v>
      </c>
      <c r="F684" s="24">
        <v>1394.609619140625</v>
      </c>
      <c r="G684" s="24">
        <v>24894.25</v>
      </c>
    </row>
    <row r="685" spans="1:7" ht="15">
      <c r="A685" s="23">
        <v>45936</v>
      </c>
      <c r="B685" s="24">
        <v>1368.671875</v>
      </c>
      <c r="C685" s="24">
        <v>957.61163330078125</v>
      </c>
      <c r="D685" s="24">
        <v>2885.019775390625</v>
      </c>
      <c r="E685" s="24">
        <v>1363.4000244140625</v>
      </c>
      <c r="F685" s="24">
        <v>1422.9530029296875</v>
      </c>
      <c r="G685" s="24">
        <v>25077.650390625</v>
      </c>
    </row>
    <row r="686" spans="1:7" ht="15">
      <c r="A686" s="23">
        <v>45937</v>
      </c>
      <c r="B686" s="24">
        <v>1378.4267578125</v>
      </c>
      <c r="C686" s="24">
        <v>966.514404296875</v>
      </c>
      <c r="D686" s="24">
        <v>2870.828125</v>
      </c>
      <c r="E686" s="24">
        <v>1375.9000244140625</v>
      </c>
      <c r="F686" s="24">
        <v>1406.0819091796875</v>
      </c>
      <c r="G686" s="24">
        <v>25108.30078125</v>
      </c>
    </row>
    <row r="687" spans="1:7" ht="15">
      <c r="A687" s="23">
        <v>45938</v>
      </c>
      <c r="B687" s="24">
        <v>1361.1068115234375</v>
      </c>
      <c r="C687" s="24">
        <v>962.7762451171875</v>
      </c>
      <c r="D687" s="24">
        <v>2922.4775390625</v>
      </c>
      <c r="E687" s="24">
        <v>1370.300048828125</v>
      </c>
      <c r="F687" s="24">
        <v>1441.2701416015625</v>
      </c>
      <c r="G687" s="24">
        <v>25046.150390625</v>
      </c>
    </row>
    <row r="688" spans="1:7" ht="15">
      <c r="A688" s="23">
        <v>45939</v>
      </c>
      <c r="B688" s="24">
        <v>1371.458984375</v>
      </c>
      <c r="C688" s="24">
        <v>961.20220947265625</v>
      </c>
      <c r="D688" s="24">
        <v>2955.7841796875</v>
      </c>
      <c r="E688" s="24">
        <v>1376.199951171875</v>
      </c>
      <c r="F688" s="24">
        <v>1455.0562744140625</v>
      </c>
      <c r="G688" s="24">
        <v>25181.80078125</v>
      </c>
    </row>
    <row r="689" spans="1:7" ht="15">
      <c r="A689" s="23">
        <v>45940</v>
      </c>
      <c r="B689" s="24">
        <v>1375.3409423828125</v>
      </c>
      <c r="C689" s="24">
        <v>964.9404296875</v>
      </c>
      <c r="D689" s="24">
        <v>2923.53955078125</v>
      </c>
      <c r="E689" s="24">
        <v>1380.300048828125</v>
      </c>
      <c r="F689" s="24">
        <v>1460.4549560546875</v>
      </c>
      <c r="G689" s="24">
        <v>25285.349609375</v>
      </c>
    </row>
    <row r="690" spans="1:7" ht="15">
      <c r="A690" s="23">
        <v>45943</v>
      </c>
      <c r="B690" s="24">
        <v>1368.671875</v>
      </c>
      <c r="C690" s="24">
        <v>961.1038818359375</v>
      </c>
      <c r="D690" s="24">
        <v>2903.169677734375</v>
      </c>
      <c r="E690" s="24">
        <v>1379.4000244140625</v>
      </c>
      <c r="F690" s="24">
        <v>1439.5347900390625</v>
      </c>
      <c r="G690" s="24">
        <v>25227.349609375</v>
      </c>
    </row>
    <row r="691" spans="1:7" ht="15">
      <c r="A691" s="23">
        <v>45944</v>
      </c>
      <c r="B691" s="24">
        <v>1369.5677490234375</v>
      </c>
      <c r="C691" s="24">
        <v>961.25146484375</v>
      </c>
      <c r="D691" s="24">
        <v>2857.89208984375</v>
      </c>
      <c r="E691" s="24">
        <v>1384.0999755859375</v>
      </c>
      <c r="F691" s="24">
        <v>1436.353515625</v>
      </c>
      <c r="G691" s="24">
        <v>25145.5</v>
      </c>
    </row>
    <row r="692" spans="1:7" ht="15">
      <c r="A692" s="23">
        <v>45945</v>
      </c>
      <c r="B692" s="24">
        <v>1367.97509765625</v>
      </c>
      <c r="C692" s="24">
        <v>962.33355712890625</v>
      </c>
      <c r="D692" s="24">
        <v>2877.756591796875</v>
      </c>
      <c r="E692" s="24">
        <v>1398.4000244140625</v>
      </c>
      <c r="F692" s="24">
        <v>1421.41064453125</v>
      </c>
      <c r="G692" s="24">
        <v>25323.55078125</v>
      </c>
    </row>
    <row r="693" spans="1:7" ht="15">
      <c r="A693" s="23">
        <v>45946</v>
      </c>
      <c r="B693" s="24">
        <v>1391.8646240234375</v>
      </c>
      <c r="C693" s="24">
        <v>978.17156982421875</v>
      </c>
      <c r="D693" s="24">
        <v>2878.628662109375</v>
      </c>
      <c r="E693" s="24">
        <v>1417.300048828125</v>
      </c>
      <c r="F693" s="24">
        <v>1418.61474609375</v>
      </c>
      <c r="G693" s="24">
        <v>25585.30078125</v>
      </c>
    </row>
    <row r="694" spans="1:7" ht="15">
      <c r="A694" s="23">
        <v>45947</v>
      </c>
      <c r="B694" s="24">
        <v>1410.279541015625</v>
      </c>
      <c r="C694" s="24">
        <v>986.2381591796875</v>
      </c>
      <c r="D694" s="24">
        <v>2870.391845703125</v>
      </c>
      <c r="E694" s="24">
        <v>1436.5999755859375</v>
      </c>
      <c r="F694" s="24">
        <v>1389.307373046875</v>
      </c>
      <c r="G694" s="24">
        <v>25709.849609375</v>
      </c>
    </row>
    <row r="695" spans="1:7" ht="15">
      <c r="A695" s="23">
        <v>45950</v>
      </c>
      <c r="B695" s="24">
        <v>1460.04931640625</v>
      </c>
      <c r="C695" s="24">
        <v>986.63165283203125</v>
      </c>
      <c r="D695" s="24">
        <v>2921.749267578125</v>
      </c>
      <c r="E695" s="24">
        <v>1390.300048828125</v>
      </c>
      <c r="F695" s="24">
        <v>1408.395751953125</v>
      </c>
      <c r="G695" s="24">
        <v>25843.150390625</v>
      </c>
    </row>
    <row r="696" spans="1:7" ht="15">
      <c r="A696" s="23">
        <v>45951</v>
      </c>
      <c r="B696" s="24">
        <v>1458.4566650390625</v>
      </c>
      <c r="C696" s="24">
        <v>991.30438232421875</v>
      </c>
      <c r="D696" s="24">
        <v>2913.512939453125</v>
      </c>
      <c r="E696" s="24">
        <v>1382</v>
      </c>
      <c r="F696" s="24">
        <v>1419.482421875</v>
      </c>
      <c r="G696" s="24">
        <v>25868.599609375</v>
      </c>
    </row>
    <row r="697" spans="1:7" ht="15">
      <c r="A697" s="23">
        <v>45953</v>
      </c>
      <c r="B697" s="24">
        <v>1441.7340087890625</v>
      </c>
      <c r="C697" s="24">
        <v>992.386474609375</v>
      </c>
      <c r="D697" s="24">
        <v>2977.951904296875</v>
      </c>
      <c r="E697" s="24">
        <v>1363.699951171875</v>
      </c>
      <c r="F697" s="24">
        <v>1473.566162109375</v>
      </c>
      <c r="G697" s="24">
        <v>25891.400390625</v>
      </c>
    </row>
    <row r="698" spans="1:7" ht="15">
      <c r="A698" s="23">
        <v>45954</v>
      </c>
      <c r="B698" s="24">
        <v>1444.9193115234375</v>
      </c>
      <c r="C698" s="24">
        <v>978.5650634765625</v>
      </c>
      <c r="D698" s="24">
        <v>2968.26171875</v>
      </c>
      <c r="E698" s="24">
        <v>1377.699951171875</v>
      </c>
      <c r="F698" s="24">
        <v>1470.57763671875</v>
      </c>
      <c r="G698" s="24">
        <v>25795.150390625</v>
      </c>
    </row>
    <row r="699" spans="1:7" ht="15">
      <c r="A699" s="23">
        <v>45957</v>
      </c>
      <c r="B699" s="24">
        <v>1477.2696533203125</v>
      </c>
      <c r="C699" s="24">
        <v>986.63165283203125</v>
      </c>
      <c r="D699" s="24">
        <v>2989.2890625</v>
      </c>
      <c r="E699" s="24">
        <v>1377.5999755859375</v>
      </c>
      <c r="F699" s="24">
        <v>1472.633056640625</v>
      </c>
      <c r="G699" s="24">
        <v>25966.05078125</v>
      </c>
    </row>
    <row r="700" spans="1:7" ht="15">
      <c r="A700" s="23">
        <v>45958</v>
      </c>
      <c r="B700" s="24">
        <v>1480.056884765625</v>
      </c>
      <c r="C700" s="24">
        <v>987.22186279296875</v>
      </c>
      <c r="D700" s="24">
        <v>2963.1259765625</v>
      </c>
      <c r="E700" s="24">
        <v>1363.0999755859375</v>
      </c>
      <c r="F700" s="24">
        <v>1468.4241943359375</v>
      </c>
      <c r="G700" s="24">
        <v>25936.19921875</v>
      </c>
    </row>
    <row r="701" spans="1:7" ht="15">
      <c r="A701" s="23">
        <v>45959</v>
      </c>
      <c r="B701" s="24">
        <v>1497.277099609375</v>
      </c>
      <c r="C701" s="24">
        <v>991.451904296875</v>
      </c>
      <c r="D701" s="24">
        <v>2962.83544921875</v>
      </c>
      <c r="E701" s="24">
        <v>1370.4000244140625</v>
      </c>
      <c r="F701" s="24">
        <v>1478.408203125</v>
      </c>
      <c r="G701" s="24">
        <v>26053.900390625</v>
      </c>
    </row>
    <row r="702" spans="1:7" ht="15">
      <c r="A702" s="23">
        <v>45960</v>
      </c>
      <c r="B702" s="24">
        <v>1481.6494140625</v>
      </c>
      <c r="C702" s="24">
        <v>981.9097900390625</v>
      </c>
      <c r="D702" s="24">
        <v>2941.226318359375</v>
      </c>
      <c r="E702" s="24">
        <v>1362.4000244140625</v>
      </c>
      <c r="F702" s="24">
        <v>1462.1597900390625</v>
      </c>
      <c r="G702" s="24">
        <v>25877.849609375</v>
      </c>
    </row>
    <row r="703" spans="1:7" ht="15">
      <c r="A703" s="23">
        <v>45961</v>
      </c>
      <c r="B703" s="24">
        <v>1479.5592041015625</v>
      </c>
      <c r="C703" s="24">
        <v>971.23626708984375</v>
      </c>
      <c r="D703" s="24">
        <v>2963.222900390625</v>
      </c>
      <c r="E703" s="24">
        <v>1345.300048828125</v>
      </c>
      <c r="F703" s="24">
        <v>1450.9034423828125</v>
      </c>
      <c r="G703" s="24">
        <v>25722.099609375</v>
      </c>
    </row>
    <row r="704" spans="1:7" ht="15">
      <c r="A704" s="23">
        <v>45964</v>
      </c>
      <c r="B704" s="24">
        <v>1477.866943359375</v>
      </c>
      <c r="C704" s="24">
        <v>976.499267578125</v>
      </c>
      <c r="D704" s="24">
        <v>2923.2998046875</v>
      </c>
      <c r="E704" s="24">
        <v>1346.4000244140625</v>
      </c>
      <c r="F704" s="24">
        <v>1454.0355224609375</v>
      </c>
      <c r="G704" s="24">
        <v>25763.349609375</v>
      </c>
    </row>
    <row r="705" spans="1:7" ht="15">
      <c r="A705" s="23">
        <v>45965</v>
      </c>
      <c r="B705" s="24">
        <v>1466.3203125</v>
      </c>
      <c r="C705" s="24">
        <v>969.21966552734375</v>
      </c>
      <c r="D705" s="24">
        <v>2897.5244140625</v>
      </c>
      <c r="E705" s="24">
        <v>1336.9000244140625</v>
      </c>
      <c r="F705" s="24">
        <v>1436.808349609375</v>
      </c>
      <c r="G705" s="24">
        <v>25597.650390625</v>
      </c>
    </row>
    <row r="706" spans="1:7" ht="15">
      <c r="A706" s="23">
        <v>45967</v>
      </c>
      <c r="B706" s="24">
        <v>1489.2144775390625</v>
      </c>
      <c r="C706" s="24">
        <v>968.62945556640625</v>
      </c>
      <c r="D706" s="24">
        <v>2917.582763671875</v>
      </c>
      <c r="E706" s="24">
        <v>1320.4000244140625</v>
      </c>
      <c r="F706" s="24">
        <v>1435.6336669921875</v>
      </c>
      <c r="G706" s="24">
        <v>25509.69921875</v>
      </c>
    </row>
    <row r="707" spans="1:7" ht="15">
      <c r="A707" s="23">
        <v>45968</v>
      </c>
      <c r="B707" s="24">
        <v>1471.19775390625</v>
      </c>
      <c r="C707" s="24">
        <v>966.317626953125</v>
      </c>
      <c r="D707" s="24">
        <v>2899.074951171875</v>
      </c>
      <c r="E707" s="24">
        <v>1343</v>
      </c>
      <c r="F707" s="24">
        <v>1445.5198974609375</v>
      </c>
      <c r="G707" s="24">
        <v>25492.30078125</v>
      </c>
    </row>
    <row r="708" spans="1:7" ht="15">
      <c r="A708" s="23">
        <v>45971</v>
      </c>
      <c r="B708" s="24">
        <v>1482.44580078125</v>
      </c>
      <c r="C708" s="24">
        <v>968.48187255859375</v>
      </c>
      <c r="D708" s="24">
        <v>2931.439453125</v>
      </c>
      <c r="E708" s="24">
        <v>1348</v>
      </c>
      <c r="F708" s="24">
        <v>1481.4425048828125</v>
      </c>
      <c r="G708" s="24">
        <v>25574.349609375</v>
      </c>
    </row>
    <row r="709" spans="1:7" ht="15">
      <c r="A709" s="23">
        <v>45972</v>
      </c>
      <c r="B709" s="24">
        <v>1486.5269775390625</v>
      </c>
      <c r="C709" s="24">
        <v>975.564697265625</v>
      </c>
      <c r="D709" s="24">
        <v>2952.56396484375</v>
      </c>
      <c r="E709" s="24">
        <v>1358.300048828125</v>
      </c>
      <c r="F709" s="24">
        <v>1497.88671875</v>
      </c>
      <c r="G709" s="24">
        <v>25694.94921875</v>
      </c>
    </row>
    <row r="710" spans="1:7" ht="15">
      <c r="A710" s="23">
        <v>45973</v>
      </c>
      <c r="B710" s="24">
        <v>1504.5435791015625</v>
      </c>
      <c r="C710" s="24">
        <v>973.4005126953125</v>
      </c>
      <c r="D710" s="24">
        <v>3034.735595703125</v>
      </c>
      <c r="E710" s="24">
        <v>1358.9000244140625</v>
      </c>
      <c r="F710" s="24">
        <v>1518.8333740234375</v>
      </c>
      <c r="G710" s="24">
        <v>25875.80078125</v>
      </c>
    </row>
    <row r="711" spans="1:7" ht="15">
      <c r="A711" s="23">
        <v>45974</v>
      </c>
      <c r="B711" s="24">
        <v>1503.9464111328125</v>
      </c>
      <c r="C711" s="24">
        <v>970.596923828125</v>
      </c>
      <c r="D711" s="24">
        <v>3009.444580078125</v>
      </c>
      <c r="E711" s="24">
        <v>1385.9000244140625</v>
      </c>
      <c r="F711" s="24">
        <v>1509.14306640625</v>
      </c>
      <c r="G711" s="24">
        <v>25879.150390625</v>
      </c>
    </row>
    <row r="712" spans="1:7" ht="15">
      <c r="A712" s="23">
        <v>45975</v>
      </c>
      <c r="B712" s="24">
        <v>1511.9095458984375</v>
      </c>
      <c r="C712" s="24">
        <v>973.49884033203125</v>
      </c>
      <c r="D712" s="24">
        <v>3009.7353515625</v>
      </c>
      <c r="E712" s="24">
        <v>1373</v>
      </c>
      <c r="F712" s="24">
        <v>1470.9691162109375</v>
      </c>
      <c r="G712" s="24">
        <v>25910.05078125</v>
      </c>
    </row>
    <row r="713" spans="1:7" ht="15">
      <c r="A713" s="23">
        <v>45978</v>
      </c>
      <c r="B713" s="24">
        <v>1511.3123779296875</v>
      </c>
      <c r="C713" s="24">
        <v>980.33575439453125</v>
      </c>
      <c r="D713" s="24">
        <v>3006.052978515625</v>
      </c>
      <c r="E713" s="24">
        <v>1379</v>
      </c>
      <c r="F713" s="24">
        <v>1475.66748046875</v>
      </c>
      <c r="G713" s="24">
        <v>26013.44921875</v>
      </c>
    </row>
    <row r="714" spans="1:7" ht="15">
      <c r="A714" s="23">
        <v>45979</v>
      </c>
      <c r="B714" s="24">
        <v>1512.4072265625</v>
      </c>
      <c r="C714" s="24">
        <v>976.302490234375</v>
      </c>
      <c r="D714" s="24">
        <v>2991.421142578125</v>
      </c>
      <c r="E714" s="24">
        <v>1373.4000244140625</v>
      </c>
      <c r="F714" s="24">
        <v>1454.91650390625</v>
      </c>
      <c r="G714" s="24">
        <v>25910.05078125</v>
      </c>
    </row>
    <row r="715" spans="1:7" ht="15">
      <c r="A715" s="23">
        <v>45980</v>
      </c>
      <c r="B715" s="24">
        <v>1511.9095458984375</v>
      </c>
      <c r="C715" s="24">
        <v>978.41748046875</v>
      </c>
      <c r="D715" s="24">
        <v>3050.142822265625</v>
      </c>
      <c r="E715" s="24">
        <v>1383.0999755859375</v>
      </c>
      <c r="F715" s="24">
        <v>1508.4578857421875</v>
      </c>
      <c r="G715" s="24">
        <v>26052.650390625</v>
      </c>
    </row>
    <row r="716" spans="1:7" ht="15">
      <c r="A716" s="23">
        <v>45981</v>
      </c>
      <c r="B716" s="24">
        <v>1541.9705810546875</v>
      </c>
      <c r="C716" s="24">
        <v>992.4356689453125</v>
      </c>
      <c r="D716" s="24">
        <v>3047.3330078125</v>
      </c>
      <c r="E716" s="24">
        <v>1383</v>
      </c>
      <c r="F716" s="24">
        <v>1503.955322265625</v>
      </c>
      <c r="G716" s="24">
        <v>26192.150390625</v>
      </c>
    </row>
    <row r="717" spans="1:7" ht="15">
      <c r="A717" s="23">
        <v>45982</v>
      </c>
      <c r="B717" s="24">
        <v>1539.4820556640625</v>
      </c>
      <c r="C717" s="24">
        <v>981.8114013671875</v>
      </c>
      <c r="D717" s="24">
        <v>3052.952880859375</v>
      </c>
      <c r="E717" s="24">
        <v>1369.5</v>
      </c>
      <c r="F717" s="24">
        <v>1512.2752685546875</v>
      </c>
      <c r="G717" s="24">
        <v>26068.150390625</v>
      </c>
    </row>
    <row r="718" spans="1:7" ht="15">
      <c r="A718" s="23">
        <v>45985</v>
      </c>
      <c r="B718" s="24">
        <v>1528.831298828125</v>
      </c>
      <c r="C718" s="24">
        <v>982.89349365234375</v>
      </c>
      <c r="D718" s="24">
        <v>3043.84423828125</v>
      </c>
      <c r="E718" s="24">
        <v>1368.4000244140625</v>
      </c>
      <c r="F718" s="24">
        <v>1515.2117919921875</v>
      </c>
      <c r="G718" s="24">
        <v>25959.5</v>
      </c>
    </row>
    <row r="719" spans="1:7" ht="15">
      <c r="A719" s="23">
        <v>45986</v>
      </c>
      <c r="B719" s="24">
        <v>1532.61376953125</v>
      </c>
      <c r="C719" s="24">
        <v>973.69561767578125</v>
      </c>
      <c r="D719" s="24">
        <v>3022.526123046875</v>
      </c>
      <c r="E719" s="24">
        <v>1357.800048828125</v>
      </c>
      <c r="F719" s="24">
        <v>1498.1802978515625</v>
      </c>
      <c r="G719" s="24">
        <v>25884.80078125</v>
      </c>
    </row>
    <row r="720" spans="1:7" ht="15">
      <c r="A720" s="23">
        <v>45987</v>
      </c>
      <c r="B720" s="24">
        <v>1562.6748046875</v>
      </c>
      <c r="C720" s="24">
        <v>987.56622314453125</v>
      </c>
      <c r="D720" s="24">
        <v>3064.87158203125</v>
      </c>
      <c r="E720" s="24">
        <v>1375</v>
      </c>
      <c r="F720" s="24">
        <v>1524.902099609375</v>
      </c>
      <c r="G720" s="24">
        <v>26205.30078125</v>
      </c>
    </row>
    <row r="721" spans="1:7" ht="15">
      <c r="A721" s="23">
        <v>45988</v>
      </c>
      <c r="B721" s="24">
        <v>1556.2047119140625</v>
      </c>
      <c r="C721" s="24">
        <v>993.0750732421875</v>
      </c>
      <c r="D721" s="24">
        <v>3039.386962890625</v>
      </c>
      <c r="E721" s="24">
        <v>1392.199951171875</v>
      </c>
      <c r="F721" s="24">
        <v>1533.2220458984375</v>
      </c>
      <c r="G721" s="24">
        <v>26215.55078125</v>
      </c>
    </row>
    <row r="722" spans="1:7" ht="15">
      <c r="A722" s="23">
        <v>45989</v>
      </c>
      <c r="B722" s="24">
        <v>1560.285888671875</v>
      </c>
      <c r="C722" s="24">
        <v>991.20599365234375</v>
      </c>
      <c r="D722" s="24">
        <v>3040.2587890625</v>
      </c>
      <c r="E722" s="24">
        <v>1388.800048828125</v>
      </c>
      <c r="F722" s="24">
        <v>1527.055419921875</v>
      </c>
      <c r="G722" s="24">
        <v>26202.94921875</v>
      </c>
    </row>
    <row r="723" spans="1:7" ht="15">
      <c r="A723" s="23">
        <v>45992</v>
      </c>
      <c r="B723" s="24">
        <v>1558.892333984375</v>
      </c>
      <c r="C723" s="24">
        <v>985.79547119140625</v>
      </c>
      <c r="D723" s="24">
        <v>3036.285888671875</v>
      </c>
      <c r="E723" s="24">
        <v>1390.0999755859375</v>
      </c>
      <c r="F723" s="24">
        <v>1530.872802734375</v>
      </c>
      <c r="G723" s="24">
        <v>26175.75</v>
      </c>
    </row>
    <row r="724" spans="1:7" ht="15">
      <c r="A724" s="23">
        <v>45993</v>
      </c>
      <c r="B724" s="24">
        <v>1539.1834716796875</v>
      </c>
      <c r="C724" s="24">
        <v>973.69561767578125</v>
      </c>
      <c r="D724" s="24">
        <v>3038.5146484375</v>
      </c>
      <c r="E724" s="24">
        <v>1373</v>
      </c>
      <c r="F724" s="24">
        <v>1527.9364013671875</v>
      </c>
      <c r="G724" s="24">
        <v>26032.19921875</v>
      </c>
    </row>
    <row r="725" spans="1:7" ht="15">
      <c r="A725" s="23">
        <v>45994</v>
      </c>
      <c r="B725" s="24">
        <v>1531.718017578125</v>
      </c>
      <c r="C725" s="24">
        <v>984.22149658203125</v>
      </c>
      <c r="D725" s="24">
        <v>3081.441650390625</v>
      </c>
      <c r="E725" s="24">
        <v>1391.5</v>
      </c>
      <c r="F725" s="24">
        <v>1545.261474609375</v>
      </c>
      <c r="G725" s="24">
        <v>25986</v>
      </c>
    </row>
    <row r="726" spans="1:7" ht="15">
      <c r="A726" s="23">
        <v>45995</v>
      </c>
      <c r="B726" s="24">
        <v>1528.53271484375</v>
      </c>
      <c r="C726" s="24">
        <v>980.9752197265625</v>
      </c>
      <c r="D726" s="24">
        <v>3129.11669921875</v>
      </c>
      <c r="E726" s="24">
        <v>1386.699951171875</v>
      </c>
      <c r="F726" s="24">
        <v>1563.7611083984375</v>
      </c>
      <c r="G726" s="24">
        <v>26033.75</v>
      </c>
    </row>
    <row r="727" spans="1:7" ht="15">
      <c r="A727" s="23">
        <v>45996</v>
      </c>
      <c r="B727" s="24">
        <v>1533.5096435546875</v>
      </c>
      <c r="C727" s="24">
        <v>986.9759521484375</v>
      </c>
      <c r="D727" s="24">
        <v>3137.837890625</v>
      </c>
      <c r="E727" s="24">
        <v>1392.5</v>
      </c>
      <c r="F727" s="24">
        <v>1581.9671630859375</v>
      </c>
      <c r="G727" s="24">
        <v>26186.44921875</v>
      </c>
    </row>
    <row r="728" spans="1:7" ht="15">
      <c r="A728" s="23">
        <v>45999</v>
      </c>
      <c r="B728" s="24">
        <v>1535.898681640625</v>
      </c>
      <c r="C728" s="24">
        <v>986.7791748046875</v>
      </c>
      <c r="D728" s="24">
        <v>3136.190673828125</v>
      </c>
      <c r="E728" s="24">
        <v>1389.5999755859375</v>
      </c>
      <c r="F728" s="24">
        <v>1576.681640625</v>
      </c>
      <c r="G728" s="24">
        <v>25960.55078125</v>
      </c>
    </row>
    <row r="729" spans="1:7" ht="15">
      <c r="A729" s="23">
        <v>46000</v>
      </c>
      <c r="B729" s="24">
        <v>1522.3612060546875</v>
      </c>
      <c r="C729" s="24">
        <v>980.8768310546875</v>
      </c>
      <c r="D729" s="24">
        <v>3108.86474609375</v>
      </c>
      <c r="E729" s="24">
        <v>1375.199951171875</v>
      </c>
      <c r="F729" s="24">
        <v>1565.1314697265625</v>
      </c>
      <c r="G729" s="24">
        <v>25839.650390625</v>
      </c>
    </row>
    <row r="730" spans="1:7" ht="15">
      <c r="A730" s="23">
        <v>46001</v>
      </c>
      <c r="B730" s="24">
        <v>1529.8267822265625</v>
      </c>
      <c r="C730" s="24">
        <v>973.69561767578125</v>
      </c>
      <c r="D730" s="24">
        <v>3090.356689453125</v>
      </c>
      <c r="E730" s="24">
        <v>1363.5999755859375</v>
      </c>
      <c r="F730" s="24">
        <v>1551.2322998046875</v>
      </c>
      <c r="G730" s="24">
        <v>25758</v>
      </c>
    </row>
    <row r="731" spans="1:7" ht="15">
      <c r="A731" s="23">
        <v>46002</v>
      </c>
      <c r="B731" s="24">
        <v>1537.889404296875</v>
      </c>
      <c r="C731" s="24">
        <v>984.0247802734375</v>
      </c>
      <c r="D731" s="24">
        <v>3092.972900390625</v>
      </c>
      <c r="E731" s="24">
        <v>1360</v>
      </c>
      <c r="F731" s="24">
        <v>1564.1527099609375</v>
      </c>
      <c r="G731" s="24">
        <v>25898.55078125</v>
      </c>
    </row>
    <row r="732" spans="1:7" ht="15">
      <c r="A732" s="23">
        <v>46003</v>
      </c>
      <c r="B732" s="24">
        <v>1549.3365478515625</v>
      </c>
      <c r="C732" s="24">
        <v>985.20526123046875</v>
      </c>
      <c r="D732" s="24">
        <v>3120.6865234375</v>
      </c>
      <c r="E732" s="24">
        <v>1366</v>
      </c>
      <c r="F732" s="24">
        <v>1564.348388671875</v>
      </c>
      <c r="G732" s="24">
        <v>26046.94921875</v>
      </c>
    </row>
    <row r="733" spans="1:7" ht="15">
      <c r="A733" s="23">
        <v>46006</v>
      </c>
      <c r="B733" s="24">
        <v>1549.037841796875</v>
      </c>
      <c r="C733" s="24">
        <v>979.89306640625</v>
      </c>
      <c r="D733" s="24">
        <v>3130.0859375</v>
      </c>
      <c r="E733" s="24">
        <v>1365.199951171875</v>
      </c>
      <c r="F733" s="24">
        <v>1572.766357421875</v>
      </c>
      <c r="G733" s="24">
        <v>26027.30078125</v>
      </c>
    </row>
    <row r="734" spans="1:7" ht="15">
      <c r="A734" s="23">
        <v>46007</v>
      </c>
      <c r="B734" s="24">
        <v>1535.201904296875</v>
      </c>
      <c r="C734" s="24">
        <v>978.12237548828125</v>
      </c>
      <c r="D734" s="24">
        <v>3105.763916015625</v>
      </c>
      <c r="E734" s="24">
        <v>1366</v>
      </c>
      <c r="F734" s="24">
        <v>1559.1607666015625</v>
      </c>
      <c r="G734" s="24">
        <v>25860.099609375</v>
      </c>
    </row>
    <row r="735" spans="1:7" ht="15">
      <c r="A735" s="23">
        <v>46008</v>
      </c>
      <c r="B735" s="24">
        <v>1537.292236328125</v>
      </c>
      <c r="C735" s="24">
        <v>967.989990234375</v>
      </c>
      <c r="D735" s="24">
        <v>3118.0703125</v>
      </c>
      <c r="E735" s="24">
        <v>1352.4000244140625</v>
      </c>
      <c r="F735" s="24">
        <v>1568.0679931640625</v>
      </c>
      <c r="G735" s="24">
        <v>25818.55078125</v>
      </c>
    </row>
    <row r="736" spans="1:7" ht="15">
      <c r="A736" s="23">
        <v>46009</v>
      </c>
      <c r="B736" s="24">
        <v>1537.292236328125</v>
      </c>
      <c r="C736" s="24">
        <v>963.75994873046875</v>
      </c>
      <c r="D736" s="24">
        <v>3179.117919921875</v>
      </c>
      <c r="E736" s="24">
        <v>1356.800048828125</v>
      </c>
      <c r="F736" s="24">
        <v>1592.3427734375</v>
      </c>
      <c r="G736" s="24">
        <v>25815.55078125</v>
      </c>
    </row>
    <row r="737" spans="1:7" ht="15">
      <c r="A737" s="23">
        <v>46010</v>
      </c>
      <c r="B737" s="24">
        <v>1557.8968505859375</v>
      </c>
      <c r="C737" s="24">
        <v>969.465576171875</v>
      </c>
      <c r="D737" s="24">
        <v>3180.280517578125</v>
      </c>
      <c r="E737" s="24">
        <v>1354.0999755859375</v>
      </c>
      <c r="F737" s="24">
        <v>1603.9906005859375</v>
      </c>
      <c r="G737" s="24">
        <v>25966.400390625</v>
      </c>
    </row>
    <row r="738" spans="1:7" ht="15">
      <c r="A738" s="23">
        <v>46013</v>
      </c>
      <c r="B738" s="24">
        <v>1568.1495361328125</v>
      </c>
      <c r="C738" s="24">
        <v>971.62982177734375</v>
      </c>
      <c r="D738" s="24">
        <v>3221.850830078125</v>
      </c>
      <c r="E738" s="24">
        <v>1368.5</v>
      </c>
      <c r="F738" s="24">
        <v>1653.8125</v>
      </c>
      <c r="G738" s="24">
        <v>26172.400390625</v>
      </c>
    </row>
    <row r="739" spans="1:7" ht="15">
      <c r="A739" s="23">
        <v>46014</v>
      </c>
      <c r="B739" s="24">
        <v>1563.4710693359375</v>
      </c>
      <c r="C739" s="24">
        <v>980.38494873046875</v>
      </c>
      <c r="D739" s="24">
        <v>3207.41259765625</v>
      </c>
      <c r="E739" s="24">
        <v>1363</v>
      </c>
      <c r="F739" s="24">
        <v>1632.9637451171875</v>
      </c>
      <c r="G739" s="24">
        <v>26177.150390625</v>
      </c>
    </row>
    <row r="740" spans="1:7" ht="15">
      <c r="A740" s="23">
        <v>46015</v>
      </c>
      <c r="B740" s="24">
        <v>1551.0286865234375</v>
      </c>
      <c r="C740" s="24">
        <v>980.9752197265625</v>
      </c>
      <c r="D740" s="24">
        <v>3216.1337890625</v>
      </c>
      <c r="E740" s="24">
        <v>1359.800048828125</v>
      </c>
      <c r="F740" s="24">
        <v>1628.16748046875</v>
      </c>
      <c r="G740" s="24">
        <v>26142.099609375</v>
      </c>
    </row>
    <row r="741" spans="1:7" ht="15">
      <c r="A741" s="23">
        <v>46017</v>
      </c>
      <c r="B741" s="24">
        <v>1552.0240478515625</v>
      </c>
      <c r="C741" s="24">
        <v>975.95819091796875</v>
      </c>
      <c r="D741" s="24">
        <v>3178.342529296875</v>
      </c>
      <c r="E741" s="24">
        <v>1350.4000244140625</v>
      </c>
      <c r="F741" s="24">
        <v>1621.0220947265625</v>
      </c>
      <c r="G741" s="24">
        <v>26042.30078125</v>
      </c>
    </row>
    <row r="742" spans="1:7" ht="15">
      <c r="A742" s="23">
        <v>46020</v>
      </c>
      <c r="B742" s="24">
        <v>1538.4866943359375</v>
      </c>
      <c r="C742" s="24">
        <v>975.564697265625</v>
      </c>
      <c r="D742" s="24">
        <v>3150.7255859375</v>
      </c>
      <c r="E742" s="24">
        <v>1343.300048828125</v>
      </c>
      <c r="F742" s="24">
        <v>1609.863525390625</v>
      </c>
      <c r="G742" s="24">
        <v>25942.099609375</v>
      </c>
    </row>
    <row r="743" spans="1:7" ht="15">
      <c r="A743" s="23">
        <v>46021</v>
      </c>
      <c r="B743" s="24">
        <v>1532.71337890625</v>
      </c>
      <c r="C743" s="24">
        <v>974.77777099609375</v>
      </c>
      <c r="D743" s="24">
        <v>3146.17138671875</v>
      </c>
      <c r="E743" s="24">
        <v>1342.5</v>
      </c>
      <c r="F743" s="24">
        <v>1587.2528076171875</v>
      </c>
      <c r="G743" s="24">
        <v>25938.849609375</v>
      </c>
    </row>
    <row r="744" spans="1:7" ht="15">
      <c r="A744" s="23">
        <v>46022</v>
      </c>
      <c r="B744" s="24">
        <v>1563.172607421875</v>
      </c>
      <c r="C744" s="24">
        <v>975.0728759765625</v>
      </c>
      <c r="D744" s="24">
        <v>3106.82958984375</v>
      </c>
      <c r="E744" s="24">
        <v>1342.9000244140625</v>
      </c>
      <c r="F744" s="24">
        <v>1581.1842041015625</v>
      </c>
      <c r="G744" s="24">
        <v>26129.599609375</v>
      </c>
    </row>
    <row r="745" spans="1:7" ht="15">
      <c r="A745" s="23"/>
      <c r="B745" s="24"/>
      <c r="C745" s="24"/>
      <c r="D745" s="24"/>
      <c r="E745" s="24"/>
      <c r="F745" s="24"/>
      <c r="G745" s="24"/>
    </row>
    <row r="746" spans="1:7" ht="15">
      <c r="A746" s="23"/>
      <c r="B746" s="24"/>
      <c r="C746" s="24"/>
      <c r="D746" s="24"/>
      <c r="E746" s="24"/>
      <c r="F746" s="24"/>
      <c r="G746" s="24"/>
    </row>
    <row r="747" spans="1:7" ht="15">
      <c r="A747" s="23"/>
      <c r="B747" s="24"/>
      <c r="C747" s="24"/>
      <c r="D747" s="24"/>
      <c r="E747" s="24"/>
      <c r="F747" s="24"/>
      <c r="G747" s="24"/>
    </row>
    <row r="748" spans="1:7" ht="15">
      <c r="A748" s="23"/>
      <c r="B748" s="24"/>
      <c r="C748" s="24"/>
      <c r="D748" s="24"/>
      <c r="E748" s="24"/>
      <c r="F748" s="24"/>
      <c r="G748" s="24"/>
    </row>
    <row r="749" spans="1:7" ht="15">
      <c r="A749" s="23"/>
      <c r="B749" s="24"/>
      <c r="C749" s="24"/>
      <c r="D749" s="24"/>
      <c r="E749" s="24"/>
      <c r="F749" s="24"/>
      <c r="G749" s="24"/>
    </row>
    <row r="750" spans="1:7" ht="15">
      <c r="A750" s="23"/>
      <c r="B750" s="24"/>
      <c r="C750" s="24"/>
      <c r="D750" s="24"/>
      <c r="E750" s="24"/>
      <c r="F750" s="24"/>
      <c r="G750" s="24"/>
    </row>
    <row r="751" spans="1:7" ht="15">
      <c r="A751" s="23"/>
      <c r="B751" s="24"/>
      <c r="C751" s="24"/>
      <c r="D751" s="24"/>
      <c r="E751" s="24"/>
      <c r="F751" s="24"/>
      <c r="G751" s="24"/>
    </row>
    <row r="752" spans="1:7" ht="15">
      <c r="A752" s="23"/>
      <c r="B752" s="24"/>
      <c r="C752" s="24"/>
      <c r="D752" s="24"/>
      <c r="E752" s="24"/>
      <c r="F752" s="24"/>
      <c r="G752" s="24"/>
    </row>
    <row r="753" spans="1:7" ht="15">
      <c r="A753" s="23"/>
      <c r="B753" s="24"/>
      <c r="C753" s="24"/>
      <c r="D753" s="24"/>
      <c r="E753" s="24"/>
      <c r="F753" s="24"/>
      <c r="G753" s="24"/>
    </row>
    <row r="754" spans="1:7" ht="15">
      <c r="A754" s="23"/>
      <c r="B754" s="24"/>
      <c r="C754" s="24"/>
      <c r="D754" s="24"/>
      <c r="E754" s="24"/>
      <c r="F754" s="24"/>
      <c r="G754" s="24"/>
    </row>
    <row r="755" spans="1:7" ht="15">
      <c r="A755" s="23"/>
      <c r="B755" s="24"/>
      <c r="C755" s="24"/>
      <c r="D755" s="24"/>
      <c r="E755" s="24"/>
      <c r="F755" s="24"/>
      <c r="G755" s="24"/>
    </row>
    <row r="756" spans="1:7" ht="15">
      <c r="A756" s="23"/>
      <c r="B756" s="24"/>
      <c r="C756" s="24"/>
      <c r="D756" s="24"/>
      <c r="E756" s="24"/>
      <c r="F756" s="24"/>
      <c r="G756" s="24"/>
    </row>
    <row r="757" spans="1:7" ht="15">
      <c r="A757" s="23"/>
      <c r="B757" s="24"/>
      <c r="C757" s="24"/>
      <c r="D757" s="24"/>
      <c r="E757" s="24"/>
      <c r="F757" s="24"/>
      <c r="G757" s="24"/>
    </row>
    <row r="758" spans="1:7" ht="15">
      <c r="A758" s="23"/>
      <c r="B758" s="24"/>
      <c r="C758" s="24"/>
      <c r="D758" s="24"/>
      <c r="E758" s="24"/>
      <c r="F758" s="24"/>
      <c r="G758" s="24"/>
    </row>
    <row r="759" spans="1:7" ht="15">
      <c r="A759" s="23"/>
      <c r="B759" s="24"/>
      <c r="C759" s="24"/>
      <c r="D759" s="24"/>
      <c r="E759" s="24"/>
      <c r="F759" s="24"/>
      <c r="G759" s="24"/>
    </row>
    <row r="760" spans="1:7" ht="15">
      <c r="A760" s="23"/>
      <c r="B760" s="24"/>
      <c r="C760" s="24"/>
      <c r="D760" s="24"/>
      <c r="E760" s="24"/>
      <c r="F760" s="24"/>
      <c r="G760" s="24"/>
    </row>
    <row r="761" spans="1:7" ht="15">
      <c r="A761" s="23"/>
      <c r="B761" s="24"/>
      <c r="C761" s="24"/>
      <c r="D761" s="24"/>
      <c r="E761" s="24"/>
      <c r="F761" s="24"/>
      <c r="G761" s="24"/>
    </row>
    <row r="762" spans="1:7" ht="15">
      <c r="A762" s="23"/>
      <c r="B762" s="24"/>
      <c r="C762" s="24"/>
      <c r="D762" s="24"/>
      <c r="E762" s="24"/>
      <c r="F762" s="24"/>
      <c r="G762" s="24"/>
    </row>
    <row r="763" spans="1:7" ht="15">
      <c r="A763" s="23"/>
      <c r="B763" s="24"/>
      <c r="C763" s="24"/>
      <c r="D763" s="24"/>
      <c r="E763" s="24"/>
      <c r="F763" s="24"/>
      <c r="G763" s="24"/>
    </row>
    <row r="764" spans="1:7" ht="15">
      <c r="A764" s="23"/>
      <c r="B764" s="24"/>
      <c r="C764" s="24"/>
      <c r="D764" s="24"/>
      <c r="E764" s="24"/>
      <c r="F764" s="24"/>
      <c r="G764" s="24"/>
    </row>
    <row r="765" spans="1:7" ht="15">
      <c r="A765" s="23"/>
      <c r="B765" s="24"/>
      <c r="C765" s="24"/>
      <c r="D765" s="24"/>
      <c r="E765" s="24"/>
      <c r="F765" s="24"/>
      <c r="G765" s="24"/>
    </row>
    <row r="766" spans="1:7" ht="15">
      <c r="A766" s="23"/>
      <c r="B766" s="24"/>
      <c r="C766" s="24"/>
      <c r="D766" s="24"/>
      <c r="E766" s="24"/>
      <c r="F766" s="24"/>
      <c r="G766" s="24"/>
    </row>
    <row r="767" spans="1:7" ht="15">
      <c r="A767" s="23"/>
      <c r="B767" s="24"/>
      <c r="C767" s="24"/>
      <c r="D767" s="24"/>
      <c r="E767" s="24"/>
      <c r="F767" s="24"/>
      <c r="G767" s="24"/>
    </row>
    <row r="768" spans="1:7" ht="15">
      <c r="A768" s="23"/>
      <c r="B768" s="24"/>
      <c r="C768" s="24"/>
      <c r="D768" s="24"/>
      <c r="E768" s="24"/>
      <c r="F768" s="24"/>
      <c r="G768" s="24"/>
    </row>
    <row r="769" spans="1:7" ht="15">
      <c r="A769" s="23"/>
      <c r="B769" s="24"/>
      <c r="C769" s="24"/>
      <c r="D769" s="24"/>
      <c r="E769" s="24"/>
      <c r="F769" s="24"/>
      <c r="G769" s="24"/>
    </row>
    <row r="770" spans="1:7" ht="15">
      <c r="A770" s="23"/>
      <c r="B770" s="24"/>
      <c r="C770" s="24"/>
      <c r="D770" s="24"/>
      <c r="E770" s="24"/>
      <c r="F770" s="24"/>
      <c r="G770" s="24"/>
    </row>
    <row r="771" spans="1:7" ht="15">
      <c r="A771" s="23"/>
      <c r="B771" s="24"/>
      <c r="C771" s="24"/>
      <c r="D771" s="24"/>
      <c r="E771" s="24"/>
      <c r="F771" s="24"/>
      <c r="G771" s="24"/>
    </row>
    <row r="772" spans="1:7" ht="15">
      <c r="A772" s="23"/>
      <c r="B772" s="24"/>
      <c r="C772" s="24"/>
      <c r="D772" s="24"/>
      <c r="E772" s="24"/>
      <c r="F772" s="24"/>
      <c r="G772" s="24"/>
    </row>
    <row r="773" spans="1:7" ht="15">
      <c r="A773" s="23"/>
      <c r="B773" s="24"/>
      <c r="C773" s="24"/>
      <c r="D773" s="24"/>
      <c r="E773" s="24"/>
      <c r="F773" s="24"/>
      <c r="G773" s="24"/>
    </row>
    <row r="774" spans="1:7" ht="15">
      <c r="A774" s="23"/>
      <c r="B774" s="24"/>
      <c r="C774" s="24"/>
      <c r="D774" s="24"/>
      <c r="E774" s="24"/>
      <c r="F774" s="24"/>
      <c r="G774" s="24"/>
    </row>
    <row r="775" spans="1:7" ht="15">
      <c r="A775" s="23"/>
      <c r="B775" s="24"/>
      <c r="C775" s="24"/>
      <c r="D775" s="24"/>
      <c r="E775" s="24"/>
      <c r="F775" s="24"/>
      <c r="G775" s="24"/>
    </row>
    <row r="776" spans="1:7" ht="15">
      <c r="A776" s="23"/>
      <c r="B776" s="24"/>
      <c r="C776" s="24"/>
      <c r="D776" s="24"/>
      <c r="E776" s="24"/>
      <c r="F776" s="24"/>
      <c r="G776" s="24"/>
    </row>
    <row r="777" spans="1:7" ht="15">
      <c r="A777" s="23"/>
      <c r="B777" s="24"/>
      <c r="C777" s="24"/>
      <c r="D777" s="24"/>
      <c r="E777" s="24"/>
      <c r="F777" s="24"/>
      <c r="G777" s="24"/>
    </row>
    <row r="778" spans="1:7" ht="15">
      <c r="A778" s="23"/>
      <c r="B778" s="24"/>
      <c r="C778" s="24"/>
      <c r="D778" s="24"/>
      <c r="E778" s="24"/>
      <c r="F778" s="24"/>
      <c r="G778" s="24"/>
    </row>
    <row r="779" spans="1:7" ht="15">
      <c r="A779" s="23"/>
      <c r="B779" s="24"/>
      <c r="C779" s="24"/>
      <c r="D779" s="24"/>
      <c r="E779" s="24"/>
      <c r="F779" s="24"/>
      <c r="G779" s="24"/>
    </row>
    <row r="780" spans="1:7" ht="15">
      <c r="A780" s="23"/>
      <c r="B780" s="24"/>
      <c r="C780" s="24"/>
      <c r="D780" s="24"/>
      <c r="E780" s="24"/>
      <c r="F780" s="24"/>
      <c r="G780" s="24"/>
    </row>
    <row r="781" spans="1:7" ht="15">
      <c r="A781" s="23"/>
      <c r="B781" s="24"/>
      <c r="C781" s="24"/>
      <c r="D781" s="24"/>
      <c r="E781" s="24"/>
      <c r="F781" s="24"/>
      <c r="G781" s="24"/>
    </row>
    <row r="782" spans="1:7" ht="15">
      <c r="A782" s="23"/>
      <c r="B782" s="24"/>
      <c r="C782" s="24"/>
      <c r="D782" s="24"/>
      <c r="E782" s="24"/>
      <c r="F782" s="24"/>
      <c r="G782" s="24"/>
    </row>
    <row r="783" spans="1:7" ht="15">
      <c r="A783" s="23"/>
      <c r="B783" s="24"/>
      <c r="C783" s="24"/>
      <c r="D783" s="24"/>
      <c r="E783" s="24"/>
      <c r="F783" s="24"/>
      <c r="G783" s="24"/>
    </row>
    <row r="784" spans="1:7" ht="15">
      <c r="A784" s="23"/>
      <c r="B784" s="24"/>
      <c r="C784" s="24"/>
      <c r="D784" s="24"/>
      <c r="E784" s="24"/>
      <c r="F784" s="24"/>
      <c r="G784" s="24"/>
    </row>
    <row r="785" spans="1:7" ht="15">
      <c r="A785" s="23"/>
      <c r="B785" s="24"/>
      <c r="C785" s="24"/>
      <c r="D785" s="24"/>
      <c r="E785" s="24"/>
      <c r="F785" s="24"/>
      <c r="G785" s="24"/>
    </row>
    <row r="786" spans="1:7" ht="15">
      <c r="A786" s="23"/>
      <c r="B786" s="24"/>
      <c r="C786" s="24"/>
      <c r="D786" s="24"/>
      <c r="E786" s="24"/>
      <c r="F786" s="24"/>
      <c r="G786" s="24"/>
    </row>
    <row r="787" spans="1:7" ht="15">
      <c r="A787" s="23"/>
      <c r="B787" s="24"/>
      <c r="C787" s="24"/>
      <c r="D787" s="24"/>
      <c r="E787" s="24"/>
      <c r="F787" s="24"/>
      <c r="G787" s="24"/>
    </row>
    <row r="788" spans="1:7" ht="15">
      <c r="A788" s="3"/>
      <c r="B788" s="3"/>
      <c r="C788" s="3"/>
      <c r="D788" s="3"/>
      <c r="E788" s="3"/>
      <c r="F788" s="3"/>
      <c r="G788" s="3"/>
    </row>
    <row r="789" spans="1:7" ht="15">
      <c r="A789" s="3"/>
      <c r="B789" s="3"/>
      <c r="C789" s="3"/>
      <c r="D789" s="3"/>
      <c r="E789" s="3"/>
      <c r="F789" s="3"/>
      <c r="G789" s="3"/>
    </row>
    <row r="790" spans="1:7" ht="15">
      <c r="A790" s="3"/>
      <c r="B790" s="3"/>
      <c r="C790" s="3"/>
      <c r="D790" s="3"/>
      <c r="E790" s="3"/>
      <c r="F790" s="3"/>
      <c r="G790" s="3"/>
    </row>
    <row r="791" spans="1:7" ht="15">
      <c r="A791" s="3"/>
      <c r="B791" s="3"/>
      <c r="C791" s="3"/>
      <c r="D791" s="3"/>
      <c r="E791" s="3"/>
      <c r="F791" s="3"/>
      <c r="G791" s="3"/>
    </row>
    <row r="792" spans="1:7" ht="15">
      <c r="A792" s="3"/>
      <c r="B792" s="3"/>
      <c r="C792" s="3"/>
      <c r="D792" s="3"/>
      <c r="E792" s="3"/>
      <c r="F792" s="3"/>
      <c r="G792" s="3"/>
    </row>
    <row r="793" spans="1:7" ht="15">
      <c r="A793" s="3"/>
      <c r="B793" s="3"/>
      <c r="C793" s="3"/>
      <c r="D793" s="3"/>
      <c r="E793" s="3"/>
      <c r="F793" s="3"/>
      <c r="G793" s="3"/>
    </row>
    <row r="794" spans="1:7" ht="15">
      <c r="A794" s="3"/>
      <c r="B794" s="3"/>
      <c r="C794" s="3"/>
      <c r="D794" s="3"/>
      <c r="E794" s="3"/>
      <c r="F794" s="3"/>
      <c r="G794" s="3"/>
    </row>
    <row r="795" spans="1:7" ht="15">
      <c r="A795" s="3"/>
      <c r="B795" s="3"/>
      <c r="C795" s="3"/>
      <c r="D795" s="3"/>
      <c r="E795" s="3"/>
      <c r="F795" s="3"/>
      <c r="G795" s="3"/>
    </row>
    <row r="796" spans="1:7" ht="15">
      <c r="A796" s="3"/>
      <c r="B796" s="3"/>
      <c r="C796" s="3"/>
      <c r="D796" s="3"/>
      <c r="E796" s="3"/>
      <c r="F796" s="3"/>
      <c r="G796" s="3"/>
    </row>
    <row r="797" spans="1:7" ht="15">
      <c r="A797" s="3"/>
      <c r="B797" s="3"/>
      <c r="C797" s="3"/>
      <c r="D797" s="3"/>
      <c r="E797" s="3"/>
      <c r="F797" s="3"/>
      <c r="G797" s="3"/>
    </row>
    <row r="798" spans="1:7" ht="15">
      <c r="A798" s="3"/>
      <c r="B798" s="3"/>
      <c r="C798" s="3"/>
      <c r="D798" s="3"/>
      <c r="E798" s="3"/>
      <c r="F798" s="3"/>
      <c r="G798" s="3"/>
    </row>
    <row r="799" spans="1:7" ht="15">
      <c r="A799" s="3"/>
      <c r="B799" s="3"/>
      <c r="C799" s="3"/>
      <c r="D799" s="3"/>
      <c r="E799" s="3"/>
      <c r="F799" s="3"/>
      <c r="G799" s="3"/>
    </row>
    <row r="800" spans="1:7" ht="15">
      <c r="A800" s="3"/>
      <c r="B800" s="3"/>
      <c r="C800" s="3"/>
      <c r="D800" s="3"/>
      <c r="E800" s="3"/>
      <c r="F800" s="3"/>
      <c r="G800" s="3"/>
    </row>
    <row r="801" spans="1:7" ht="15">
      <c r="A801" s="3"/>
      <c r="B801" s="3"/>
      <c r="C801" s="3"/>
      <c r="D801" s="3"/>
      <c r="E801" s="3"/>
      <c r="F801" s="3"/>
      <c r="G801" s="3"/>
    </row>
    <row r="802" spans="1:7" ht="15">
      <c r="A802" s="3"/>
      <c r="B802" s="3"/>
      <c r="C802" s="3"/>
      <c r="D802" s="3"/>
      <c r="E802" s="3"/>
      <c r="F802" s="3"/>
      <c r="G802" s="3"/>
    </row>
    <row r="803" spans="1:7" ht="15">
      <c r="A803" s="3"/>
      <c r="B803" s="3"/>
      <c r="C803" s="3"/>
      <c r="D803" s="3"/>
      <c r="E803" s="3"/>
      <c r="F803" s="3"/>
      <c r="G803" s="3"/>
    </row>
    <row r="804" spans="1:7" ht="15">
      <c r="A804" s="3"/>
      <c r="B804" s="3"/>
      <c r="C804" s="3"/>
      <c r="D804" s="3"/>
      <c r="E804" s="3"/>
      <c r="F804" s="3"/>
      <c r="G804" s="3"/>
    </row>
    <row r="805" spans="1:7" ht="15">
      <c r="A805" s="3"/>
      <c r="B805" s="3"/>
      <c r="C805" s="3"/>
      <c r="D805" s="3"/>
      <c r="E805" s="3"/>
      <c r="F805" s="3"/>
      <c r="G805" s="3"/>
    </row>
    <row r="806" spans="1:7" ht="15">
      <c r="A806" s="3"/>
      <c r="B806" s="3"/>
      <c r="C806" s="3"/>
      <c r="D806" s="3"/>
      <c r="E806" s="3"/>
      <c r="F806" s="3"/>
      <c r="G806" s="3"/>
    </row>
    <row r="807" spans="1:7" ht="15">
      <c r="A807" s="3"/>
      <c r="B807" s="3"/>
      <c r="C807" s="3"/>
      <c r="D807" s="3"/>
      <c r="E807" s="3"/>
      <c r="F807" s="3"/>
      <c r="G807" s="3"/>
    </row>
    <row r="808" spans="1:7" ht="15">
      <c r="A808" s="3"/>
      <c r="B808" s="3"/>
      <c r="C808" s="3"/>
      <c r="D808" s="3"/>
      <c r="E808" s="3"/>
      <c r="F808" s="3"/>
      <c r="G808" s="3"/>
    </row>
    <row r="809" spans="1:7" ht="15">
      <c r="A809" s="3"/>
      <c r="B809" s="3"/>
      <c r="C809" s="3"/>
      <c r="D809" s="3"/>
      <c r="E809" s="3"/>
      <c r="F809" s="3"/>
      <c r="G809" s="3"/>
    </row>
    <row r="810" spans="1:7" ht="15">
      <c r="A810" s="3"/>
      <c r="B810" s="3"/>
      <c r="C810" s="3"/>
      <c r="D810" s="3"/>
      <c r="E810" s="3"/>
      <c r="F810" s="3"/>
      <c r="G810" s="3"/>
    </row>
    <row r="811" spans="1:7" ht="15">
      <c r="A811" s="3"/>
      <c r="B811" s="3"/>
      <c r="C811" s="3"/>
      <c r="D811" s="3"/>
      <c r="E811" s="3"/>
      <c r="F811" s="3"/>
      <c r="G811" s="3"/>
    </row>
    <row r="812" spans="1:7" ht="15">
      <c r="A812" s="3"/>
      <c r="B812" s="3"/>
      <c r="C812" s="3"/>
      <c r="D812" s="3"/>
      <c r="E812" s="3"/>
      <c r="F812" s="3"/>
      <c r="G812" s="3"/>
    </row>
    <row r="813" spans="1:7" ht="15">
      <c r="A813" s="3"/>
      <c r="B813" s="3"/>
      <c r="C813" s="3"/>
      <c r="D813" s="3"/>
      <c r="E813" s="3"/>
      <c r="F813" s="3"/>
      <c r="G813" s="3"/>
    </row>
    <row r="814" spans="1:7" ht="15">
      <c r="A814" s="3"/>
      <c r="B814" s="3"/>
      <c r="C814" s="3"/>
      <c r="D814" s="3"/>
      <c r="E814" s="3"/>
      <c r="F814" s="3"/>
      <c r="G814" s="3"/>
    </row>
    <row r="815" spans="1:7" ht="15">
      <c r="A815" s="3"/>
      <c r="B815" s="3"/>
      <c r="C815" s="3"/>
      <c r="D815" s="3"/>
      <c r="E815" s="3"/>
      <c r="F815" s="3"/>
      <c r="G815" s="3"/>
    </row>
    <row r="816" spans="1:7" ht="15">
      <c r="A816" s="3"/>
      <c r="B816" s="3"/>
      <c r="C816" s="3"/>
      <c r="D816" s="3"/>
      <c r="E816" s="3"/>
      <c r="F816" s="3"/>
      <c r="G816" s="3"/>
    </row>
    <row r="817" spans="1:7" ht="15">
      <c r="A817" s="3"/>
      <c r="B817" s="3"/>
      <c r="C817" s="3"/>
      <c r="D817" s="3"/>
      <c r="E817" s="3"/>
      <c r="F817" s="3"/>
      <c r="G817" s="3"/>
    </row>
    <row r="818" spans="1:7" ht="15">
      <c r="A818" s="3"/>
      <c r="B818" s="3"/>
      <c r="C818" s="3"/>
      <c r="D818" s="3"/>
      <c r="E818" s="3"/>
      <c r="F818" s="3"/>
      <c r="G818" s="3"/>
    </row>
    <row r="819" spans="1:7" ht="15">
      <c r="A819" s="3"/>
      <c r="B819" s="3"/>
      <c r="C819" s="3"/>
      <c r="D819" s="3"/>
      <c r="E819" s="3"/>
      <c r="F819" s="3"/>
      <c r="G819" s="3"/>
    </row>
    <row r="820" spans="1:7" ht="15">
      <c r="A820" s="3"/>
      <c r="B820" s="3"/>
      <c r="C820" s="3"/>
      <c r="D820" s="3"/>
      <c r="E820" s="3"/>
      <c r="F820" s="3"/>
      <c r="G820" s="3"/>
    </row>
    <row r="821" spans="1:7" ht="15">
      <c r="A821" s="3"/>
      <c r="B821" s="3"/>
      <c r="C821" s="3"/>
      <c r="D821" s="3"/>
      <c r="E821" s="3"/>
      <c r="F821" s="3"/>
      <c r="G821" s="3"/>
    </row>
    <row r="822" spans="1:7" ht="15">
      <c r="A822" s="3"/>
      <c r="B822" s="3"/>
      <c r="C822" s="3"/>
      <c r="D822" s="3"/>
      <c r="E822" s="3"/>
      <c r="F822" s="3"/>
      <c r="G822" s="3"/>
    </row>
    <row r="823" spans="1:7" ht="15">
      <c r="A823" s="3"/>
      <c r="B823" s="3"/>
      <c r="C823" s="3"/>
      <c r="D823" s="3"/>
      <c r="E823" s="3"/>
      <c r="F823" s="3"/>
      <c r="G823" s="3"/>
    </row>
    <row r="824" spans="1:7" ht="15">
      <c r="A824" s="3"/>
      <c r="B824" s="3"/>
      <c r="C824" s="3"/>
      <c r="D824" s="3"/>
      <c r="E824" s="3"/>
      <c r="F824" s="3"/>
      <c r="G824" s="3"/>
    </row>
    <row r="825" spans="1:7" ht="15">
      <c r="A825" s="3"/>
      <c r="B825" s="3"/>
      <c r="C825" s="3"/>
      <c r="D825" s="3"/>
      <c r="E825" s="3"/>
      <c r="F825" s="3"/>
      <c r="G825" s="3"/>
    </row>
    <row r="826" spans="1:7" ht="15">
      <c r="A826" s="3"/>
      <c r="B826" s="3"/>
      <c r="C826" s="3"/>
      <c r="D826" s="3"/>
      <c r="E826" s="3"/>
      <c r="F826" s="3"/>
      <c r="G826" s="3"/>
    </row>
    <row r="827" spans="1:7" ht="15">
      <c r="A827" s="3"/>
      <c r="B827" s="3"/>
      <c r="C827" s="3"/>
      <c r="D827" s="3"/>
      <c r="E827" s="3"/>
      <c r="F827" s="3"/>
      <c r="G827" s="3"/>
    </row>
    <row r="828" spans="1:7" ht="15">
      <c r="A828" s="3"/>
      <c r="B828" s="3"/>
      <c r="C828" s="3"/>
      <c r="D828" s="3"/>
      <c r="E828" s="3"/>
      <c r="F828" s="3"/>
      <c r="G828" s="3"/>
    </row>
    <row r="829" spans="1:7" ht="15">
      <c r="A829" s="3"/>
      <c r="B829" s="3"/>
      <c r="C829" s="3"/>
      <c r="D829" s="3"/>
      <c r="E829" s="3"/>
      <c r="F829" s="3"/>
      <c r="G829" s="3"/>
    </row>
    <row r="830" spans="1:7" ht="15">
      <c r="A830" s="3"/>
      <c r="B830" s="3"/>
      <c r="C830" s="3"/>
      <c r="D830" s="3"/>
      <c r="E830" s="3"/>
      <c r="F830" s="3"/>
      <c r="G830" s="3"/>
    </row>
    <row r="831" spans="1:7" ht="15">
      <c r="A831" s="3"/>
      <c r="B831" s="3"/>
      <c r="C831" s="3"/>
      <c r="D831" s="3"/>
      <c r="E831" s="3"/>
      <c r="F831" s="3"/>
      <c r="G831" s="3"/>
    </row>
    <row r="832" spans="1:7" ht="15">
      <c r="A832" s="3"/>
      <c r="B832" s="3"/>
      <c r="C832" s="3"/>
      <c r="D832" s="3"/>
      <c r="E832" s="3"/>
      <c r="F832" s="3"/>
      <c r="G832" s="3"/>
    </row>
    <row r="833" spans="1:7" ht="15">
      <c r="A833" s="3"/>
      <c r="B833" s="3"/>
      <c r="C833" s="3"/>
      <c r="D833" s="3"/>
      <c r="E833" s="3"/>
      <c r="F833" s="3"/>
      <c r="G833" s="3"/>
    </row>
    <row r="834" spans="1:7" ht="15">
      <c r="A834" s="3"/>
      <c r="B834" s="3"/>
      <c r="C834" s="3"/>
      <c r="D834" s="3"/>
      <c r="E834" s="3"/>
      <c r="F834" s="3"/>
      <c r="G834" s="3"/>
    </row>
    <row r="835" spans="1:7" ht="15">
      <c r="A835" s="3"/>
      <c r="B835" s="3"/>
      <c r="C835" s="3"/>
      <c r="D835" s="3"/>
      <c r="E835" s="3"/>
      <c r="F835" s="3"/>
      <c r="G835" s="3"/>
    </row>
    <row r="836" spans="1:7" ht="15">
      <c r="A836" s="3"/>
      <c r="B836" s="3"/>
      <c r="C836" s="3"/>
      <c r="D836" s="3"/>
      <c r="E836" s="3"/>
      <c r="F836" s="3"/>
      <c r="G836" s="3"/>
    </row>
    <row r="837" spans="1:7" ht="15">
      <c r="A837" s="3"/>
      <c r="B837" s="3"/>
      <c r="C837" s="3"/>
      <c r="D837" s="3"/>
      <c r="E837" s="3"/>
      <c r="F837" s="3"/>
      <c r="G837" s="3"/>
    </row>
    <row r="838" spans="1:7" ht="15">
      <c r="A838" s="3"/>
      <c r="B838" s="3"/>
      <c r="C838" s="3"/>
      <c r="D838" s="3"/>
      <c r="E838" s="3"/>
      <c r="F838" s="3"/>
      <c r="G838" s="3"/>
    </row>
    <row r="839" spans="1:7" ht="15">
      <c r="A839" s="3"/>
      <c r="B839" s="3"/>
      <c r="C839" s="3"/>
      <c r="D839" s="3"/>
      <c r="E839" s="3"/>
      <c r="F839" s="3"/>
      <c r="G839" s="3"/>
    </row>
    <row r="840" spans="1:7" ht="15">
      <c r="A840" s="3"/>
      <c r="B840" s="3"/>
      <c r="C840" s="3"/>
      <c r="D840" s="3"/>
      <c r="E840" s="3"/>
      <c r="F840" s="3"/>
      <c r="G840" s="3"/>
    </row>
    <row r="841" spans="1:7" ht="15">
      <c r="A841" s="3"/>
      <c r="B841" s="3"/>
      <c r="C841" s="3"/>
      <c r="D841" s="3"/>
      <c r="E841" s="3"/>
      <c r="F841" s="3"/>
      <c r="G841" s="3"/>
    </row>
    <row r="842" spans="1:7" ht="15">
      <c r="A842" s="3"/>
      <c r="B842" s="3"/>
      <c r="C842" s="3"/>
      <c r="D842" s="3"/>
      <c r="E842" s="3"/>
      <c r="F842" s="3"/>
      <c r="G842" s="3"/>
    </row>
    <row r="843" spans="1:7" ht="15">
      <c r="A843" s="3"/>
      <c r="B843" s="3"/>
      <c r="C843" s="3"/>
      <c r="D843" s="3"/>
      <c r="E843" s="3"/>
      <c r="F843" s="3"/>
      <c r="G843" s="3"/>
    </row>
    <row r="844" spans="1:7" ht="15">
      <c r="A844" s="3"/>
      <c r="B844" s="3"/>
      <c r="C844" s="3"/>
      <c r="D844" s="3"/>
      <c r="E844" s="3"/>
      <c r="F844" s="3"/>
      <c r="G844" s="3"/>
    </row>
    <row r="845" spans="1:7" ht="15">
      <c r="A845" s="3"/>
      <c r="B845" s="3"/>
      <c r="C845" s="3"/>
      <c r="D845" s="3"/>
      <c r="E845" s="3"/>
      <c r="F845" s="3"/>
      <c r="G845" s="3"/>
    </row>
    <row r="846" spans="1:7" ht="15">
      <c r="A846" s="3"/>
      <c r="B846" s="3"/>
      <c r="C846" s="3"/>
      <c r="D846" s="3"/>
      <c r="E846" s="3"/>
      <c r="F846" s="3"/>
      <c r="G846" s="3"/>
    </row>
    <row r="847" spans="1:7" ht="15">
      <c r="A847" s="3"/>
      <c r="B847" s="3"/>
      <c r="C847" s="3"/>
      <c r="D847" s="3"/>
      <c r="E847" s="3"/>
      <c r="F847" s="3"/>
      <c r="G847" s="3"/>
    </row>
    <row r="848" spans="1:7" ht="15">
      <c r="A848" s="3"/>
      <c r="B848" s="3"/>
      <c r="C848" s="3"/>
      <c r="D848" s="3"/>
      <c r="E848" s="3"/>
      <c r="F848" s="3"/>
      <c r="G848" s="3"/>
    </row>
    <row r="849" spans="1:7" ht="15">
      <c r="A849" s="3"/>
      <c r="B849" s="3"/>
      <c r="C849" s="3"/>
      <c r="D849" s="3"/>
      <c r="E849" s="3"/>
      <c r="F849" s="3"/>
      <c r="G849" s="3"/>
    </row>
    <row r="850" spans="1:7" ht="15">
      <c r="A850" s="3"/>
      <c r="B850" s="3"/>
      <c r="C850" s="3"/>
      <c r="D850" s="3"/>
      <c r="E850" s="3"/>
      <c r="F850" s="3"/>
      <c r="G850" s="3"/>
    </row>
    <row r="851" spans="1:7" ht="15">
      <c r="A851" s="3"/>
      <c r="B851" s="3"/>
      <c r="C851" s="3"/>
      <c r="D851" s="3"/>
      <c r="E851" s="3"/>
      <c r="F851" s="3"/>
      <c r="G851" s="3"/>
    </row>
    <row r="852" spans="1:7" ht="15">
      <c r="A852" s="3"/>
      <c r="B852" s="3"/>
      <c r="C852" s="3"/>
      <c r="D852" s="3"/>
      <c r="E852" s="3"/>
      <c r="F852" s="3"/>
      <c r="G852" s="3"/>
    </row>
    <row r="853" spans="1:7" ht="15">
      <c r="A853" s="3"/>
      <c r="B853" s="3"/>
      <c r="C853" s="3"/>
      <c r="D853" s="3"/>
      <c r="E853" s="3"/>
      <c r="F853" s="3"/>
      <c r="G853" s="3"/>
    </row>
    <row r="854" spans="1:7" ht="15">
      <c r="A854" s="3"/>
      <c r="B854" s="3"/>
      <c r="C854" s="3"/>
      <c r="D854" s="3"/>
      <c r="E854" s="3"/>
      <c r="F854" s="3"/>
      <c r="G854" s="3"/>
    </row>
    <row r="855" spans="1:7" ht="15">
      <c r="A855" s="3"/>
      <c r="B855" s="3"/>
      <c r="C855" s="3"/>
      <c r="D855" s="3"/>
      <c r="E855" s="3"/>
      <c r="F855" s="3"/>
      <c r="G855" s="3"/>
    </row>
    <row r="856" spans="1:7" ht="15">
      <c r="A856" s="3"/>
      <c r="B856" s="3"/>
      <c r="C856" s="3"/>
      <c r="D856" s="3"/>
      <c r="E856" s="3"/>
      <c r="F856" s="3"/>
      <c r="G856" s="3"/>
    </row>
    <row r="857" spans="1:7" ht="15">
      <c r="A857" s="3"/>
      <c r="B857" s="3"/>
      <c r="C857" s="3"/>
      <c r="D857" s="3"/>
      <c r="E857" s="3"/>
      <c r="F857" s="3"/>
      <c r="G857" s="3"/>
    </row>
    <row r="858" spans="1:7" ht="15">
      <c r="A858" s="3"/>
      <c r="B858" s="3"/>
      <c r="C858" s="3"/>
      <c r="D858" s="3"/>
      <c r="E858" s="3"/>
      <c r="F858" s="3"/>
      <c r="G858" s="3"/>
    </row>
    <row r="859" spans="1:7" ht="15">
      <c r="A859" s="3"/>
      <c r="B859" s="3"/>
      <c r="C859" s="3"/>
      <c r="D859" s="3"/>
      <c r="E859" s="3"/>
      <c r="F859" s="3"/>
      <c r="G859" s="3"/>
    </row>
    <row r="860" spans="1:7" ht="15">
      <c r="A860" s="3"/>
      <c r="B860" s="3"/>
      <c r="C860" s="3"/>
      <c r="D860" s="3"/>
      <c r="E860" s="3"/>
      <c r="F860" s="3"/>
      <c r="G860" s="3"/>
    </row>
    <row r="861" spans="1:7" ht="15">
      <c r="A861" s="3"/>
      <c r="B861" s="3"/>
      <c r="C861" s="3"/>
      <c r="D861" s="3"/>
      <c r="E861" s="3"/>
      <c r="F861" s="3"/>
      <c r="G861" s="3"/>
    </row>
    <row r="862" spans="1:7" ht="15">
      <c r="A862" s="3"/>
      <c r="B862" s="3"/>
      <c r="C862" s="3"/>
      <c r="D862" s="3"/>
      <c r="E862" s="3"/>
      <c r="F862" s="3"/>
      <c r="G862" s="3"/>
    </row>
    <row r="863" spans="1:7" ht="15">
      <c r="A863" s="3"/>
      <c r="B863" s="3"/>
      <c r="C863" s="3"/>
      <c r="D863" s="3"/>
      <c r="E863" s="3"/>
      <c r="F863" s="3"/>
      <c r="G863" s="3"/>
    </row>
    <row r="864" spans="1:7" ht="15">
      <c r="A864" s="3"/>
      <c r="B864" s="3"/>
      <c r="C864" s="3"/>
      <c r="D864" s="3"/>
      <c r="E864" s="3"/>
      <c r="F864" s="3"/>
      <c r="G864" s="3"/>
    </row>
    <row r="865" spans="1:7" ht="15">
      <c r="A865" s="3"/>
      <c r="B865" s="3"/>
      <c r="C865" s="3"/>
      <c r="D865" s="3"/>
      <c r="E865" s="3"/>
      <c r="F865" s="3"/>
      <c r="G865" s="3"/>
    </row>
    <row r="866" spans="1:7" ht="15">
      <c r="A866" s="3"/>
      <c r="B866" s="3"/>
      <c r="C866" s="3"/>
      <c r="D866" s="3"/>
      <c r="E866" s="3"/>
      <c r="F866" s="3"/>
      <c r="G866" s="3"/>
    </row>
    <row r="867" spans="1:7" ht="15">
      <c r="A867" s="3"/>
      <c r="B867" s="3"/>
      <c r="C867" s="3"/>
      <c r="D867" s="3"/>
      <c r="E867" s="3"/>
      <c r="F867" s="3"/>
      <c r="G867" s="3"/>
    </row>
    <row r="868" spans="1:7" ht="15">
      <c r="A868" s="3"/>
      <c r="B868" s="3"/>
      <c r="C868" s="3"/>
      <c r="D868" s="3"/>
      <c r="E868" s="3"/>
      <c r="F868" s="3"/>
      <c r="G868" s="3"/>
    </row>
    <row r="869" spans="1:7" ht="15">
      <c r="A869" s="3"/>
      <c r="B869" s="3"/>
      <c r="C869" s="3"/>
      <c r="D869" s="3"/>
      <c r="E869" s="3"/>
      <c r="F869" s="3"/>
      <c r="G869" s="3"/>
    </row>
    <row r="870" spans="1:7" ht="15">
      <c r="A870" s="3"/>
      <c r="B870" s="3"/>
      <c r="C870" s="3"/>
      <c r="D870" s="3"/>
      <c r="E870" s="3"/>
      <c r="F870" s="3"/>
      <c r="G870" s="3"/>
    </row>
    <row r="871" spans="1:7" ht="15">
      <c r="A871" s="3"/>
      <c r="B871" s="3"/>
      <c r="C871" s="3"/>
      <c r="D871" s="3"/>
      <c r="E871" s="3"/>
      <c r="F871" s="3"/>
      <c r="G871" s="3"/>
    </row>
    <row r="872" spans="1:7" ht="15">
      <c r="A872" s="3"/>
      <c r="B872" s="3"/>
      <c r="C872" s="3"/>
      <c r="D872" s="3"/>
      <c r="E872" s="3"/>
      <c r="F872" s="3"/>
      <c r="G872" s="3"/>
    </row>
    <row r="873" spans="1:7" ht="15">
      <c r="A873" s="3"/>
      <c r="B873" s="3"/>
      <c r="C873" s="3"/>
      <c r="D873" s="3"/>
      <c r="E873" s="3"/>
      <c r="F873" s="3"/>
      <c r="G873" s="3"/>
    </row>
    <row r="874" spans="1:7" ht="15">
      <c r="A874" s="3"/>
      <c r="B874" s="3"/>
      <c r="C874" s="3"/>
      <c r="D874" s="3"/>
      <c r="E874" s="3"/>
      <c r="F874" s="3"/>
      <c r="G874" s="3"/>
    </row>
    <row r="875" spans="1:7" ht="15">
      <c r="A875" s="3"/>
      <c r="B875" s="3"/>
      <c r="C875" s="3"/>
      <c r="D875" s="3"/>
      <c r="E875" s="3"/>
      <c r="F875" s="3"/>
      <c r="G875" s="3"/>
    </row>
    <row r="876" spans="1:7" ht="15">
      <c r="A876" s="3"/>
      <c r="B876" s="3"/>
      <c r="C876" s="3"/>
      <c r="D876" s="3"/>
      <c r="E876" s="3"/>
      <c r="F876" s="3"/>
      <c r="G876" s="3"/>
    </row>
    <row r="877" spans="1:7" ht="15">
      <c r="A877" s="3"/>
      <c r="B877" s="3"/>
      <c r="C877" s="3"/>
      <c r="D877" s="3"/>
      <c r="E877" s="3"/>
      <c r="F877" s="3"/>
      <c r="G877" s="3"/>
    </row>
    <row r="878" spans="1:7" ht="15">
      <c r="A878" s="3"/>
      <c r="B878" s="3"/>
      <c r="C878" s="3"/>
      <c r="D878" s="3"/>
      <c r="E878" s="3"/>
      <c r="F878" s="3"/>
      <c r="G878" s="3"/>
    </row>
    <row r="879" spans="1:7" ht="15">
      <c r="A879" s="3"/>
      <c r="B879" s="3"/>
      <c r="C879" s="3"/>
      <c r="D879" s="3"/>
      <c r="E879" s="3"/>
      <c r="F879" s="3"/>
      <c r="G879" s="3"/>
    </row>
    <row r="880" spans="1:7" ht="15">
      <c r="A880" s="3"/>
      <c r="B880" s="3"/>
      <c r="C880" s="3"/>
      <c r="D880" s="3"/>
      <c r="E880" s="3"/>
      <c r="F880" s="3"/>
      <c r="G880" s="3"/>
    </row>
    <row r="881" spans="1:7" ht="15">
      <c r="A881" s="3"/>
      <c r="B881" s="3"/>
      <c r="C881" s="3"/>
      <c r="D881" s="3"/>
      <c r="E881" s="3"/>
      <c r="F881" s="3"/>
      <c r="G881" s="3"/>
    </row>
    <row r="882" spans="1:7" ht="15">
      <c r="A882" s="3"/>
      <c r="B882" s="3"/>
      <c r="C882" s="3"/>
      <c r="D882" s="3"/>
      <c r="E882" s="3"/>
      <c r="F882" s="3"/>
      <c r="G882" s="3"/>
    </row>
    <row r="883" spans="1:7" ht="15">
      <c r="A883" s="3"/>
      <c r="B883" s="3"/>
      <c r="C883" s="3"/>
      <c r="D883" s="3"/>
      <c r="E883" s="3"/>
      <c r="F883" s="3"/>
      <c r="G883" s="3"/>
    </row>
    <row r="884" spans="1:7" ht="15">
      <c r="A884" s="3"/>
      <c r="B884" s="3"/>
      <c r="C884" s="3"/>
      <c r="D884" s="3"/>
      <c r="E884" s="3"/>
      <c r="F884" s="3"/>
      <c r="G884" s="3"/>
    </row>
    <row r="885" spans="1:7" ht="15">
      <c r="A885" s="3"/>
      <c r="B885" s="3"/>
      <c r="C885" s="3"/>
      <c r="D885" s="3"/>
      <c r="E885" s="3"/>
      <c r="F885" s="3"/>
      <c r="G885" s="3"/>
    </row>
    <row r="886" spans="1:7" ht="15">
      <c r="A886" s="3"/>
      <c r="B886" s="3"/>
      <c r="C886" s="3"/>
      <c r="D886" s="3"/>
      <c r="E886" s="3"/>
      <c r="F886" s="3"/>
      <c r="G886" s="3"/>
    </row>
    <row r="887" spans="1:7" ht="15">
      <c r="A887" s="3"/>
      <c r="B887" s="3"/>
      <c r="C887" s="3"/>
      <c r="D887" s="3"/>
      <c r="E887" s="3"/>
      <c r="F887" s="3"/>
      <c r="G887" s="3"/>
    </row>
    <row r="888" spans="1:7" ht="15">
      <c r="A888" s="3"/>
      <c r="B888" s="3"/>
      <c r="C888" s="3"/>
      <c r="D888" s="3"/>
      <c r="E888" s="3"/>
      <c r="F888" s="3"/>
      <c r="G888" s="3"/>
    </row>
    <row r="889" spans="1:7" ht="15">
      <c r="A889" s="3"/>
      <c r="B889" s="3"/>
      <c r="C889" s="3"/>
      <c r="D889" s="3"/>
      <c r="E889" s="3"/>
      <c r="F889" s="3"/>
      <c r="G889" s="3"/>
    </row>
    <row r="890" spans="1:7" ht="15">
      <c r="A890" s="3"/>
      <c r="B890" s="3"/>
      <c r="C890" s="3"/>
      <c r="D890" s="3"/>
      <c r="E890" s="3"/>
      <c r="F890" s="3"/>
      <c r="G890" s="3"/>
    </row>
    <row r="891" spans="1:7" ht="15">
      <c r="A891" s="3"/>
      <c r="B891" s="3"/>
      <c r="C891" s="3"/>
      <c r="D891" s="3"/>
      <c r="E891" s="3"/>
      <c r="F891" s="3"/>
      <c r="G891" s="3"/>
    </row>
    <row r="892" spans="1:7" ht="15">
      <c r="A892" s="3"/>
      <c r="B892" s="3"/>
      <c r="C892" s="3"/>
      <c r="D892" s="3"/>
      <c r="E892" s="3"/>
      <c r="F892" s="3"/>
      <c r="G892" s="3"/>
    </row>
    <row r="893" spans="1:7" ht="15">
      <c r="A893" s="3"/>
      <c r="B893" s="3"/>
      <c r="C893" s="3"/>
      <c r="D893" s="3"/>
      <c r="E893" s="3"/>
      <c r="F893" s="3"/>
      <c r="G893" s="3"/>
    </row>
    <row r="894" spans="1:7" ht="15">
      <c r="A894" s="3"/>
      <c r="B894" s="3"/>
      <c r="C894" s="3"/>
      <c r="D894" s="3"/>
      <c r="E894" s="3"/>
      <c r="F894" s="3"/>
      <c r="G894" s="3"/>
    </row>
    <row r="895" spans="1:7" ht="15">
      <c r="A895" s="3"/>
      <c r="B895" s="3"/>
      <c r="C895" s="3"/>
      <c r="D895" s="3"/>
      <c r="E895" s="3"/>
      <c r="F895" s="3"/>
      <c r="G895" s="3"/>
    </row>
    <row r="896" spans="1:7" ht="15">
      <c r="A896" s="3"/>
      <c r="B896" s="3"/>
      <c r="C896" s="3"/>
      <c r="D896" s="3"/>
      <c r="E896" s="3"/>
      <c r="F896" s="3"/>
      <c r="G896" s="3"/>
    </row>
    <row r="897" spans="1:7" ht="15">
      <c r="A897" s="3"/>
      <c r="B897" s="3"/>
      <c r="C897" s="3"/>
      <c r="D897" s="3"/>
      <c r="E897" s="3"/>
      <c r="F897" s="3"/>
      <c r="G897" s="3"/>
    </row>
    <row r="898" spans="1:7" ht="15">
      <c r="A898" s="3"/>
      <c r="B898" s="3"/>
      <c r="C898" s="3"/>
      <c r="D898" s="3"/>
      <c r="E898" s="3"/>
      <c r="F898" s="3"/>
      <c r="G898" s="3"/>
    </row>
    <row r="899" spans="1:7" ht="15">
      <c r="A899" s="3"/>
      <c r="B899" s="3"/>
      <c r="C899" s="3"/>
      <c r="D899" s="3"/>
      <c r="E899" s="3"/>
      <c r="F899" s="3"/>
      <c r="G899" s="3"/>
    </row>
    <row r="900" spans="1:7" ht="15">
      <c r="A900" s="3"/>
      <c r="B900" s="3"/>
      <c r="C900" s="3"/>
      <c r="D900" s="3"/>
      <c r="E900" s="3"/>
      <c r="F900" s="3"/>
      <c r="G900" s="3"/>
    </row>
    <row r="901" spans="1:7" ht="15">
      <c r="A901" s="3"/>
      <c r="B901" s="3"/>
      <c r="C901" s="3"/>
      <c r="D901" s="3"/>
      <c r="E901" s="3"/>
      <c r="F901" s="3"/>
      <c r="G901" s="3"/>
    </row>
    <row r="902" spans="1:7" ht="15">
      <c r="A902" s="3"/>
      <c r="B902" s="3"/>
      <c r="C902" s="3"/>
      <c r="D902" s="3"/>
      <c r="E902" s="3"/>
      <c r="F902" s="3"/>
      <c r="G902" s="3"/>
    </row>
    <row r="903" spans="1:7" ht="15">
      <c r="A903" s="3"/>
      <c r="B903" s="3"/>
      <c r="C903" s="3"/>
      <c r="D903" s="3"/>
      <c r="E903" s="3"/>
      <c r="F903" s="3"/>
      <c r="G903" s="3"/>
    </row>
    <row r="904" spans="1:7" ht="15">
      <c r="A904" s="3"/>
      <c r="B904" s="3"/>
      <c r="C904" s="3"/>
      <c r="D904" s="3"/>
      <c r="E904" s="3"/>
      <c r="F904" s="3"/>
      <c r="G904" s="3"/>
    </row>
    <row r="905" spans="1:7" ht="15">
      <c r="A905" s="3"/>
      <c r="B905" s="3"/>
      <c r="C905" s="3"/>
      <c r="D905" s="3"/>
      <c r="E905" s="3"/>
      <c r="F905" s="3"/>
      <c r="G905" s="3"/>
    </row>
    <row r="906" spans="1:7" ht="15">
      <c r="A906" s="3"/>
      <c r="B906" s="3"/>
      <c r="C906" s="3"/>
      <c r="D906" s="3"/>
      <c r="E906" s="3"/>
      <c r="F906" s="3"/>
      <c r="G906" s="3"/>
    </row>
    <row r="907" spans="1:7" ht="15">
      <c r="A907" s="3"/>
      <c r="B907" s="3"/>
      <c r="C907" s="3"/>
      <c r="D907" s="3"/>
      <c r="E907" s="3"/>
      <c r="F907" s="3"/>
      <c r="G907" s="3"/>
    </row>
    <row r="908" spans="1:7" ht="15">
      <c r="A908" s="3"/>
      <c r="B908" s="3"/>
      <c r="C908" s="3"/>
      <c r="D908" s="3"/>
      <c r="E908" s="3"/>
      <c r="F908" s="3"/>
      <c r="G908" s="3"/>
    </row>
    <row r="909" spans="1:7" ht="15">
      <c r="A909" s="3"/>
      <c r="B909" s="3"/>
      <c r="C909" s="3"/>
      <c r="D909" s="3"/>
      <c r="E909" s="3"/>
      <c r="F909" s="3"/>
      <c r="G909" s="3"/>
    </row>
    <row r="910" spans="1:7" ht="15">
      <c r="A910" s="3"/>
      <c r="B910" s="3"/>
      <c r="C910" s="3"/>
      <c r="D910" s="3"/>
      <c r="E910" s="3"/>
      <c r="F910" s="3"/>
      <c r="G910" s="3"/>
    </row>
    <row r="911" spans="1:7" ht="15">
      <c r="A911" s="3"/>
      <c r="B911" s="3"/>
      <c r="C911" s="3"/>
      <c r="D911" s="3"/>
      <c r="E911" s="3"/>
      <c r="F911" s="3"/>
      <c r="G911" s="3"/>
    </row>
    <row r="912" spans="1:7" ht="15">
      <c r="A912" s="3"/>
      <c r="B912" s="3"/>
      <c r="C912" s="3"/>
      <c r="D912" s="3"/>
      <c r="E912" s="3"/>
      <c r="F912" s="3"/>
      <c r="G912" s="3"/>
    </row>
    <row r="913" spans="1:7" ht="15">
      <c r="A913" s="3"/>
      <c r="B913" s="3"/>
      <c r="C913" s="3"/>
      <c r="D913" s="3"/>
      <c r="E913" s="3"/>
      <c r="F913" s="3"/>
      <c r="G913" s="3"/>
    </row>
    <row r="914" spans="1:7" ht="15">
      <c r="A914" s="3"/>
      <c r="B914" s="3"/>
      <c r="C914" s="3"/>
      <c r="D914" s="3"/>
      <c r="E914" s="3"/>
      <c r="F914" s="3"/>
      <c r="G914" s="3"/>
    </row>
    <row r="915" spans="1:7" ht="15">
      <c r="A915" s="3"/>
      <c r="B915" s="3"/>
      <c r="C915" s="3"/>
      <c r="D915" s="3"/>
      <c r="E915" s="3"/>
      <c r="F915" s="3"/>
      <c r="G915" s="3"/>
    </row>
    <row r="916" spans="1:7" ht="15">
      <c r="A916" s="3"/>
      <c r="B916" s="3"/>
      <c r="C916" s="3"/>
      <c r="D916" s="3"/>
      <c r="E916" s="3"/>
      <c r="F916" s="3"/>
      <c r="G916" s="3"/>
    </row>
    <row r="917" spans="1:7" ht="15">
      <c r="A917" s="3"/>
      <c r="B917" s="3"/>
      <c r="C917" s="3"/>
      <c r="D917" s="3"/>
      <c r="E917" s="3"/>
      <c r="F917" s="3"/>
      <c r="G917" s="3"/>
    </row>
    <row r="918" spans="1:7" ht="15">
      <c r="A918" s="3"/>
      <c r="B918" s="3"/>
      <c r="C918" s="3"/>
      <c r="D918" s="3"/>
      <c r="E918" s="3"/>
      <c r="F918" s="3"/>
      <c r="G918" s="3"/>
    </row>
    <row r="919" spans="1:7" ht="15">
      <c r="A919" s="3"/>
      <c r="B919" s="3"/>
      <c r="C919" s="3"/>
      <c r="D919" s="3"/>
      <c r="E919" s="3"/>
      <c r="F919" s="3"/>
      <c r="G919" s="3"/>
    </row>
    <row r="920" spans="1:7" ht="15">
      <c r="A920" s="3"/>
      <c r="B920" s="3"/>
      <c r="C920" s="3"/>
      <c r="D920" s="3"/>
      <c r="E920" s="3"/>
      <c r="F920" s="3"/>
      <c r="G920" s="3"/>
    </row>
    <row r="921" spans="1:7" ht="15">
      <c r="A921" s="3"/>
      <c r="B921" s="3"/>
      <c r="C921" s="3"/>
      <c r="D921" s="3"/>
      <c r="E921" s="3"/>
      <c r="F921" s="3"/>
      <c r="G921" s="3"/>
    </row>
    <row r="922" spans="1:7" ht="15">
      <c r="A922" s="3"/>
      <c r="B922" s="3"/>
      <c r="C922" s="3"/>
      <c r="D922" s="3"/>
      <c r="E922" s="3"/>
      <c r="F922" s="3"/>
      <c r="G922" s="3"/>
    </row>
    <row r="923" spans="1:7" ht="15">
      <c r="A923" s="3"/>
      <c r="B923" s="3"/>
      <c r="C923" s="3"/>
      <c r="D923" s="3"/>
      <c r="E923" s="3"/>
      <c r="F923" s="3"/>
      <c r="G923" s="3"/>
    </row>
    <row r="924" spans="1:7" ht="15">
      <c r="A924" s="3"/>
      <c r="B924" s="3"/>
      <c r="C924" s="3"/>
      <c r="D924" s="3"/>
      <c r="E924" s="3"/>
      <c r="F924" s="3"/>
      <c r="G924" s="3"/>
    </row>
    <row r="925" spans="1:7" ht="15">
      <c r="A925" s="3"/>
      <c r="B925" s="3"/>
      <c r="C925" s="3"/>
      <c r="D925" s="3"/>
      <c r="E925" s="3"/>
      <c r="F925" s="3"/>
      <c r="G925" s="3"/>
    </row>
    <row r="926" spans="1:7" ht="15">
      <c r="A926" s="3"/>
      <c r="B926" s="3"/>
      <c r="C926" s="3"/>
      <c r="D926" s="3"/>
      <c r="E926" s="3"/>
      <c r="F926" s="3"/>
      <c r="G926" s="3"/>
    </row>
    <row r="927" spans="1:7" ht="15">
      <c r="A927" s="3"/>
      <c r="B927" s="3"/>
      <c r="C927" s="3"/>
      <c r="D927" s="3"/>
      <c r="E927" s="3"/>
      <c r="F927" s="3"/>
      <c r="G927" s="3"/>
    </row>
    <row r="928" spans="1:7" ht="15">
      <c r="A928" s="3"/>
      <c r="B928" s="3"/>
      <c r="C928" s="3"/>
      <c r="D928" s="3"/>
      <c r="E928" s="3"/>
      <c r="F928" s="3"/>
      <c r="G928" s="3"/>
    </row>
    <row r="929" spans="1:7" ht="15">
      <c r="A929" s="3"/>
      <c r="B929" s="3"/>
      <c r="C929" s="3"/>
      <c r="D929" s="3"/>
      <c r="E929" s="3"/>
      <c r="F929" s="3"/>
      <c r="G929" s="3"/>
    </row>
    <row r="930" spans="1:7" ht="15">
      <c r="A930" s="3"/>
      <c r="B930" s="3"/>
      <c r="C930" s="3"/>
      <c r="D930" s="3"/>
      <c r="E930" s="3"/>
      <c r="F930" s="3"/>
      <c r="G930" s="3"/>
    </row>
    <row r="931" spans="1:7" ht="15">
      <c r="A931" s="3"/>
      <c r="B931" s="3"/>
      <c r="C931" s="3"/>
      <c r="D931" s="3"/>
      <c r="E931" s="3"/>
      <c r="F931" s="3"/>
      <c r="G931" s="3"/>
    </row>
    <row r="932" spans="1:7" ht="15">
      <c r="A932" s="3"/>
      <c r="B932" s="3"/>
      <c r="C932" s="3"/>
      <c r="D932" s="3"/>
      <c r="E932" s="3"/>
      <c r="F932" s="3"/>
      <c r="G932" s="3"/>
    </row>
    <row r="933" spans="1:7" ht="15">
      <c r="A933" s="3"/>
      <c r="B933" s="3"/>
      <c r="C933" s="3"/>
      <c r="D933" s="3"/>
      <c r="E933" s="3"/>
      <c r="F933" s="3"/>
      <c r="G933" s="3"/>
    </row>
    <row r="934" spans="1:7" ht="15">
      <c r="A934" s="3"/>
      <c r="B934" s="3"/>
      <c r="C934" s="3"/>
      <c r="D934" s="3"/>
      <c r="E934" s="3"/>
      <c r="F934" s="3"/>
      <c r="G934" s="3"/>
    </row>
    <row r="935" spans="1:7" ht="15">
      <c r="A935" s="3"/>
      <c r="B935" s="3"/>
      <c r="C935" s="3"/>
      <c r="D935" s="3"/>
      <c r="E935" s="3"/>
      <c r="F935" s="3"/>
      <c r="G935" s="3"/>
    </row>
    <row r="936" spans="1:7" ht="15">
      <c r="A936" s="3"/>
      <c r="B936" s="3"/>
      <c r="C936" s="3"/>
      <c r="D936" s="3"/>
      <c r="E936" s="3"/>
      <c r="F936" s="3"/>
      <c r="G936" s="3"/>
    </row>
    <row r="937" spans="1:7" ht="15">
      <c r="A937" s="3"/>
      <c r="B937" s="3"/>
      <c r="C937" s="3"/>
      <c r="D937" s="3"/>
      <c r="E937" s="3"/>
      <c r="F937" s="3"/>
      <c r="G937" s="3"/>
    </row>
    <row r="938" spans="1:7" ht="15">
      <c r="A938" s="3"/>
      <c r="B938" s="3"/>
      <c r="C938" s="3"/>
      <c r="D938" s="3"/>
      <c r="E938" s="3"/>
      <c r="F938" s="3"/>
      <c r="G938" s="3"/>
    </row>
    <row r="939" spans="1:7" ht="15">
      <c r="A939" s="3"/>
      <c r="B939" s="3"/>
      <c r="C939" s="3"/>
      <c r="D939" s="3"/>
      <c r="E939" s="3"/>
      <c r="F939" s="3"/>
      <c r="G939" s="3"/>
    </row>
    <row r="940" spans="1:7" ht="15">
      <c r="A940" s="3"/>
      <c r="B940" s="3"/>
      <c r="C940" s="3"/>
      <c r="D940" s="3"/>
      <c r="E940" s="3"/>
      <c r="F940" s="3"/>
      <c r="G940" s="3"/>
    </row>
    <row r="941" spans="1:7" ht="15">
      <c r="A941" s="3"/>
      <c r="B941" s="3"/>
      <c r="C941" s="3"/>
      <c r="D941" s="3"/>
      <c r="E941" s="3"/>
      <c r="F941" s="3"/>
      <c r="G941" s="3"/>
    </row>
    <row r="942" spans="1:7" ht="15">
      <c r="A942" s="3"/>
      <c r="B942" s="3"/>
      <c r="C942" s="3"/>
      <c r="D942" s="3"/>
      <c r="E942" s="3"/>
      <c r="F942" s="3"/>
      <c r="G942" s="3"/>
    </row>
    <row r="943" spans="1:7" ht="15">
      <c r="A943" s="3"/>
      <c r="B943" s="3"/>
      <c r="C943" s="3"/>
      <c r="D943" s="3"/>
      <c r="E943" s="3"/>
      <c r="F943" s="3"/>
      <c r="G943" s="3"/>
    </row>
    <row r="944" spans="1:7" ht="15">
      <c r="A944" s="3"/>
      <c r="B944" s="3"/>
      <c r="C944" s="3"/>
      <c r="D944" s="3"/>
      <c r="E944" s="3"/>
      <c r="F944" s="3"/>
      <c r="G944" s="3"/>
    </row>
    <row r="945" spans="1:7" ht="15">
      <c r="A945" s="3"/>
      <c r="B945" s="3"/>
      <c r="C945" s="3"/>
      <c r="D945" s="3"/>
      <c r="E945" s="3"/>
      <c r="F945" s="3"/>
      <c r="G945" s="3"/>
    </row>
    <row r="946" spans="1:7" ht="15">
      <c r="A946" s="3"/>
      <c r="B946" s="3"/>
      <c r="C946" s="3"/>
      <c r="D946" s="3"/>
      <c r="E946" s="3"/>
      <c r="F946" s="3"/>
      <c r="G946" s="3"/>
    </row>
    <row r="947" spans="1:7" ht="15">
      <c r="A947" s="3"/>
      <c r="B947" s="3"/>
      <c r="C947" s="3"/>
      <c r="D947" s="3"/>
      <c r="E947" s="3"/>
      <c r="F947" s="3"/>
      <c r="G947" s="3"/>
    </row>
    <row r="948" spans="1:7" ht="15">
      <c r="A948" s="3"/>
      <c r="B948" s="3"/>
      <c r="C948" s="3"/>
      <c r="D948" s="3"/>
      <c r="E948" s="3"/>
      <c r="F948" s="3"/>
      <c r="G948" s="3"/>
    </row>
    <row r="949" spans="1:7" ht="15">
      <c r="A949" s="3"/>
      <c r="B949" s="3"/>
      <c r="C949" s="3"/>
      <c r="D949" s="3"/>
      <c r="E949" s="3"/>
      <c r="F949" s="3"/>
      <c r="G949" s="3"/>
    </row>
    <row r="950" spans="1:7" ht="15">
      <c r="A950" s="3"/>
      <c r="B950" s="3"/>
      <c r="C950" s="3"/>
      <c r="D950" s="3"/>
      <c r="E950" s="3"/>
      <c r="F950" s="3"/>
      <c r="G950" s="3"/>
    </row>
    <row r="951" spans="1:7" ht="15">
      <c r="A951" s="3"/>
      <c r="B951" s="3"/>
      <c r="C951" s="3"/>
      <c r="D951" s="3"/>
      <c r="E951" s="3"/>
      <c r="F951" s="3"/>
      <c r="G951" s="3"/>
    </row>
    <row r="952" spans="1:7" ht="15">
      <c r="A952" s="3"/>
      <c r="B952" s="3"/>
      <c r="C952" s="3"/>
      <c r="D952" s="3"/>
      <c r="E952" s="3"/>
      <c r="F952" s="3"/>
      <c r="G952" s="3"/>
    </row>
    <row r="953" spans="1:7" ht="15">
      <c r="A953" s="3"/>
      <c r="B953" s="3"/>
      <c r="C953" s="3"/>
      <c r="D953" s="3"/>
      <c r="E953" s="3"/>
      <c r="F953" s="3"/>
      <c r="G953" s="3"/>
    </row>
    <row r="954" spans="1:7" ht="15">
      <c r="A954" s="3"/>
      <c r="B954" s="3"/>
      <c r="C954" s="3"/>
      <c r="D954" s="3"/>
      <c r="E954" s="3"/>
      <c r="F954" s="3"/>
      <c r="G954" s="3"/>
    </row>
    <row r="955" spans="1:7" ht="15">
      <c r="A955" s="3"/>
      <c r="B955" s="3"/>
      <c r="C955" s="3"/>
      <c r="D955" s="3"/>
      <c r="E955" s="3"/>
      <c r="F955" s="3"/>
      <c r="G955" s="3"/>
    </row>
    <row r="956" spans="1:7" ht="15">
      <c r="A956" s="3"/>
      <c r="B956" s="3"/>
      <c r="C956" s="3"/>
      <c r="D956" s="3"/>
      <c r="E956" s="3"/>
      <c r="F956" s="3"/>
      <c r="G956" s="3"/>
    </row>
    <row r="957" spans="1:7" ht="15">
      <c r="A957" s="3"/>
      <c r="B957" s="3"/>
      <c r="C957" s="3"/>
      <c r="D957" s="3"/>
      <c r="E957" s="3"/>
      <c r="F957" s="3"/>
      <c r="G957" s="3"/>
    </row>
    <row r="958" spans="1:7" ht="15">
      <c r="A958" s="3"/>
      <c r="B958" s="3"/>
      <c r="C958" s="3"/>
      <c r="D958" s="3"/>
      <c r="E958" s="3"/>
      <c r="F958" s="3"/>
      <c r="G958" s="3"/>
    </row>
    <row r="959" spans="1:7" ht="15">
      <c r="A959" s="3"/>
      <c r="B959" s="3"/>
      <c r="C959" s="3"/>
      <c r="D959" s="3"/>
      <c r="E959" s="3"/>
      <c r="F959" s="3"/>
      <c r="G959" s="3"/>
    </row>
    <row r="960" spans="1:7" ht="15">
      <c r="A960" s="3"/>
      <c r="B960" s="3"/>
      <c r="C960" s="3"/>
      <c r="D960" s="3"/>
      <c r="E960" s="3"/>
      <c r="F960" s="3"/>
      <c r="G960" s="3"/>
    </row>
    <row r="961" spans="1:7" ht="15">
      <c r="A961" s="3"/>
      <c r="B961" s="3"/>
      <c r="C961" s="3"/>
      <c r="D961" s="3"/>
      <c r="E961" s="3"/>
      <c r="F961" s="3"/>
      <c r="G961" s="3"/>
    </row>
    <row r="962" spans="1:7" ht="15">
      <c r="A962" s="3"/>
      <c r="B962" s="3"/>
      <c r="C962" s="3"/>
      <c r="D962" s="3"/>
      <c r="E962" s="3"/>
      <c r="F962" s="3"/>
      <c r="G962" s="3"/>
    </row>
    <row r="963" spans="1:7" ht="15">
      <c r="A963" s="3"/>
      <c r="B963" s="3"/>
      <c r="C963" s="3"/>
      <c r="D963" s="3"/>
      <c r="E963" s="3"/>
      <c r="F963" s="3"/>
      <c r="G963" s="3"/>
    </row>
    <row r="964" spans="1:7" ht="15">
      <c r="A964" s="3"/>
      <c r="B964" s="3"/>
      <c r="C964" s="3"/>
      <c r="D964" s="3"/>
      <c r="E964" s="3"/>
      <c r="F964" s="3"/>
      <c r="G964" s="3"/>
    </row>
    <row r="965" spans="1:7" ht="15">
      <c r="A965" s="3"/>
      <c r="B965" s="3"/>
      <c r="C965" s="3"/>
      <c r="D965" s="3"/>
      <c r="E965" s="3"/>
      <c r="F965" s="3"/>
      <c r="G965" s="3"/>
    </row>
    <row r="966" spans="1:7" ht="15">
      <c r="A966" s="3"/>
      <c r="B966" s="3"/>
      <c r="C966" s="3"/>
      <c r="D966" s="3"/>
      <c r="E966" s="3"/>
      <c r="F966" s="3"/>
      <c r="G966" s="3"/>
    </row>
    <row r="967" spans="1:7" ht="15">
      <c r="A967" s="3"/>
      <c r="B967" s="3"/>
      <c r="C967" s="3"/>
      <c r="D967" s="3"/>
      <c r="E967" s="3"/>
      <c r="F967" s="3"/>
      <c r="G967" s="3"/>
    </row>
    <row r="968" spans="1:7" ht="15">
      <c r="A968" s="3"/>
      <c r="B968" s="3"/>
      <c r="C968" s="3"/>
      <c r="D968" s="3"/>
      <c r="E968" s="3"/>
      <c r="F968" s="3"/>
      <c r="G968" s="3"/>
    </row>
    <row r="969" spans="1:7" ht="15">
      <c r="A969" s="3"/>
      <c r="B969" s="3"/>
      <c r="C969" s="3"/>
      <c r="D969" s="3"/>
      <c r="E969" s="3"/>
      <c r="F969" s="3"/>
      <c r="G969" s="3"/>
    </row>
    <row r="970" spans="1:7" ht="15">
      <c r="A970" s="3"/>
      <c r="B970" s="3"/>
      <c r="C970" s="3"/>
      <c r="D970" s="3"/>
      <c r="E970" s="3"/>
      <c r="F970" s="3"/>
      <c r="G970" s="3"/>
    </row>
    <row r="971" spans="1:7" ht="15">
      <c r="A971" s="3"/>
      <c r="B971" s="3"/>
      <c r="C971" s="3"/>
      <c r="D971" s="3"/>
      <c r="E971" s="3"/>
      <c r="F971" s="3"/>
      <c r="G971" s="3"/>
    </row>
    <row r="972" spans="1:7" ht="15">
      <c r="A972" s="3"/>
      <c r="B972" s="3"/>
      <c r="C972" s="3"/>
      <c r="D972" s="3"/>
      <c r="E972" s="3"/>
      <c r="F972" s="3"/>
      <c r="G972" s="3"/>
    </row>
    <row r="973" spans="1:7" ht="15">
      <c r="A973" s="3"/>
      <c r="B973" s="3"/>
      <c r="C973" s="3"/>
      <c r="D973" s="3"/>
      <c r="E973" s="3"/>
      <c r="F973" s="3"/>
      <c r="G973" s="3"/>
    </row>
    <row r="974" spans="1:7" ht="15">
      <c r="A974" s="3"/>
      <c r="B974" s="3"/>
      <c r="C974" s="3"/>
      <c r="D974" s="3"/>
      <c r="E974" s="3"/>
      <c r="F974" s="3"/>
      <c r="G974" s="3"/>
    </row>
    <row r="975" spans="1:7" ht="15">
      <c r="A975" s="3"/>
      <c r="B975" s="3"/>
      <c r="C975" s="3"/>
      <c r="D975" s="3"/>
      <c r="E975" s="3"/>
      <c r="F975" s="3"/>
      <c r="G975" s="3"/>
    </row>
    <row r="976" spans="1:7" ht="15">
      <c r="A976" s="3"/>
      <c r="B976" s="3"/>
      <c r="C976" s="3"/>
      <c r="D976" s="3"/>
      <c r="E976" s="3"/>
      <c r="F976" s="3"/>
      <c r="G976" s="3"/>
    </row>
    <row r="977" spans="1:7" ht="15">
      <c r="A977" s="3"/>
      <c r="B977" s="3"/>
      <c r="C977" s="3"/>
      <c r="D977" s="3"/>
      <c r="E977" s="3"/>
      <c r="F977" s="3"/>
      <c r="G977" s="3"/>
    </row>
    <row r="978" spans="1:7" ht="15">
      <c r="A978" s="3"/>
      <c r="B978" s="3"/>
      <c r="C978" s="3"/>
      <c r="D978" s="3"/>
      <c r="E978" s="3"/>
      <c r="F978" s="3"/>
      <c r="G978" s="3"/>
    </row>
    <row r="979" spans="1:7" ht="15">
      <c r="A979" s="3"/>
      <c r="B979" s="3"/>
      <c r="C979" s="3"/>
      <c r="D979" s="3"/>
      <c r="E979" s="3"/>
      <c r="F979" s="3"/>
      <c r="G979" s="3"/>
    </row>
    <row r="980" spans="1:7" ht="15">
      <c r="A980" s="3"/>
      <c r="B980" s="3"/>
      <c r="C980" s="3"/>
      <c r="D980" s="3"/>
      <c r="E980" s="3"/>
      <c r="F980" s="3"/>
      <c r="G980" s="3"/>
    </row>
    <row r="981" spans="1:7" ht="15">
      <c r="A981" s="3"/>
      <c r="B981" s="3"/>
      <c r="C981" s="3"/>
      <c r="D981" s="3"/>
      <c r="E981" s="3"/>
      <c r="F981" s="3"/>
      <c r="G981" s="3"/>
    </row>
    <row r="982" spans="1:7" ht="15">
      <c r="A982" s="3"/>
      <c r="B982" s="3"/>
      <c r="C982" s="3"/>
      <c r="D982" s="3"/>
      <c r="E982" s="3"/>
      <c r="F982" s="3"/>
      <c r="G982" s="3"/>
    </row>
    <row r="983" spans="1:7" ht="15">
      <c r="A983" s="3"/>
      <c r="B983" s="3"/>
      <c r="C983" s="3"/>
      <c r="D983" s="3"/>
      <c r="E983" s="3"/>
      <c r="F983" s="3"/>
      <c r="G983" s="3"/>
    </row>
    <row r="984" spans="1:7" ht="15">
      <c r="A984" s="3"/>
      <c r="B984" s="3"/>
      <c r="C984" s="3"/>
      <c r="D984" s="3"/>
      <c r="E984" s="3"/>
      <c r="F984" s="3"/>
      <c r="G984" s="3"/>
    </row>
    <row r="985" spans="1:7" ht="15">
      <c r="A985" s="3"/>
      <c r="B985" s="3"/>
      <c r="C985" s="3"/>
      <c r="D985" s="3"/>
      <c r="E985" s="3"/>
      <c r="F985" s="3"/>
      <c r="G985" s="3"/>
    </row>
    <row r="986" spans="1:7" ht="15">
      <c r="A986" s="3"/>
      <c r="B986" s="3"/>
      <c r="C986" s="3"/>
      <c r="D986" s="3"/>
      <c r="E986" s="3"/>
      <c r="F986" s="3"/>
      <c r="G986" s="3"/>
    </row>
    <row r="987" spans="1:7" ht="15">
      <c r="A987" s="3"/>
      <c r="B987" s="3"/>
      <c r="C987" s="3"/>
      <c r="D987" s="3"/>
      <c r="E987" s="3"/>
      <c r="F987" s="3"/>
      <c r="G987" s="3"/>
    </row>
    <row r="988" spans="1:7" ht="15">
      <c r="A988" s="3"/>
      <c r="B988" s="3"/>
      <c r="C988" s="3"/>
      <c r="D988" s="3"/>
      <c r="E988" s="3"/>
      <c r="F988" s="3"/>
      <c r="G988" s="3"/>
    </row>
    <row r="989" spans="1:7" ht="15">
      <c r="A989" s="3"/>
      <c r="B989" s="3"/>
      <c r="C989" s="3"/>
      <c r="D989" s="3"/>
      <c r="E989" s="3"/>
      <c r="F989" s="3"/>
      <c r="G989" s="3"/>
    </row>
    <row r="990" spans="1:7" ht="15">
      <c r="A990" s="3"/>
      <c r="B990" s="3"/>
      <c r="C990" s="3"/>
      <c r="D990" s="3"/>
      <c r="E990" s="3"/>
      <c r="F990" s="3"/>
      <c r="G990" s="3"/>
    </row>
    <row r="991" spans="1:7" ht="15">
      <c r="A991" s="3"/>
      <c r="B991" s="3"/>
      <c r="C991" s="3"/>
      <c r="D991" s="3"/>
      <c r="E991" s="3"/>
      <c r="F991" s="3"/>
      <c r="G991" s="3"/>
    </row>
    <row r="992" spans="1:7" ht="15">
      <c r="A992" s="3"/>
      <c r="B992" s="3"/>
      <c r="C992" s="3"/>
      <c r="D992" s="3"/>
      <c r="E992" s="3"/>
      <c r="F992" s="3"/>
      <c r="G992" s="3"/>
    </row>
    <row r="993" spans="1:7" ht="15">
      <c r="A993" s="3"/>
      <c r="B993" s="3"/>
      <c r="C993" s="3"/>
      <c r="D993" s="3"/>
      <c r="E993" s="3"/>
      <c r="F993" s="3"/>
      <c r="G993" s="3"/>
    </row>
    <row r="994" spans="1:7" ht="15">
      <c r="A994" s="3"/>
      <c r="B994" s="3"/>
      <c r="C994" s="3"/>
      <c r="D994" s="3"/>
      <c r="E994" s="3"/>
      <c r="F994" s="3"/>
      <c r="G994" s="3"/>
    </row>
    <row r="995" spans="1:7" ht="15">
      <c r="A995" s="3"/>
      <c r="B995" s="3"/>
      <c r="C995" s="3"/>
      <c r="D995" s="3"/>
      <c r="E995" s="3"/>
      <c r="F995" s="3"/>
      <c r="G995" s="3"/>
    </row>
    <row r="996" spans="1:7" ht="15">
      <c r="A996" s="3"/>
      <c r="B996" s="3"/>
      <c r="C996" s="3"/>
      <c r="D996" s="3"/>
      <c r="E996" s="3"/>
      <c r="F996" s="3"/>
      <c r="G996" s="3"/>
    </row>
    <row r="997" spans="1:7" ht="15">
      <c r="A997" s="3"/>
      <c r="B997" s="3"/>
      <c r="C997" s="3"/>
      <c r="D997" s="3"/>
      <c r="E997" s="3"/>
      <c r="F997" s="3"/>
      <c r="G997" s="3"/>
    </row>
    <row r="998" spans="1:7" ht="15">
      <c r="A998" s="3"/>
      <c r="B998" s="3"/>
      <c r="C998" s="3"/>
      <c r="D998" s="3"/>
      <c r="E998" s="3"/>
      <c r="F998" s="3"/>
      <c r="G998" s="3"/>
    </row>
    <row r="999" spans="1:7" ht="15">
      <c r="A999" s="3"/>
      <c r="B999" s="3"/>
      <c r="C999" s="3"/>
      <c r="D999" s="3"/>
      <c r="E999" s="3"/>
      <c r="F999" s="3"/>
      <c r="G999" s="3"/>
    </row>
    <row r="1000" spans="1:7" ht="15">
      <c r="A1000" s="3"/>
      <c r="B1000" s="3"/>
      <c r="C1000" s="3"/>
      <c r="D1000" s="3"/>
      <c r="E1000" s="3"/>
      <c r="F1000" s="3"/>
      <c r="G1000" s="3"/>
    </row>
  </sheetData>
  <mergeCells count="3">
    <mergeCell ref="A1:G1"/>
    <mergeCell ref="A3:G3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zoomScaleSheetLayoutView="100" workbookViewId="0"/>
  </sheetViews>
  <sheetFormatPr defaultRowHeight="14.25"/>
  <cols>
    <col min="1" max="8" width="18.25" customWidth="1"/>
    <col min="9" max="26" width="9" style="1"/>
  </cols>
  <sheetData>
    <row r="1" spans="1:8" ht="30" customHeight="1">
      <c r="A1" s="28" t="s">
        <v>75</v>
      </c>
      <c r="B1" s="28"/>
      <c r="C1" s="28"/>
      <c r="D1" s="28"/>
      <c r="E1" s="28"/>
      <c r="F1" s="28"/>
      <c r="G1" s="28"/>
      <c r="H1" s="28"/>
    </row>
    <row r="2" spans="1:8" ht="15">
      <c r="A2" s="38" t="s">
        <v>76</v>
      </c>
      <c r="B2" s="38"/>
      <c r="C2" s="38"/>
      <c r="D2" s="38"/>
      <c r="E2" s="38"/>
      <c r="F2" s="38"/>
      <c r="G2" s="38"/>
      <c r="H2" s="38"/>
    </row>
    <row r="3" spans="1:8" ht="15">
      <c r="A3" s="3"/>
      <c r="B3" s="3"/>
      <c r="C3" s="3"/>
      <c r="D3" s="3"/>
      <c r="E3" s="3"/>
      <c r="F3" s="3"/>
      <c r="G3" s="3"/>
      <c r="H3" s="3"/>
    </row>
    <row r="4" spans="1:8" ht="15">
      <c r="A4" s="20" t="s">
        <v>73</v>
      </c>
      <c r="B4" s="20" t="s">
        <v>38</v>
      </c>
      <c r="C4" s="20" t="s">
        <v>42</v>
      </c>
      <c r="D4" s="20" t="s">
        <v>45</v>
      </c>
      <c r="E4" s="20" t="s">
        <v>48</v>
      </c>
      <c r="F4" s="20" t="s">
        <v>50</v>
      </c>
      <c r="G4" s="20" t="s">
        <v>16</v>
      </c>
      <c r="H4" s="20" t="s">
        <v>74</v>
      </c>
    </row>
    <row r="5" spans="1:8" ht="15">
      <c r="A5" s="25">
        <f>'Price Data'!A5</f>
        <v>44928</v>
      </c>
      <c r="B5" s="26">
        <v>0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</row>
    <row r="6" spans="1:8" ht="15">
      <c r="A6" s="25">
        <f>'Price Data'!A6</f>
        <v>44929</v>
      </c>
      <c r="B6" s="27">
        <f>IFERROR('Price Data'!B6/'Price Data'!B5-1,0)</f>
        <v>-7.317890964801288E-3</v>
      </c>
      <c r="C6" s="27">
        <f>IFERROR('Price Data'!C6/'Price Data'!C5-1,0)</f>
        <v>6.5388992937305268E-3</v>
      </c>
      <c r="D6" s="27">
        <f>IFERROR('Price Data'!D6/'Price Data'!D5-1,0)</f>
        <v>1.5300091014013528E-2</v>
      </c>
      <c r="E6" s="27">
        <f>IFERROR('Price Data'!E6/'Price Data'!E5-1,0)</f>
        <v>-1.2189740505043067E-3</v>
      </c>
      <c r="F6" s="27">
        <f>IFERROR('Price Data'!F6/'Price Data'!F5-1,0)</f>
        <v>-9.5142036719486622E-4</v>
      </c>
      <c r="G6" s="27">
        <f>B6*Portfolio!$D$5+C6*Portfolio!$D$6+D6*Portfolio!$D$7+E6*Portfolio!$D$8+F6*Portfolio!$D$9</f>
        <v>2.5397111223801399E-3</v>
      </c>
      <c r="H6" s="27">
        <f>IFERROR('Price Data'!G6/'Price Data'!G5-1,0)</f>
        <v>1.9289276248581899E-3</v>
      </c>
    </row>
    <row r="7" spans="1:8" ht="15">
      <c r="A7" s="25">
        <f>'Price Data'!A7</f>
        <v>44930</v>
      </c>
      <c r="B7" s="27">
        <f>IFERROR('Price Data'!B7/'Price Data'!B6-1,0)</f>
        <v>-1.5056437608598983E-2</v>
      </c>
      <c r="C7" s="27">
        <f>IFERROR('Price Data'!C7/'Price Data'!C6-1,0)</f>
        <v>-1.7872862974245285E-2</v>
      </c>
      <c r="D7" s="27">
        <f>IFERROR('Price Data'!D7/'Price Data'!D6-1,0)</f>
        <v>9.9656305413664548E-4</v>
      </c>
      <c r="E7" s="27">
        <f>IFERROR('Price Data'!E7/'Price Data'!E6-1,0)</f>
        <v>-2.4962287329091115E-3</v>
      </c>
      <c r="F7" s="27">
        <f>IFERROR('Price Data'!F7/'Price Data'!F6-1,0)</f>
        <v>-1.8226025653242939E-2</v>
      </c>
      <c r="G7" s="27">
        <f>B7*Portfolio!$D$5+C7*Portfolio!$D$6+D7*Portfolio!$D$7+E7*Portfolio!$D$8+F7*Portfolio!$D$9</f>
        <v>-1.1141350692806544E-2</v>
      </c>
      <c r="H7" s="27">
        <f>IFERROR('Price Data'!G7/'Price Data'!G6-1,0)</f>
        <v>-1.0399069487028845E-2</v>
      </c>
    </row>
    <row r="8" spans="1:8" ht="15">
      <c r="A8" s="25">
        <f>'Price Data'!A8</f>
        <v>44931</v>
      </c>
      <c r="B8" s="27">
        <f>IFERROR('Price Data'!B8/'Price Data'!B7-1,0)</f>
        <v>-1.7866525640224395E-3</v>
      </c>
      <c r="C8" s="27">
        <f>IFERROR('Price Data'!C8/'Price Data'!C7-1,0)</f>
        <v>-6.42851754067153E-3</v>
      </c>
      <c r="D8" s="27">
        <f>IFERROR('Price Data'!D8/'Price Data'!D7-1,0)</f>
        <v>-1.0709526912875411E-3</v>
      </c>
      <c r="E8" s="27">
        <f>IFERROR('Price Data'!E8/'Price Data'!E7-1,0)</f>
        <v>-2.2188782916077843E-2</v>
      </c>
      <c r="F8" s="27">
        <f>IFERROR('Price Data'!F8/'Price Data'!F7-1,0)</f>
        <v>-1.3112225747990647E-2</v>
      </c>
      <c r="G8" s="27">
        <f>B8*Portfolio!$D$5+C8*Portfolio!$D$6+D8*Portfolio!$D$7+E8*Portfolio!$D$8+F8*Portfolio!$D$9</f>
        <v>-7.5631343640412737E-3</v>
      </c>
      <c r="H8" s="27">
        <f>IFERROR('Price Data'!G8/'Price Data'!G7-1,0)</f>
        <v>-2.8154392892826285E-3</v>
      </c>
    </row>
    <row r="9" spans="1:8" ht="15">
      <c r="A9" s="25">
        <f>'Price Data'!A9</f>
        <v>44932</v>
      </c>
      <c r="B9" s="27">
        <f>IFERROR('Price Data'!B9/'Price Data'!B8-1,0)</f>
        <v>9.0888069273942218E-3</v>
      </c>
      <c r="C9" s="27">
        <f>IFERROR('Price Data'!C9/'Price Data'!C8-1,0)</f>
        <v>-3.3130823305230761E-3</v>
      </c>
      <c r="D9" s="27">
        <f>IFERROR('Price Data'!D9/'Price Data'!D8-1,0)</f>
        <v>-3.0065614234839999E-2</v>
      </c>
      <c r="E9" s="27">
        <f>IFERROR('Price Data'!E9/'Price Data'!E8-1,0)</f>
        <v>-1.0294178224065531E-2</v>
      </c>
      <c r="F9" s="27">
        <f>IFERROR('Price Data'!F9/'Price Data'!F8-1,0)</f>
        <v>-1.809923677561831E-2</v>
      </c>
      <c r="G9" s="27">
        <f>B9*Portfolio!$D$5+C9*Portfolio!$D$6+D9*Portfolio!$D$7+E9*Portfolio!$D$8+F9*Portfolio!$D$9</f>
        <v>-8.828203947702791E-3</v>
      </c>
      <c r="H9" s="27">
        <f>IFERROR('Price Data'!G9/'Price Data'!G8-1,0)</f>
        <v>-7.3755037054461514E-3</v>
      </c>
    </row>
    <row r="10" spans="1:8" ht="15">
      <c r="A10" s="25">
        <f>'Price Data'!A10</f>
        <v>44935</v>
      </c>
      <c r="B10" s="27">
        <f>IFERROR('Price Data'!B10/'Price Data'!B9-1,0)</f>
        <v>2.3611567044850457E-2</v>
      </c>
      <c r="C10" s="27">
        <f>IFERROR('Price Data'!C10/'Price Data'!C9-1,0)</f>
        <v>1.9442989605711336E-3</v>
      </c>
      <c r="D10" s="27">
        <f>IFERROR('Price Data'!D10/'Price Data'!D9-1,0)</f>
        <v>3.3753025850149276E-2</v>
      </c>
      <c r="E10" s="27">
        <f>IFERROR('Price Data'!E10/'Price Data'!E9-1,0)</f>
        <v>3.735234673835075E-3</v>
      </c>
      <c r="F10" s="27">
        <f>IFERROR('Price Data'!F10/'Price Data'!F9-1,0)</f>
        <v>2.4818751532543315E-2</v>
      </c>
      <c r="G10" s="27">
        <f>B10*Portfolio!$D$5+C10*Portfolio!$D$6+D10*Portfolio!$D$7+E10*Portfolio!$D$8+F10*Portfolio!$D$9</f>
        <v>1.7422669602342011E-2</v>
      </c>
      <c r="H10" s="27">
        <f>IFERROR('Price Data'!G10/'Price Data'!G9-1,0)</f>
        <v>1.3536251708490266E-2</v>
      </c>
    </row>
    <row r="11" spans="1:8" ht="15">
      <c r="A11" s="25">
        <f>'Price Data'!A11</f>
        <v>44936</v>
      </c>
      <c r="B11" s="27">
        <f>IFERROR('Price Data'!B11/'Price Data'!B10-1,0)</f>
        <v>-1.4787479828224814E-2</v>
      </c>
      <c r="C11" s="27">
        <f>IFERROR('Price Data'!C11/'Price Data'!C10-1,0)</f>
        <v>-1.8278445664585918E-2</v>
      </c>
      <c r="D11" s="27">
        <f>IFERROR('Price Data'!D11/'Price Data'!D10-1,0)</f>
        <v>-1.0105425721250172E-2</v>
      </c>
      <c r="E11" s="27">
        <f>IFERROR('Price Data'!E11/'Price Data'!E10-1,0)</f>
        <v>-1.3740191230277699E-2</v>
      </c>
      <c r="F11" s="27">
        <f>IFERROR('Price Data'!F11/'Price Data'!F10-1,0)</f>
        <v>-9.9024394310207597E-3</v>
      </c>
      <c r="G11" s="27">
        <f>B11*Portfolio!$D$5+C11*Portfolio!$D$6+D11*Portfolio!$D$7+E11*Portfolio!$D$8+F11*Portfolio!$D$9</f>
        <v>-1.3833961116647487E-2</v>
      </c>
      <c r="H11" s="27">
        <f>IFERROR('Price Data'!G11/'Price Data'!G10-1,0)</f>
        <v>-1.0333504750958511E-2</v>
      </c>
    </row>
    <row r="12" spans="1:8" ht="15">
      <c r="A12" s="25">
        <f>'Price Data'!A12</f>
        <v>44937</v>
      </c>
      <c r="B12" s="27">
        <f>IFERROR('Price Data'!B12/'Price Data'!B11-1,0)</f>
        <v>-1.2605566156331349E-2</v>
      </c>
      <c r="C12" s="27">
        <f>IFERROR('Price Data'!C12/'Price Data'!C11-1,0)</f>
        <v>1.4410408289968313E-2</v>
      </c>
      <c r="D12" s="27">
        <f>IFERROR('Price Data'!D12/'Price Data'!D11-1,0)</f>
        <v>1.287122080536296E-2</v>
      </c>
      <c r="E12" s="27">
        <f>IFERROR('Price Data'!E12/'Price Data'!E11-1,0)</f>
        <v>5.7467600272216313E-3</v>
      </c>
      <c r="F12" s="27">
        <f>IFERROR('Price Data'!F12/'Price Data'!F11-1,0)</f>
        <v>1.0205854613341003E-3</v>
      </c>
      <c r="G12" s="27">
        <f>B12*Portfolio!$D$5+C12*Portfolio!$D$6+D12*Portfolio!$D$7+E12*Portfolio!$D$8+F12*Portfolio!$D$9</f>
        <v>4.0405565177651925E-3</v>
      </c>
      <c r="H12" s="27">
        <f>IFERROR('Price Data'!G12/'Price Data'!G11-1,0)</f>
        <v>-1.0299775022909463E-3</v>
      </c>
    </row>
    <row r="13" spans="1:8" ht="15">
      <c r="A13" s="25">
        <f>'Price Data'!A13</f>
        <v>44938</v>
      </c>
      <c r="B13" s="27">
        <f>IFERROR('Price Data'!B13/'Price Data'!B12-1,0)</f>
        <v>-2.159418693140025E-2</v>
      </c>
      <c r="C13" s="27">
        <f>IFERROR('Price Data'!C13/'Price Data'!C12-1,0)</f>
        <v>5.3429623370597756E-3</v>
      </c>
      <c r="D13" s="27">
        <f>IFERROR('Price Data'!D13/'Price Data'!D12-1,0)</f>
        <v>1.6971981845517181E-3</v>
      </c>
      <c r="E13" s="27">
        <f>IFERROR('Price Data'!E13/'Price Data'!E12-1,0)</f>
        <v>-6.5219056596512726E-3</v>
      </c>
      <c r="F13" s="27">
        <f>IFERROR('Price Data'!F13/'Price Data'!F12-1,0)</f>
        <v>6.3550802054026523E-3</v>
      </c>
      <c r="G13" s="27">
        <f>B13*Portfolio!$D$5+C13*Portfolio!$D$6+D13*Portfolio!$D$7+E13*Portfolio!$D$8+F13*Portfolio!$D$9</f>
        <v>-3.7483903298120677E-3</v>
      </c>
      <c r="H13" s="27">
        <f>IFERROR('Price Data'!G13/'Price Data'!G12-1,0)</f>
        <v>-2.0954755408891801E-3</v>
      </c>
    </row>
    <row r="14" spans="1:8" ht="15">
      <c r="A14" s="25">
        <f>'Price Data'!A14</f>
        <v>44939</v>
      </c>
      <c r="B14" s="27">
        <f>IFERROR('Price Data'!B14/'Price Data'!B13-1,0)</f>
        <v>-1.6182070465916576E-3</v>
      </c>
      <c r="C14" s="27">
        <f>IFERROR('Price Data'!C14/'Price Data'!C13-1,0)</f>
        <v>7.8154445729450295E-4</v>
      </c>
      <c r="D14" s="27">
        <f>IFERROR('Price Data'!D14/'Price Data'!D13-1,0)</f>
        <v>1.2056429772639765E-2</v>
      </c>
      <c r="E14" s="27">
        <f>IFERROR('Price Data'!E14/'Price Data'!E13-1,0)</f>
        <v>1.4872435551725571E-2</v>
      </c>
      <c r="F14" s="27">
        <f>IFERROR('Price Data'!F14/'Price Data'!F13-1,0)</f>
        <v>1.5568006442149063E-2</v>
      </c>
      <c r="G14" s="27">
        <f>B14*Portfolio!$D$5+C14*Portfolio!$D$6+D14*Portfolio!$D$7+E14*Portfolio!$D$8+F14*Portfolio!$D$9</f>
        <v>6.7681866062848598E-3</v>
      </c>
      <c r="H14" s="27">
        <f>IFERROR('Price Data'!G14/'Price Data'!G13-1,0)</f>
        <v>5.510095918388247E-3</v>
      </c>
    </row>
    <row r="15" spans="1:8" ht="15">
      <c r="A15" s="25">
        <f>'Price Data'!A15</f>
        <v>44942</v>
      </c>
      <c r="B15" s="27">
        <f>IFERROR('Price Data'!B15/'Price Data'!B14-1,0)</f>
        <v>-9.5234642560632077E-3</v>
      </c>
      <c r="C15" s="27">
        <f>IFERROR('Price Data'!C15/'Price Data'!C14-1,0)</f>
        <v>-9.5898452463112349E-3</v>
      </c>
      <c r="D15" s="27">
        <f>IFERROR('Price Data'!D15/'Price Data'!D14-1,0)</f>
        <v>1.0456066953795418E-2</v>
      </c>
      <c r="E15" s="27">
        <f>IFERROR('Price Data'!E15/'Price Data'!E14-1,0)</f>
        <v>-9.3879863821135778E-3</v>
      </c>
      <c r="F15" s="27">
        <f>IFERROR('Price Data'!F15/'Price Data'!F14-1,0)</f>
        <v>1.4531279772533434E-2</v>
      </c>
      <c r="G15" s="27">
        <f>B15*Portfolio!$D$5+C15*Portfolio!$D$6+D15*Portfolio!$D$7+E15*Portfolio!$D$8+F15*Portfolio!$D$9</f>
        <v>-1.9156199762715483E-3</v>
      </c>
      <c r="H15" s="27">
        <f>IFERROR('Price Data'!G15/'Price Data'!G14-1,0)</f>
        <v>-3.4388470725693621E-3</v>
      </c>
    </row>
    <row r="16" spans="1:8" ht="15">
      <c r="A16" s="25">
        <f>'Price Data'!A16</f>
        <v>44943</v>
      </c>
      <c r="B16" s="27">
        <f>IFERROR('Price Data'!B16/'Price Data'!B15-1,0)</f>
        <v>1.4197388178270209E-2</v>
      </c>
      <c r="C16" s="27">
        <f>IFERROR('Price Data'!C16/'Price Data'!C15-1,0)</f>
        <v>1.4886739762346668E-2</v>
      </c>
      <c r="D16" s="27">
        <f>IFERROR('Price Data'!D16/'Price Data'!D15-1,0)</f>
        <v>1.3301970334381963E-2</v>
      </c>
      <c r="E16" s="27">
        <f>IFERROR('Price Data'!E16/'Price Data'!E15-1,0)</f>
        <v>-1.1558673787115392E-4</v>
      </c>
      <c r="F16" s="27">
        <f>IFERROR('Price Data'!F16/'Price Data'!F15-1,0)</f>
        <v>9.1771749928799551E-3</v>
      </c>
      <c r="G16" s="27">
        <f>B16*Portfolio!$D$5+C16*Portfolio!$D$6+D16*Portfolio!$D$7+E16*Portfolio!$D$8+F16*Portfolio!$D$9</f>
        <v>1.1290664290281933E-2</v>
      </c>
      <c r="H16" s="27">
        <f>IFERROR('Price Data'!G16/'Price Data'!G15-1,0)</f>
        <v>8.8545685118242012E-3</v>
      </c>
    </row>
    <row r="17" spans="1:8" ht="15">
      <c r="A17" s="25">
        <f>'Price Data'!A17</f>
        <v>44944</v>
      </c>
      <c r="B17" s="27">
        <f>IFERROR('Price Data'!B17/'Price Data'!B16-1,0)</f>
        <v>-1.6540393804862497E-3</v>
      </c>
      <c r="C17" s="27">
        <f>IFERROR('Price Data'!C17/'Price Data'!C16-1,0)</f>
        <v>1.7651868963196371E-2</v>
      </c>
      <c r="D17" s="27">
        <f>IFERROR('Price Data'!D17/'Price Data'!D16-1,0)</f>
        <v>3.4336367057381523E-3</v>
      </c>
      <c r="E17" s="27">
        <f>IFERROR('Price Data'!E17/'Price Data'!E16-1,0)</f>
        <v>5.0279898277696411E-3</v>
      </c>
      <c r="F17" s="27">
        <f>IFERROR('Price Data'!F17/'Price Data'!F16-1,0)</f>
        <v>3.8324633467530234E-3</v>
      </c>
      <c r="G17" s="27">
        <f>B17*Portfolio!$D$5+C17*Portfolio!$D$6+D17*Portfolio!$D$7+E17*Portfolio!$D$8+F17*Portfolio!$D$9</f>
        <v>6.0152527130035603E-3</v>
      </c>
      <c r="H17" s="27">
        <f>IFERROR('Price Data'!G17/'Price Data'!G16-1,0)</f>
        <v>6.2065563235600418E-3</v>
      </c>
    </row>
    <row r="18" spans="1:8" ht="15">
      <c r="A18" s="25">
        <f>'Price Data'!A18</f>
        <v>44945</v>
      </c>
      <c r="B18" s="27">
        <f>IFERROR('Price Data'!B18/'Price Data'!B17-1,0)</f>
        <v>-1.0707951478997613E-3</v>
      </c>
      <c r="C18" s="27">
        <f>IFERROR('Price Data'!C18/'Price Data'!C17-1,0)</f>
        <v>4.1530003346310629E-3</v>
      </c>
      <c r="D18" s="27">
        <f>IFERROR('Price Data'!D18/'Price Data'!D17-1,0)</f>
        <v>-4.9851625358713347E-3</v>
      </c>
      <c r="E18" s="27">
        <f>IFERROR('Price Data'!E18/'Price Data'!E17-1,0)</f>
        <v>-3.8527617741579423E-3</v>
      </c>
      <c r="F18" s="27">
        <f>IFERROR('Price Data'!F18/'Price Data'!F17-1,0)</f>
        <v>-4.2060469370940323E-3</v>
      </c>
      <c r="G18" s="27">
        <f>B18*Portfolio!$D$5+C18*Portfolio!$D$6+D18*Portfolio!$D$7+E18*Portfolio!$D$8+F18*Portfolio!$D$9</f>
        <v>-1.4353025171792376E-3</v>
      </c>
      <c r="H18" s="27">
        <f>IFERROR('Price Data'!G18/'Price Data'!G17-1,0)</f>
        <v>-3.1653670992560778E-3</v>
      </c>
    </row>
    <row r="19" spans="1:8" ht="15">
      <c r="A19" s="25">
        <f>'Price Data'!A19</f>
        <v>44946</v>
      </c>
      <c r="B19" s="27">
        <f>IFERROR('Price Data'!B19/'Price Data'!B18-1,0)</f>
        <v>-1.1892981316416362E-2</v>
      </c>
      <c r="C19" s="27">
        <f>IFERROR('Price Data'!C19/'Price Data'!C18-1,0)</f>
        <v>1.0248856889641722E-2</v>
      </c>
      <c r="D19" s="27">
        <f>IFERROR('Price Data'!D19/'Price Data'!D18-1,0)</f>
        <v>-2.9646519142410011E-3</v>
      </c>
      <c r="E19" s="27">
        <f>IFERROR('Price Data'!E19/'Price Data'!E18-1,0)</f>
        <v>4.8490210537779355E-3</v>
      </c>
      <c r="F19" s="27">
        <f>IFERROR('Price Data'!F19/'Price Data'!F18-1,0)</f>
        <v>-8.6748931499411874E-3</v>
      </c>
      <c r="G19" s="27">
        <f>B19*Portfolio!$D$5+C19*Portfolio!$D$6+D19*Portfolio!$D$7+E19*Portfolio!$D$8+F19*Portfolio!$D$9</f>
        <v>-1.5778423039663481E-3</v>
      </c>
      <c r="H19" s="27">
        <f>IFERROR('Price Data'!G19/'Price Data'!G18-1,0)</f>
        <v>-4.4289753051891534E-3</v>
      </c>
    </row>
    <row r="20" spans="1:8" ht="15">
      <c r="A20" s="25">
        <f>'Price Data'!A20</f>
        <v>44949</v>
      </c>
      <c r="B20" s="27">
        <f>IFERROR('Price Data'!B20/'Price Data'!B19-1,0)</f>
        <v>-5.0560112830920767E-3</v>
      </c>
      <c r="C20" s="27">
        <f>IFERROR('Price Data'!C20/'Price Data'!C19-1,0)</f>
        <v>7.3152065495658558E-3</v>
      </c>
      <c r="D20" s="27">
        <f>IFERROR('Price Data'!D20/'Price Data'!D19-1,0)</f>
        <v>1.5402489740754088E-2</v>
      </c>
      <c r="E20" s="27">
        <f>IFERROR('Price Data'!E20/'Price Data'!E19-1,0)</f>
        <v>1.5510977624206834E-3</v>
      </c>
      <c r="F20" s="27">
        <f>IFERROR('Price Data'!F20/'Price Data'!F19-1,0)</f>
        <v>1.4715942886496469E-2</v>
      </c>
      <c r="G20" s="27">
        <f>B20*Portfolio!$D$5+C20*Portfolio!$D$6+D20*Portfolio!$D$7+E20*Portfolio!$D$8+F20*Portfolio!$D$9</f>
        <v>6.085352862106836E-3</v>
      </c>
      <c r="H20" s="27">
        <f>IFERROR('Price Data'!G20/'Price Data'!G19-1,0)</f>
        <v>5.0422760956287949E-3</v>
      </c>
    </row>
    <row r="21" spans="1:8" ht="15">
      <c r="A21" s="25">
        <f>'Price Data'!A21</f>
        <v>44950</v>
      </c>
      <c r="B21" s="27">
        <f>IFERROR('Price Data'!B21/'Price Data'!B20-1,0)</f>
        <v>-5.9045576495226904E-3</v>
      </c>
      <c r="C21" s="27">
        <f>IFERROR('Price Data'!C21/'Price Data'!C20-1,0)</f>
        <v>1.3388229841182486E-2</v>
      </c>
      <c r="D21" s="27">
        <f>IFERROR('Price Data'!D21/'Price Data'!D20-1,0)</f>
        <v>6.2665993892716543E-3</v>
      </c>
      <c r="E21" s="27">
        <f>IFERROR('Price Data'!E21/'Price Data'!E20-1,0)</f>
        <v>-1.0897696688428882E-3</v>
      </c>
      <c r="F21" s="27">
        <f>IFERROR('Price Data'!F21/'Price Data'!F20-1,0)</f>
        <v>2.519424498475864E-3</v>
      </c>
      <c r="G21" s="27">
        <f>B21*Portfolio!$D$5+C21*Portfolio!$D$6+D21*Portfolio!$D$7+E21*Portfolio!$D$8+F21*Portfolio!$D$9</f>
        <v>3.3386861502142265E-3</v>
      </c>
      <c r="H21" s="27">
        <f>IFERROR('Price Data'!G21/'Price Data'!G20-1,0)</f>
        <v>-1.3798013043020418E-5</v>
      </c>
    </row>
    <row r="22" spans="1:8" ht="15">
      <c r="A22" s="25">
        <f>'Price Data'!A22</f>
        <v>44951</v>
      </c>
      <c r="B22" s="27">
        <f>IFERROR('Price Data'!B22/'Price Data'!B21-1,0)</f>
        <v>-1.3824847898207038E-2</v>
      </c>
      <c r="C22" s="27">
        <f>IFERROR('Price Data'!C22/'Price Data'!C21-1,0)</f>
        <v>-2.7631931387814612E-2</v>
      </c>
      <c r="D22" s="27">
        <f>IFERROR('Price Data'!D22/'Price Data'!D21-1,0)</f>
        <v>-1.9060757171607268E-3</v>
      </c>
      <c r="E22" s="27">
        <f>IFERROR('Price Data'!E22/'Price Data'!E21-1,0)</f>
        <v>-1.7743448322626088E-2</v>
      </c>
      <c r="F22" s="27">
        <f>IFERROR('Price Data'!F22/'Price Data'!F21-1,0)</f>
        <v>-5.7350496774187798E-3</v>
      </c>
      <c r="G22" s="27">
        <f>B22*Portfolio!$D$5+C22*Portfolio!$D$6+D22*Portfolio!$D$7+E22*Portfolio!$D$8+F22*Portfolio!$D$9</f>
        <v>-1.4267184664944288E-2</v>
      </c>
      <c r="H22" s="27">
        <f>IFERROR('Price Data'!G22/'Price Data'!G21-1,0)</f>
        <v>-1.2492979625012279E-2</v>
      </c>
    </row>
    <row r="23" spans="1:8" ht="15">
      <c r="A23" s="25">
        <f>'Price Data'!A23</f>
        <v>44953</v>
      </c>
      <c r="B23" s="27">
        <f>IFERROR('Price Data'!B23/'Price Data'!B22-1,0)</f>
        <v>-1.8971282106560627E-2</v>
      </c>
      <c r="C23" s="27">
        <f>IFERROR('Price Data'!C23/'Price Data'!C22-1,0)</f>
        <v>-1.9925403509013395E-2</v>
      </c>
      <c r="D23" s="27">
        <f>IFERROR('Price Data'!D23/'Price Data'!D22-1,0)</f>
        <v>-5.4522962129762709E-3</v>
      </c>
      <c r="E23" s="27">
        <f>IFERROR('Price Data'!E23/'Price Data'!E22-1,0)</f>
        <v>-4.4545676122803024E-2</v>
      </c>
      <c r="F23" s="27">
        <f>IFERROR('Price Data'!F23/'Price Data'!F22-1,0)</f>
        <v>-1.5456882759748769E-2</v>
      </c>
      <c r="G23" s="27">
        <f>B23*Portfolio!$D$5+C23*Portfolio!$D$6+D23*Portfolio!$D$7+E23*Portfolio!$D$8+F23*Portfolio!$D$9</f>
        <v>-1.9815014478871528E-2</v>
      </c>
      <c r="H23" s="27">
        <f>IFERROR('Price Data'!G23/'Price Data'!G22-1,0)</f>
        <v>-1.6074246906178757E-2</v>
      </c>
    </row>
    <row r="24" spans="1:8" ht="15">
      <c r="A24" s="25">
        <f>'Price Data'!A24</f>
        <v>44956</v>
      </c>
      <c r="B24" s="27">
        <f>IFERROR('Price Data'!B24/'Price Data'!B23-1,0)</f>
        <v>9.5835067414524744E-3</v>
      </c>
      <c r="C24" s="27">
        <f>IFERROR('Price Data'!C24/'Price Data'!C23-1,0)</f>
        <v>-1.0211614075045228E-3</v>
      </c>
      <c r="D24" s="27">
        <f>IFERROR('Price Data'!D24/'Price Data'!D23-1,0)</f>
        <v>6.6254001306100818E-3</v>
      </c>
      <c r="E24" s="27">
        <f>IFERROR('Price Data'!E24/'Price Data'!E23-1,0)</f>
        <v>7.7091370540891546E-3</v>
      </c>
      <c r="F24" s="27">
        <f>IFERROR('Price Data'!F24/'Price Data'!F23-1,0)</f>
        <v>1.2934905842270972E-2</v>
      </c>
      <c r="G24" s="27">
        <f>B24*Portfolio!$D$5+C24*Portfolio!$D$6+D24*Portfolio!$D$7+E24*Portfolio!$D$8+F24*Portfolio!$D$9</f>
        <v>6.5622727940630229E-3</v>
      </c>
      <c r="H24" s="27">
        <f>IFERROR('Price Data'!G24/'Price Data'!G23-1,0)</f>
        <v>2.5334426073457816E-3</v>
      </c>
    </row>
    <row r="25" spans="1:8" ht="15">
      <c r="A25" s="25">
        <f>'Price Data'!A25</f>
        <v>44957</v>
      </c>
      <c r="B25" s="27">
        <f>IFERROR('Price Data'!B25/'Price Data'!B24-1,0)</f>
        <v>-2.5001266513774434E-3</v>
      </c>
      <c r="C25" s="27">
        <f>IFERROR('Price Data'!C25/'Price Data'!C24-1,0)</f>
        <v>-6.5979210473465777E-3</v>
      </c>
      <c r="D25" s="27">
        <f>IFERROR('Price Data'!D25/'Price Data'!D24-1,0)</f>
        <v>-2.1828063594196756E-2</v>
      </c>
      <c r="E25" s="27">
        <f>IFERROR('Price Data'!E25/'Price Data'!E24-1,0)</f>
        <v>1.0200391774155548E-2</v>
      </c>
      <c r="F25" s="27">
        <f>IFERROR('Price Data'!F25/'Price Data'!F24-1,0)</f>
        <v>-3.2816403111549652E-3</v>
      </c>
      <c r="G25" s="27">
        <f>B25*Portfolio!$D$5+C25*Portfolio!$D$6+D25*Portfolio!$D$7+E25*Portfolio!$D$8+F25*Portfolio!$D$9</f>
        <v>-5.6023119240702695E-3</v>
      </c>
      <c r="H25" s="27">
        <f>IFERROR('Price Data'!G25/'Price Data'!G24-1,0)</f>
        <v>7.4798628016758961E-4</v>
      </c>
    </row>
    <row r="26" spans="1:8" ht="15">
      <c r="A26" s="25">
        <f>'Price Data'!A26</f>
        <v>44958</v>
      </c>
      <c r="B26" s="27">
        <f>IFERROR('Price Data'!B26/'Price Data'!B25-1,0)</f>
        <v>-5.9265048572276768E-3</v>
      </c>
      <c r="C26" s="27">
        <f>IFERROR('Price Data'!C26/'Price Data'!C25-1,0)</f>
        <v>1.4998422653446752E-2</v>
      </c>
      <c r="D26" s="27">
        <f>IFERROR('Price Data'!D26/'Price Data'!D25-1,0)</f>
        <v>1.4782510961631523E-2</v>
      </c>
      <c r="E26" s="27">
        <f>IFERROR('Price Data'!E26/'Price Data'!E25-1,0)</f>
        <v>1.9293247803100044E-2</v>
      </c>
      <c r="F26" s="27">
        <f>IFERROR('Price Data'!F26/'Price Data'!F25-1,0)</f>
        <v>1.1312016608334918E-2</v>
      </c>
      <c r="G26" s="27">
        <f>B26*Portfolio!$D$5+C26*Portfolio!$D$6+D26*Portfolio!$D$7+E26*Portfolio!$D$8+F26*Portfolio!$D$9</f>
        <v>9.8152713030963176E-3</v>
      </c>
      <c r="H26" s="27">
        <f>IFERROR('Price Data'!G26/'Price Data'!G25-1,0)</f>
        <v>-2.5959245256645946E-3</v>
      </c>
    </row>
    <row r="27" spans="1:8" ht="15">
      <c r="A27" s="25">
        <f>'Price Data'!A27</f>
        <v>44959</v>
      </c>
      <c r="B27" s="27">
        <f>IFERROR('Price Data'!B27/'Price Data'!B26-1,0)</f>
        <v>-5.5344012318621072E-3</v>
      </c>
      <c r="C27" s="27">
        <f>IFERROR('Price Data'!C27/'Price Data'!C26-1,0)</f>
        <v>-1.4868935100613934E-2</v>
      </c>
      <c r="D27" s="27">
        <f>IFERROR('Price Data'!D27/'Price Data'!D26-1,0)</f>
        <v>1.5271421012084119E-2</v>
      </c>
      <c r="E27" s="27">
        <f>IFERROR('Price Data'!E27/'Price Data'!E26-1,0)</f>
        <v>1.173415899231478E-2</v>
      </c>
      <c r="F27" s="27">
        <f>IFERROR('Price Data'!F27/'Price Data'!F26-1,0)</f>
        <v>2.104956137359415E-2</v>
      </c>
      <c r="G27" s="27">
        <f>B27*Portfolio!$D$5+C27*Portfolio!$D$6+D27*Portfolio!$D$7+E27*Portfolio!$D$8+F27*Portfolio!$D$9</f>
        <v>2.8710081741841532E-3</v>
      </c>
      <c r="H27" s="27">
        <f>IFERROR('Price Data'!G27/'Price Data'!G26-1,0)</f>
        <v>-3.3493925303995642E-4</v>
      </c>
    </row>
    <row r="28" spans="1:8" ht="15">
      <c r="A28" s="25">
        <f>'Price Data'!A28</f>
        <v>44960</v>
      </c>
      <c r="B28" s="27">
        <f>IFERROR('Price Data'!B28/'Price Data'!B27-1,0)</f>
        <v>8.8087305949602346E-4</v>
      </c>
      <c r="C28" s="27">
        <f>IFERROR('Price Data'!C28/'Price Data'!C27-1,0)</f>
        <v>3.4583833496404148E-2</v>
      </c>
      <c r="D28" s="27">
        <f>IFERROR('Price Data'!D28/'Price Data'!D27-1,0)</f>
        <v>6.3286710132997026E-3</v>
      </c>
      <c r="E28" s="27">
        <f>IFERROR('Price Data'!E28/'Price Data'!E27-1,0)</f>
        <v>6.8771697343290583E-3</v>
      </c>
      <c r="F28" s="27">
        <f>IFERROR('Price Data'!F28/'Price Data'!F27-1,0)</f>
        <v>9.8817251321021704E-3</v>
      </c>
      <c r="G28" s="27">
        <f>B28*Portfolio!$D$5+C28*Portfolio!$D$6+D28*Portfolio!$D$7+E28*Portfolio!$D$8+F28*Portfolio!$D$9</f>
        <v>1.2645745071599669E-2</v>
      </c>
      <c r="H28" s="27">
        <f>IFERROR('Price Data'!G28/'Price Data'!G27-1,0)</f>
        <v>1.3835596307890219E-2</v>
      </c>
    </row>
    <row r="29" spans="1:8" ht="15">
      <c r="A29" s="25">
        <f>'Price Data'!A29</f>
        <v>44963</v>
      </c>
      <c r="B29" s="27">
        <f>IFERROR('Price Data'!B29/'Price Data'!B28-1,0)</f>
        <v>-7.5353904860158138E-3</v>
      </c>
      <c r="C29" s="27">
        <f>IFERROR('Price Data'!C29/'Price Data'!C28-1,0)</f>
        <v>-4.250055366388672E-3</v>
      </c>
      <c r="D29" s="27">
        <f>IFERROR('Price Data'!D29/'Price Data'!D28-1,0)</f>
        <v>-6.4181375880567604E-3</v>
      </c>
      <c r="E29" s="27">
        <f>IFERROR('Price Data'!E29/'Price Data'!E28-1,0)</f>
        <v>-1.1692410935324804E-2</v>
      </c>
      <c r="F29" s="27">
        <f>IFERROR('Price Data'!F29/'Price Data'!F28-1,0)</f>
        <v>-1.8475772372322119E-2</v>
      </c>
      <c r="G29" s="27">
        <f>B29*Portfolio!$D$5+C29*Portfolio!$D$6+D29*Portfolio!$D$7+E29*Portfolio!$D$8+F29*Portfolio!$D$9</f>
        <v>-8.7552164768595116E-3</v>
      </c>
      <c r="H29" s="27">
        <f>IFERROR('Price Data'!G29/'Price Data'!G28-1,0)</f>
        <v>-5.0101331608701782E-3</v>
      </c>
    </row>
    <row r="30" spans="1:8" ht="15">
      <c r="A30" s="25">
        <f>'Price Data'!A30</f>
        <v>44964</v>
      </c>
      <c r="B30" s="27">
        <f>IFERROR('Price Data'!B30/'Price Data'!B29-1,0)</f>
        <v>-2.4010470280491081E-3</v>
      </c>
      <c r="C30" s="27">
        <f>IFERROR('Price Data'!C30/'Price Data'!C29-1,0)</f>
        <v>1.4831030625477304E-3</v>
      </c>
      <c r="D30" s="27">
        <f>IFERROR('Price Data'!D30/'Price Data'!D29-1,0)</f>
        <v>3.6417611317314247E-3</v>
      </c>
      <c r="E30" s="27">
        <f>IFERROR('Price Data'!E30/'Price Data'!E29-1,0)</f>
        <v>-1.1128203809437354E-3</v>
      </c>
      <c r="F30" s="27">
        <f>IFERROR('Price Data'!F30/'Price Data'!F29-1,0)</f>
        <v>-4.7456683984670178E-3</v>
      </c>
      <c r="G30" s="27">
        <f>B30*Portfolio!$D$5+C30*Portfolio!$D$6+D30*Portfolio!$D$7+E30*Portfolio!$D$8+F30*Portfolio!$D$9</f>
        <v>-3.7990708194067242E-4</v>
      </c>
      <c r="H30" s="27">
        <f>IFERROR('Price Data'!G30/'Price Data'!G29-1,0)</f>
        <v>-2.4261514654264627E-3</v>
      </c>
    </row>
    <row r="31" spans="1:8" ht="15">
      <c r="A31" s="25">
        <f>'Price Data'!A31</f>
        <v>44965</v>
      </c>
      <c r="B31" s="27">
        <f>IFERROR('Price Data'!B31/'Price Data'!B30-1,0)</f>
        <v>1.9970515537710565E-2</v>
      </c>
      <c r="C31" s="27">
        <f>IFERROR('Price Data'!C31/'Price Data'!C30-1,0)</f>
        <v>-1.207455793983403E-4</v>
      </c>
      <c r="D31" s="27">
        <f>IFERROR('Price Data'!D31/'Price Data'!D30-1,0)</f>
        <v>1.3692863462734017E-2</v>
      </c>
      <c r="E31" s="27">
        <f>IFERROR('Price Data'!E31/'Price Data'!E30-1,0)</f>
        <v>7.4464310102000386E-3</v>
      </c>
      <c r="F31" s="27">
        <f>IFERROR('Price Data'!F31/'Price Data'!F30-1,0)</f>
        <v>1.798518448376063E-2</v>
      </c>
      <c r="G31" s="27">
        <f>B31*Portfolio!$D$5+C31*Portfolio!$D$6+D31*Portfolio!$D$7+E31*Portfolio!$D$8+F31*Portfolio!$D$9</f>
        <v>1.1515757506218961E-2</v>
      </c>
      <c r="H31" s="27">
        <f>IFERROR('Price Data'!G31/'Price Data'!G30-1,0)</f>
        <v>8.4755364246817955E-3</v>
      </c>
    </row>
    <row r="32" spans="1:8" ht="15">
      <c r="A32" s="25">
        <f>'Price Data'!A32</f>
        <v>44966</v>
      </c>
      <c r="B32" s="27">
        <f>IFERROR('Price Data'!B32/'Price Data'!B31-1,0)</f>
        <v>1.7432481686585621E-3</v>
      </c>
      <c r="C32" s="27">
        <f>IFERROR('Price Data'!C32/'Price Data'!C31-1,0)</f>
        <v>-2.0858218839863163E-3</v>
      </c>
      <c r="D32" s="27">
        <f>IFERROR('Price Data'!D32/'Price Data'!D31-1,0)</f>
        <v>5.8948782259460319E-3</v>
      </c>
      <c r="E32" s="27">
        <f>IFERROR('Price Data'!E32/'Price Data'!E31-1,0)</f>
        <v>1.9788229541715108E-3</v>
      </c>
      <c r="F32" s="27">
        <f>IFERROR('Price Data'!F32/'Price Data'!F31-1,0)</f>
        <v>1.6661404405577063E-2</v>
      </c>
      <c r="G32" s="27">
        <f>B32*Portfolio!$D$5+C32*Portfolio!$D$6+D32*Portfolio!$D$7+E32*Portfolio!$D$8+F32*Portfolio!$D$9</f>
        <v>3.8893663203195539E-3</v>
      </c>
      <c r="H32" s="27">
        <f>IFERROR('Price Data'!G32/'Price Data'!G31-1,0)</f>
        <v>1.2170079483646568E-3</v>
      </c>
    </row>
    <row r="33" spans="1:8" ht="15">
      <c r="A33" s="25">
        <f>'Price Data'!A33</f>
        <v>44967</v>
      </c>
      <c r="B33" s="27">
        <f>IFERROR('Price Data'!B33/'Price Data'!B32-1,0)</f>
        <v>-8.2342637548156183E-3</v>
      </c>
      <c r="C33" s="27">
        <f>IFERROR('Price Data'!C33/'Price Data'!C32-1,0)</f>
        <v>3.9683373614869399E-3</v>
      </c>
      <c r="D33" s="27">
        <f>IFERROR('Price Data'!D33/'Price Data'!D32-1,0)</f>
        <v>-9.3200263772319492E-4</v>
      </c>
      <c r="E33" s="27">
        <f>IFERROR('Price Data'!E33/'Price Data'!E32-1,0)</f>
        <v>-8.0738272325803218E-3</v>
      </c>
      <c r="F33" s="27">
        <f>IFERROR('Price Data'!F33/'Price Data'!F32-1,0)</f>
        <v>-5.2257212014121812E-3</v>
      </c>
      <c r="G33" s="27">
        <f>B33*Portfolio!$D$5+C33*Portfolio!$D$6+D33*Portfolio!$D$7+E33*Portfolio!$D$8+F33*Portfolio!$D$9</f>
        <v>-3.247814390975684E-3</v>
      </c>
      <c r="H33" s="27">
        <f>IFERROR('Price Data'!G33/'Price Data'!G32-1,0)</f>
        <v>-2.0649578680046465E-3</v>
      </c>
    </row>
    <row r="34" spans="1:8" ht="15">
      <c r="A34" s="25">
        <f>'Price Data'!A34</f>
        <v>44970</v>
      </c>
      <c r="B34" s="27">
        <f>IFERROR('Price Data'!B34/'Price Data'!B33-1,0)</f>
        <v>-5.6916748476971701E-3</v>
      </c>
      <c r="C34" s="27">
        <f>IFERROR('Price Data'!C34/'Price Data'!C33-1,0)</f>
        <v>7.5433119870726983E-4</v>
      </c>
      <c r="D34" s="27">
        <f>IFERROR('Price Data'!D34/'Price Data'!D33-1,0)</f>
        <v>-1.5589878250496292E-2</v>
      </c>
      <c r="E34" s="27">
        <f>IFERROR('Price Data'!E34/'Price Data'!E33-1,0)</f>
        <v>-3.7477197562377773E-3</v>
      </c>
      <c r="F34" s="27">
        <f>IFERROR('Price Data'!F34/'Price Data'!F33-1,0)</f>
        <v>-2.5551024783350251E-2</v>
      </c>
      <c r="G34" s="27">
        <f>B34*Portfolio!$D$5+C34*Portfolio!$D$6+D34*Portfolio!$D$7+E34*Portfolio!$D$8+F34*Portfolio!$D$9</f>
        <v>-8.7471232432849381E-3</v>
      </c>
      <c r="H34" s="27">
        <f>IFERROR('Price Data'!G34/'Price Data'!G33-1,0)</f>
        <v>-4.79375070002519E-3</v>
      </c>
    </row>
    <row r="35" spans="1:8" ht="15">
      <c r="A35" s="25">
        <f>'Price Data'!A35</f>
        <v>44971</v>
      </c>
      <c r="B35" s="27">
        <f>IFERROR('Price Data'!B35/'Price Data'!B34-1,0)</f>
        <v>2.3565001911900918E-2</v>
      </c>
      <c r="C35" s="27">
        <f>IFERROR('Price Data'!C35/'Price Data'!C34-1,0)</f>
        <v>9.2561799942196821E-3</v>
      </c>
      <c r="D35" s="27">
        <f>IFERROR('Price Data'!D35/'Price Data'!D34-1,0)</f>
        <v>5.0828272526386442E-3</v>
      </c>
      <c r="E35" s="27">
        <f>IFERROR('Price Data'!E35/'Price Data'!E34-1,0)</f>
        <v>1.7222070714560944E-2</v>
      </c>
      <c r="F35" s="27">
        <f>IFERROR('Price Data'!F35/'Price Data'!F34-1,0)</f>
        <v>1.6459814333030565E-2</v>
      </c>
      <c r="G35" s="27">
        <f>B35*Portfolio!$D$5+C35*Portfolio!$D$6+D35*Portfolio!$D$7+E35*Portfolio!$D$8+F35*Portfolio!$D$9</f>
        <v>1.4274143684196605E-2</v>
      </c>
      <c r="H35" s="27">
        <f>IFERROR('Price Data'!G35/'Price Data'!G34-1,0)</f>
        <v>8.944353704996022E-3</v>
      </c>
    </row>
    <row r="36" spans="1:8" ht="15">
      <c r="A36" s="25">
        <f>'Price Data'!A36</f>
        <v>44972</v>
      </c>
      <c r="B36" s="27">
        <f>IFERROR('Price Data'!B36/'Price Data'!B35-1,0)</f>
        <v>2.2644042844642387E-2</v>
      </c>
      <c r="C36" s="27">
        <f>IFERROR('Price Data'!C36/'Price Data'!C35-1,0)</f>
        <v>-2.0314556672628159E-3</v>
      </c>
      <c r="D36" s="27">
        <f>IFERROR('Price Data'!D36/'Price Data'!D35-1,0)</f>
        <v>5.8711361940779749E-3</v>
      </c>
      <c r="E36" s="27">
        <f>IFERROR('Price Data'!E36/'Price Data'!E35-1,0)</f>
        <v>6.3561810580960998E-3</v>
      </c>
      <c r="F36" s="27">
        <f>IFERROR('Price Data'!F36/'Price Data'!F35-1,0)</f>
        <v>2.3852248689160138E-3</v>
      </c>
      <c r="G36" s="27">
        <f>B36*Portfolio!$D$5+C36*Portfolio!$D$6+D36*Portfolio!$D$7+E36*Portfolio!$D$8+F36*Portfolio!$D$9</f>
        <v>7.6385849222123043E-3</v>
      </c>
      <c r="H36" s="27">
        <f>IFERROR('Price Data'!G36/'Price Data'!G35-1,0)</f>
        <v>4.7964707944361251E-3</v>
      </c>
    </row>
    <row r="37" spans="1:8" ht="15">
      <c r="A37" s="25">
        <f>'Price Data'!A37</f>
        <v>44973</v>
      </c>
      <c r="B37" s="27">
        <f>IFERROR('Price Data'!B37/'Price Data'!B36-1,0)</f>
        <v>-7.8131274016968177E-4</v>
      </c>
      <c r="C37" s="27">
        <f>IFERROR('Price Data'!C37/'Price Data'!C36-1,0)</f>
        <v>-3.6219590910153698E-3</v>
      </c>
      <c r="D37" s="27">
        <f>IFERROR('Price Data'!D37/'Price Data'!D36-1,0)</f>
        <v>1.0622893398342326E-2</v>
      </c>
      <c r="E37" s="27">
        <f>IFERROR('Price Data'!E37/'Price Data'!E36-1,0)</f>
        <v>-1.5502244568145196E-3</v>
      </c>
      <c r="F37" s="27">
        <f>IFERROR('Price Data'!F37/'Price Data'!F36-1,0)</f>
        <v>2.9742873826423821E-3</v>
      </c>
      <c r="G37" s="27">
        <f>B37*Portfolio!$D$5+C37*Portfolio!$D$6+D37*Portfolio!$D$7+E37*Portfolio!$D$8+F37*Portfolio!$D$9</f>
        <v>1.2373701607463817E-3</v>
      </c>
      <c r="H37" s="27">
        <f>IFERROR('Price Data'!G37/'Price Data'!G36-1,0)</f>
        <v>1.1101336008929596E-3</v>
      </c>
    </row>
    <row r="38" spans="1:8" ht="15">
      <c r="A38" s="25">
        <f>'Price Data'!A38</f>
        <v>44974</v>
      </c>
      <c r="B38" s="27">
        <f>IFERROR('Price Data'!B38/'Price Data'!B37-1,0)</f>
        <v>4.1770399883258591E-3</v>
      </c>
      <c r="C38" s="27">
        <f>IFERROR('Price Data'!C38/'Price Data'!C37-1,0)</f>
        <v>-5.0174446037948295E-3</v>
      </c>
      <c r="D38" s="27">
        <f>IFERROR('Price Data'!D38/'Price Data'!D37-1,0)</f>
        <v>-1.5991748789697224E-2</v>
      </c>
      <c r="E38" s="27">
        <f>IFERROR('Price Data'!E38/'Price Data'!E37-1,0)</f>
        <v>-7.8209948307726984E-3</v>
      </c>
      <c r="F38" s="27">
        <f>IFERROR('Price Data'!F38/'Price Data'!F37-1,0)</f>
        <v>-1.1237484076276338E-2</v>
      </c>
      <c r="G38" s="27">
        <f>B38*Portfolio!$D$5+C38*Portfolio!$D$6+D38*Portfolio!$D$7+E38*Portfolio!$D$8+F38*Portfolio!$D$9</f>
        <v>-6.2672227478640435E-3</v>
      </c>
      <c r="H38" s="27">
        <f>IFERROR('Price Data'!G38/'Price Data'!G37-1,0)</f>
        <v>-5.0815676893513073E-3</v>
      </c>
    </row>
    <row r="39" spans="1:8" ht="15">
      <c r="A39" s="25">
        <f>'Price Data'!A39</f>
        <v>44977</v>
      </c>
      <c r="B39" s="27">
        <f>IFERROR('Price Data'!B39/'Price Data'!B38-1,0)</f>
        <v>-1.0572885290833112E-2</v>
      </c>
      <c r="C39" s="27">
        <f>IFERROR('Price Data'!C39/'Price Data'!C38-1,0)</f>
        <v>-9.3906529701571761E-3</v>
      </c>
      <c r="D39" s="27">
        <f>IFERROR('Price Data'!D39/'Price Data'!D38-1,0)</f>
        <v>-3.9557999263157839E-3</v>
      </c>
      <c r="E39" s="27">
        <f>IFERROR('Price Data'!E39/'Price Data'!E38-1,0)</f>
        <v>-1.2229885330822587E-2</v>
      </c>
      <c r="F39" s="27">
        <f>IFERROR('Price Data'!F39/'Price Data'!F38-1,0)</f>
        <v>5.4615603155465653E-3</v>
      </c>
      <c r="G39" s="27">
        <f>B39*Portfolio!$D$5+C39*Portfolio!$D$6+D39*Portfolio!$D$7+E39*Portfolio!$D$8+F39*Portfolio!$D$9</f>
        <v>-6.7972933028021326E-3</v>
      </c>
      <c r="H39" s="27">
        <f>IFERROR('Price Data'!G39/'Price Data'!G38-1,0)</f>
        <v>-5.5505184801407648E-3</v>
      </c>
    </row>
    <row r="40" spans="1:8" ht="15">
      <c r="A40" s="25">
        <f>'Price Data'!A40</f>
        <v>44978</v>
      </c>
      <c r="B40" s="27">
        <f>IFERROR('Price Data'!B40/'Price Data'!B39-1,0)</f>
        <v>8.159435902719725E-3</v>
      </c>
      <c r="C40" s="27">
        <f>IFERROR('Price Data'!C40/'Price Data'!C39-1,0)</f>
        <v>3.7492476153424548E-3</v>
      </c>
      <c r="D40" s="27">
        <f>IFERROR('Price Data'!D40/'Price Data'!D39-1,0)</f>
        <v>-1.0409224360325542E-2</v>
      </c>
      <c r="E40" s="27">
        <f>IFERROR('Price Data'!E40/'Price Data'!E39-1,0)</f>
        <v>2.4645611072202644E-3</v>
      </c>
      <c r="F40" s="27">
        <f>IFERROR('Price Data'!F40/'Price Data'!F39-1,0)</f>
        <v>-8.132128602636568E-3</v>
      </c>
      <c r="G40" s="27">
        <f>B40*Portfolio!$D$5+C40*Portfolio!$D$6+D40*Portfolio!$D$7+E40*Portfolio!$D$8+F40*Portfolio!$D$9</f>
        <v>4.5190883137990979E-5</v>
      </c>
      <c r="H40" s="27">
        <f>IFERROR('Price Data'!G40/'Price Data'!G39-1,0)</f>
        <v>-1.0031264929920569E-3</v>
      </c>
    </row>
    <row r="41" spans="1:8" ht="15">
      <c r="A41" s="25">
        <f>'Price Data'!A41</f>
        <v>44979</v>
      </c>
      <c r="B41" s="27">
        <f>IFERROR('Price Data'!B41/'Price Data'!B40-1,0)</f>
        <v>-2.2678004105193383E-2</v>
      </c>
      <c r="C41" s="27">
        <f>IFERROR('Price Data'!C41/'Price Data'!C40-1,0)</f>
        <v>-1.9617486655482241E-2</v>
      </c>
      <c r="D41" s="27">
        <f>IFERROR('Price Data'!D41/'Price Data'!D40-1,0)</f>
        <v>-1.4329130899196185E-2</v>
      </c>
      <c r="E41" s="27">
        <f>IFERROR('Price Data'!E41/'Price Data'!E40-1,0)</f>
        <v>-1.7501816088733912E-2</v>
      </c>
      <c r="F41" s="27">
        <f>IFERROR('Price Data'!F41/'Price Data'!F40-1,0)</f>
        <v>-1.1206051448573562E-2</v>
      </c>
      <c r="G41" s="27">
        <f>B41*Portfolio!$D$5+C41*Portfolio!$D$6+D41*Portfolio!$D$7+E41*Portfolio!$D$8+F41*Portfolio!$D$9</f>
        <v>-1.7745879000604266E-2</v>
      </c>
      <c r="H41" s="27">
        <f>IFERROR('Price Data'!G41/'Price Data'!G40-1,0)</f>
        <v>-1.5280363131582653E-2</v>
      </c>
    </row>
    <row r="42" spans="1:8" ht="15">
      <c r="A42" s="25">
        <f>'Price Data'!A42</f>
        <v>44980</v>
      </c>
      <c r="B42" s="27">
        <f>IFERROR('Price Data'!B42/'Price Data'!B41-1,0)</f>
        <v>-4.7920784520891768E-3</v>
      </c>
      <c r="C42" s="27">
        <f>IFERROR('Price Data'!C42/'Price Data'!C41-1,0)</f>
        <v>-6.7834439170438854E-3</v>
      </c>
      <c r="D42" s="27">
        <f>IFERROR('Price Data'!D42/'Price Data'!D41-1,0)</f>
        <v>3.6012958590159183E-3</v>
      </c>
      <c r="E42" s="27">
        <f>IFERROR('Price Data'!E42/'Price Data'!E41-1,0)</f>
        <v>5.9583816543562484E-4</v>
      </c>
      <c r="F42" s="27">
        <f>IFERROR('Price Data'!F42/'Price Data'!F41-1,0)</f>
        <v>-7.1071759238702237E-3</v>
      </c>
      <c r="G42" s="27">
        <f>B42*Portfolio!$D$5+C42*Portfolio!$D$6+D42*Portfolio!$D$7+E42*Portfolio!$D$8+F42*Portfolio!$D$9</f>
        <v>-3.1503220842452719E-3</v>
      </c>
      <c r="H42" s="27">
        <f>IFERROR('Price Data'!G42/'Price Data'!G41-1,0)</f>
        <v>-2.4524349779846411E-3</v>
      </c>
    </row>
    <row r="43" spans="1:8" ht="15">
      <c r="A43" s="25">
        <f>'Price Data'!A43</f>
        <v>44981</v>
      </c>
      <c r="B43" s="27">
        <f>IFERROR('Price Data'!B43/'Price Data'!B42-1,0)</f>
        <v>6.842657569599897E-3</v>
      </c>
      <c r="C43" s="27">
        <f>IFERROR('Price Data'!C43/'Price Data'!C42-1,0)</f>
        <v>-8.919369619275419E-3</v>
      </c>
      <c r="D43" s="27">
        <f>IFERROR('Price Data'!D43/'Price Data'!D42-1,0)</f>
        <v>-3.9106551224167285E-3</v>
      </c>
      <c r="E43" s="27">
        <f>IFERROR('Price Data'!E43/'Price Data'!E42-1,0)</f>
        <v>-5.9585576357878978E-5</v>
      </c>
      <c r="F43" s="27">
        <f>IFERROR('Price Data'!F43/'Price Data'!F42-1,0)</f>
        <v>-3.226993095728492E-5</v>
      </c>
      <c r="G43" s="27">
        <f>B43*Portfolio!$D$5+C43*Portfolio!$D$6+D43*Portfolio!$D$7+E43*Portfolio!$D$8+F43*Portfolio!$D$9</f>
        <v>-1.3150873629995006E-3</v>
      </c>
      <c r="H43" s="27">
        <f>IFERROR('Price Data'!G43/'Price Data'!G42-1,0)</f>
        <v>-2.5954297237490431E-3</v>
      </c>
    </row>
    <row r="44" spans="1:8" ht="15">
      <c r="A44" s="25">
        <f>'Price Data'!A44</f>
        <v>44984</v>
      </c>
      <c r="B44" s="27">
        <f>IFERROR('Price Data'!B44/'Price Data'!B43-1,0)</f>
        <v>-6.6493055927309141E-3</v>
      </c>
      <c r="C44" s="27">
        <f>IFERROR('Price Data'!C44/'Price Data'!C43-1,0)</f>
        <v>2.4859195739730389E-3</v>
      </c>
      <c r="D44" s="27">
        <f>IFERROR('Price Data'!D44/'Price Data'!D43-1,0)</f>
        <v>-2.0173797698010976E-2</v>
      </c>
      <c r="E44" s="27">
        <f>IFERROR('Price Data'!E44/'Price Data'!E43-1,0)</f>
        <v>1.9888094598930817E-2</v>
      </c>
      <c r="F44" s="27">
        <f>IFERROR('Price Data'!F44/'Price Data'!F43-1,0)</f>
        <v>-2.6666083216840719E-2</v>
      </c>
      <c r="G44" s="27">
        <f>B44*Portfolio!$D$5+C44*Portfolio!$D$6+D44*Portfolio!$D$7+E44*Portfolio!$D$8+F44*Portfolio!$D$9</f>
        <v>-6.09230433697815E-3</v>
      </c>
      <c r="H44" s="27">
        <f>IFERROR('Price Data'!G44/'Price Data'!G43-1,0)</f>
        <v>-4.1854114458053093E-3</v>
      </c>
    </row>
    <row r="45" spans="1:8" ht="15">
      <c r="A45" s="25">
        <f>'Price Data'!A45</f>
        <v>44985</v>
      </c>
      <c r="B45" s="27">
        <f>IFERROR('Price Data'!B45/'Price Data'!B44-1,0)</f>
        <v>-1.9131263099029794E-2</v>
      </c>
      <c r="C45" s="27">
        <f>IFERROR('Price Data'!C45/'Price Data'!C44-1,0)</f>
        <v>4.2061043762136041E-3</v>
      </c>
      <c r="D45" s="27">
        <f>IFERROR('Price Data'!D45/'Price Data'!D44-1,0)</f>
        <v>-5.7026246318562235E-3</v>
      </c>
      <c r="E45" s="27">
        <f>IFERROR('Price Data'!E45/'Price Data'!E44-1,0)</f>
        <v>-1.8099992324136505E-3</v>
      </c>
      <c r="F45" s="27">
        <f>IFERROR('Price Data'!F45/'Price Data'!F44-1,0)</f>
        <v>-1.4410841281545128E-2</v>
      </c>
      <c r="G45" s="27">
        <f>B45*Portfolio!$D$5+C45*Portfolio!$D$6+D45*Portfolio!$D$7+E45*Portfolio!$D$8+F45*Portfolio!$D$9</f>
        <v>-7.3049406841691096E-3</v>
      </c>
      <c r="H45" s="27">
        <f>IFERROR('Price Data'!G45/'Price Data'!G44-1,0)</f>
        <v>-5.1027157362857345E-3</v>
      </c>
    </row>
    <row r="46" spans="1:8" ht="15">
      <c r="A46" s="25">
        <f>'Price Data'!A46</f>
        <v>44986</v>
      </c>
      <c r="B46" s="27">
        <f>IFERROR('Price Data'!B46/'Price Data'!B45-1,0)</f>
        <v>9.1924313762956622E-3</v>
      </c>
      <c r="C46" s="27">
        <f>IFERROR('Price Data'!C46/'Price Data'!C45-1,0)</f>
        <v>-9.6886828461784091E-4</v>
      </c>
      <c r="D46" s="27">
        <f>IFERROR('Price Data'!D46/'Price Data'!D45-1,0)</f>
        <v>2.1990254745317239E-2</v>
      </c>
      <c r="E46" s="27">
        <f>IFERROR('Price Data'!E46/'Price Data'!E45-1,0)</f>
        <v>1.6962883011129026E-3</v>
      </c>
      <c r="F46" s="27">
        <f>IFERROR('Price Data'!F46/'Price Data'!F45-1,0)</f>
        <v>5.714024012832164E-3</v>
      </c>
      <c r="G46" s="27">
        <f>B46*Portfolio!$D$5+C46*Portfolio!$D$6+D46*Portfolio!$D$7+E46*Portfolio!$D$8+F46*Portfolio!$D$9</f>
        <v>7.5654885690746637E-3</v>
      </c>
      <c r="H46" s="27">
        <f>IFERROR('Price Data'!G46/'Price Data'!G45-1,0)</f>
        <v>8.4923487706360934E-3</v>
      </c>
    </row>
    <row r="47" spans="1:8" ht="15">
      <c r="A47" s="25">
        <f>'Price Data'!A47</f>
        <v>44987</v>
      </c>
      <c r="B47" s="27">
        <f>IFERROR('Price Data'!B47/'Price Data'!B46-1,0)</f>
        <v>-7.6155120570822188E-3</v>
      </c>
      <c r="C47" s="27">
        <f>IFERROR('Price Data'!C47/'Price Data'!C46-1,0)</f>
        <v>-8.5105706559803762E-3</v>
      </c>
      <c r="D47" s="27">
        <f>IFERROR('Price Data'!D47/'Price Data'!D46-1,0)</f>
        <v>-1.8976877756451294E-2</v>
      </c>
      <c r="E47" s="27">
        <f>IFERROR('Price Data'!E47/'Price Data'!E46-1,0)</f>
        <v>-2.6859894094314329E-3</v>
      </c>
      <c r="F47" s="27">
        <f>IFERROR('Price Data'!F47/'Price Data'!F46-1,0)</f>
        <v>-1.5975227571869532E-2</v>
      </c>
      <c r="G47" s="27">
        <f>B47*Portfolio!$D$5+C47*Portfolio!$D$6+D47*Portfolio!$D$7+E47*Portfolio!$D$8+F47*Portfolio!$D$9</f>
        <v>-1.0626078776751053E-2</v>
      </c>
      <c r="H47" s="27">
        <f>IFERROR('Price Data'!G47/'Price Data'!G46-1,0)</f>
        <v>-7.392168719804415E-3</v>
      </c>
    </row>
    <row r="48" spans="1:8" ht="15">
      <c r="A48" s="25">
        <f>'Price Data'!A48</f>
        <v>44988</v>
      </c>
      <c r="B48" s="27">
        <f>IFERROR('Price Data'!B48/'Price Data'!B47-1,0)</f>
        <v>2.5515360033077306E-2</v>
      </c>
      <c r="C48" s="27">
        <f>IFERROR('Price Data'!C48/'Price Data'!C47-1,0)</f>
        <v>1.9849275328350569E-2</v>
      </c>
      <c r="D48" s="27">
        <f>IFERROR('Price Data'!D48/'Price Data'!D47-1,0)</f>
        <v>6.232209570349978E-3</v>
      </c>
      <c r="E48" s="27">
        <f>IFERROR('Price Data'!E48/'Price Data'!E47-1,0)</f>
        <v>1.7037550958887371E-2</v>
      </c>
      <c r="F48" s="27">
        <f>IFERROR('Price Data'!F48/'Price Data'!F47-1,0)</f>
        <v>4.8567584176499867E-3</v>
      </c>
      <c r="G48" s="27">
        <f>B48*Portfolio!$D$5+C48*Portfolio!$D$6+D48*Portfolio!$D$7+E48*Portfolio!$D$8+F48*Portfolio!$D$9</f>
        <v>1.5871747160907567E-2</v>
      </c>
      <c r="H48" s="27">
        <f>IFERROR('Price Data'!G48/'Price Data'!G47-1,0)</f>
        <v>1.5728598629827895E-2</v>
      </c>
    </row>
    <row r="49" spans="1:8" ht="15">
      <c r="A49" s="25">
        <f>'Price Data'!A49</f>
        <v>44991</v>
      </c>
      <c r="B49" s="27">
        <f>IFERROR('Price Data'!B49/'Price Data'!B48-1,0)</f>
        <v>9.7677386004852984E-3</v>
      </c>
      <c r="C49" s="27">
        <f>IFERROR('Price Data'!C49/'Price Data'!C48-1,0)</f>
        <v>7.0549622334887818E-3</v>
      </c>
      <c r="D49" s="27">
        <f>IFERROR('Price Data'!D49/'Price Data'!D48-1,0)</f>
        <v>8.8863924705131492E-3</v>
      </c>
      <c r="E49" s="27">
        <f>IFERROR('Price Data'!E49/'Price Data'!E48-1,0)</f>
        <v>-9.211085737197422E-4</v>
      </c>
      <c r="F49" s="27">
        <f>IFERROR('Price Data'!F49/'Price Data'!F48-1,0)</f>
        <v>1.9029241554001208E-2</v>
      </c>
      <c r="G49" s="27">
        <f>B49*Portfolio!$D$5+C49*Portfolio!$D$6+D49*Portfolio!$D$7+E49*Portfolio!$D$8+F49*Portfolio!$D$9</f>
        <v>8.6991736496383684E-3</v>
      </c>
      <c r="H49" s="27">
        <f>IFERROR('Price Data'!G49/'Price Data'!G48-1,0)</f>
        <v>6.6555236183669653E-3</v>
      </c>
    </row>
    <row r="50" spans="1:8" ht="15">
      <c r="A50" s="25">
        <f>'Price Data'!A50</f>
        <v>44993</v>
      </c>
      <c r="B50" s="27">
        <f>IFERROR('Price Data'!B50/'Price Data'!B49-1,0)</f>
        <v>3.5911666601793346E-3</v>
      </c>
      <c r="C50" s="27">
        <f>IFERROR('Price Data'!C50/'Price Data'!C49-1,0)</f>
        <v>1.9971450113174249E-3</v>
      </c>
      <c r="D50" s="27">
        <f>IFERROR('Price Data'!D50/'Price Data'!D49-1,0)</f>
        <v>5.5014741777115184E-3</v>
      </c>
      <c r="E50" s="27">
        <f>IFERROR('Price Data'!E50/'Price Data'!E49-1,0)</f>
        <v>5.0128527014747792E-3</v>
      </c>
      <c r="F50" s="27">
        <f>IFERROR('Price Data'!F50/'Price Data'!F49-1,0)</f>
        <v>-9.7848182508257775E-3</v>
      </c>
      <c r="G50" s="27">
        <f>B50*Portfolio!$D$5+C50*Portfolio!$D$6+D50*Portfolio!$D$7+E50*Portfolio!$D$8+F50*Portfolio!$D$9</f>
        <v>1.7815779210138439E-3</v>
      </c>
      <c r="H50" s="27">
        <f>IFERROR('Price Data'!G50/'Price Data'!G49-1,0)</f>
        <v>2.4250512391459367E-3</v>
      </c>
    </row>
    <row r="51" spans="1:8" ht="15">
      <c r="A51" s="25">
        <f>'Price Data'!A51</f>
        <v>44994</v>
      </c>
      <c r="B51" s="27">
        <f>IFERROR('Price Data'!B51/'Price Data'!B50-1,0)</f>
        <v>-2.4034585834805999E-2</v>
      </c>
      <c r="C51" s="27">
        <f>IFERROR('Price Data'!C51/'Price Data'!C50-1,0)</f>
        <v>9.1971519038169802E-5</v>
      </c>
      <c r="D51" s="27">
        <f>IFERROR('Price Data'!D51/'Price Data'!D50-1,0)</f>
        <v>-1.5794550688752795E-2</v>
      </c>
      <c r="E51" s="27">
        <f>IFERROR('Price Data'!E51/'Price Data'!E50-1,0)</f>
        <v>-1.8518449455666275E-2</v>
      </c>
      <c r="F51" s="27">
        <f>IFERROR('Price Data'!F51/'Price Data'!F50-1,0)</f>
        <v>-8.2399335426931453E-3</v>
      </c>
      <c r="G51" s="27">
        <f>B51*Portfolio!$D$5+C51*Portfolio!$D$6+D51*Portfolio!$D$7+E51*Portfolio!$D$8+F51*Portfolio!$D$9</f>
        <v>-1.315832116644643E-2</v>
      </c>
      <c r="H51" s="27">
        <f>IFERROR('Price Data'!G51/'Price Data'!G50-1,0)</f>
        <v>-9.2822498999752812E-3</v>
      </c>
    </row>
    <row r="52" spans="1:8" ht="15">
      <c r="A52" s="25">
        <f>'Price Data'!A52</f>
        <v>44995</v>
      </c>
      <c r="B52" s="27">
        <f>IFERROR('Price Data'!B52/'Price Data'!B51-1,0)</f>
        <v>-1.5492318802326599E-2</v>
      </c>
      <c r="C52" s="27">
        <f>IFERROR('Price Data'!C52/'Price Data'!C51-1,0)</f>
        <v>-2.5786505579224128E-2</v>
      </c>
      <c r="D52" s="27">
        <f>IFERROR('Price Data'!D52/'Price Data'!D51-1,0)</f>
        <v>-1.753153390116613E-3</v>
      </c>
      <c r="E52" s="27">
        <f>IFERROR('Price Data'!E52/'Price Data'!E51-1,0)</f>
        <v>-1.55382403429839E-2</v>
      </c>
      <c r="F52" s="27">
        <f>IFERROR('Price Data'!F52/'Price Data'!F51-1,0)</f>
        <v>-5.9780536485352087E-3</v>
      </c>
      <c r="G52" s="27">
        <f>B52*Portfolio!$D$5+C52*Portfolio!$D$6+D52*Portfolio!$D$7+E52*Portfolio!$D$8+F52*Portfolio!$D$9</f>
        <v>-1.3897780872138872E-2</v>
      </c>
      <c r="H52" s="27">
        <f>IFERROR('Price Data'!G52/'Price Data'!G51-1,0)</f>
        <v>-1.0045664635585094E-2</v>
      </c>
    </row>
    <row r="53" spans="1:8" ht="15">
      <c r="A53" s="25">
        <f>'Price Data'!A53</f>
        <v>44998</v>
      </c>
      <c r="B53" s="27">
        <f>IFERROR('Price Data'!B53/'Price Data'!B52-1,0)</f>
        <v>-1.6446259379584105E-2</v>
      </c>
      <c r="C53" s="27">
        <f>IFERROR('Price Data'!C53/'Price Data'!C52-1,0)</f>
        <v>-1.2652151623876007E-2</v>
      </c>
      <c r="D53" s="27">
        <f>IFERROR('Price Data'!D53/'Price Data'!D52-1,0)</f>
        <v>-1.4725388575087539E-2</v>
      </c>
      <c r="E53" s="27">
        <f>IFERROR('Price Data'!E53/'Price Data'!E52-1,0)</f>
        <v>-1.6910975403553685E-2</v>
      </c>
      <c r="F53" s="27">
        <f>IFERROR('Price Data'!F53/'Price Data'!F52-1,0)</f>
        <v>-2.4769771290917286E-2</v>
      </c>
      <c r="G53" s="27">
        <f>B53*Portfolio!$D$5+C53*Portfolio!$D$6+D53*Portfolio!$D$7+E53*Portfolio!$D$8+F53*Portfolio!$D$9</f>
        <v>-1.6471792470053183E-2</v>
      </c>
      <c r="H53" s="27">
        <f>IFERROR('Price Data'!G53/'Price Data'!G52-1,0)</f>
        <v>-1.4851035931626178E-2</v>
      </c>
    </row>
    <row r="54" spans="1:8" ht="15">
      <c r="A54" s="25">
        <f>'Price Data'!A54</f>
        <v>44999</v>
      </c>
      <c r="B54" s="27">
        <f>IFERROR('Price Data'!B54/'Price Data'!B53-1,0)</f>
        <v>-3.7424251903022121E-3</v>
      </c>
      <c r="C54" s="27">
        <f>IFERROR('Price Data'!C54/'Price Data'!C53-1,0)</f>
        <v>-2.6777321820611322E-3</v>
      </c>
      <c r="D54" s="27">
        <f>IFERROR('Price Data'!D54/'Price Data'!D53-1,0)</f>
        <v>-2.0414897604547511E-2</v>
      </c>
      <c r="E54" s="27">
        <f>IFERROR('Price Data'!E54/'Price Data'!E53-1,0)</f>
        <v>2.3538646159393384E-3</v>
      </c>
      <c r="F54" s="27">
        <f>IFERROR('Price Data'!F54/'Price Data'!F53-1,0)</f>
        <v>-1.0522009985704517E-2</v>
      </c>
      <c r="G54" s="27">
        <f>B54*Portfolio!$D$5+C54*Portfolio!$D$6+D54*Portfolio!$D$7+E54*Portfolio!$D$8+F54*Portfolio!$D$9</f>
        <v>-6.9132406694651155E-3</v>
      </c>
      <c r="H54" s="27">
        <f>IFERROR('Price Data'!G54/'Price Data'!G53-1,0)</f>
        <v>-6.4706805258611944E-3</v>
      </c>
    </row>
    <row r="55" spans="1:8" ht="15">
      <c r="A55" s="25">
        <f>'Price Data'!A55</f>
        <v>45000</v>
      </c>
      <c r="B55" s="27">
        <f>IFERROR('Price Data'!B55/'Price Data'!B54-1,0)</f>
        <v>-1.709197063887602E-2</v>
      </c>
      <c r="C55" s="27">
        <f>IFERROR('Price Data'!C55/'Price Data'!C54-1,0)</f>
        <v>-1.4350932361783975E-2</v>
      </c>
      <c r="D55" s="27">
        <f>IFERROR('Price Data'!D55/'Price Data'!D54-1,0)</f>
        <v>-4.9920496955333515E-3</v>
      </c>
      <c r="E55" s="27">
        <f>IFERROR('Price Data'!E55/'Price Data'!E54-1,0)</f>
        <v>-5.359083286870292E-3</v>
      </c>
      <c r="F55" s="27">
        <f>IFERROR('Price Data'!F55/'Price Data'!F54-1,0)</f>
        <v>-2.465851310985423E-4</v>
      </c>
      <c r="G55" s="27">
        <f>B55*Portfolio!$D$5+C55*Portfolio!$D$6+D55*Portfolio!$D$7+E55*Portfolio!$D$8+F55*Portfolio!$D$9</f>
        <v>-9.6999859519669943E-3</v>
      </c>
      <c r="H55" s="27">
        <f>IFERROR('Price Data'!G55/'Price Data'!G54-1,0)</f>
        <v>-4.1746837386849034E-3</v>
      </c>
    </row>
    <row r="56" spans="1:8" ht="15">
      <c r="A56" s="25">
        <f>'Price Data'!A56</f>
        <v>45001</v>
      </c>
      <c r="B56" s="27">
        <f>IFERROR('Price Data'!B56/'Price Data'!B55-1,0)</f>
        <v>-4.9841990999272001E-3</v>
      </c>
      <c r="C56" s="27">
        <f>IFERROR('Price Data'!C56/'Price Data'!C55-1,0)</f>
        <v>6.4855162212333894E-3</v>
      </c>
      <c r="D56" s="27">
        <f>IFERROR('Price Data'!D56/'Price Data'!D55-1,0)</f>
        <v>-4.3452950558884318E-3</v>
      </c>
      <c r="E56" s="27">
        <f>IFERROR('Price Data'!E56/'Price Data'!E55-1,0)</f>
        <v>-2.4216502209224444E-3</v>
      </c>
      <c r="F56" s="27">
        <f>IFERROR('Price Data'!F56/'Price Data'!F55-1,0)</f>
        <v>-1.095337903036242E-2</v>
      </c>
      <c r="G56" s="27">
        <f>B56*Portfolio!$D$5+C56*Portfolio!$D$6+D56*Portfolio!$D$7+E56*Portfolio!$D$8+F56*Portfolio!$D$9</f>
        <v>-2.4999841185438685E-3</v>
      </c>
      <c r="H56" s="27">
        <f>IFERROR('Price Data'!G56/'Price Data'!G55-1,0)</f>
        <v>7.9242868113094111E-4</v>
      </c>
    </row>
    <row r="57" spans="1:8" ht="15">
      <c r="A57" s="25">
        <f>'Price Data'!A57</f>
        <v>45002</v>
      </c>
      <c r="B57" s="27">
        <f>IFERROR('Price Data'!B57/'Price Data'!B56-1,0)</f>
        <v>-1.2578884298523052E-3</v>
      </c>
      <c r="C57" s="27">
        <f>IFERROR('Price Data'!C57/'Price Data'!C56-1,0)</f>
        <v>1.3370613747555771E-2</v>
      </c>
      <c r="D57" s="27">
        <f>IFERROR('Price Data'!D57/'Price Data'!D56-1,0)</f>
        <v>-1.7895143229573751E-3</v>
      </c>
      <c r="E57" s="27">
        <f>IFERROR('Price Data'!E57/'Price Data'!E56-1,0)</f>
        <v>1.4989688866823059E-2</v>
      </c>
      <c r="F57" s="27">
        <f>IFERROR('Price Data'!F57/'Price Data'!F56-1,0)</f>
        <v>1.1822622982318398E-2</v>
      </c>
      <c r="G57" s="27">
        <f>B57*Portfolio!$D$5+C57*Portfolio!$D$6+D57*Portfolio!$D$7+E57*Portfolio!$D$8+F57*Portfolio!$D$9</f>
        <v>6.6921252422056099E-3</v>
      </c>
      <c r="H57" s="27">
        <f>IFERROR('Price Data'!G57/'Price Data'!G56-1,0)</f>
        <v>6.7381296219788389E-3</v>
      </c>
    </row>
    <row r="58" spans="1:8" ht="15">
      <c r="A58" s="25">
        <f>'Price Data'!A58</f>
        <v>45005</v>
      </c>
      <c r="B58" s="27">
        <f>IFERROR('Price Data'!B58/'Price Data'!B57-1,0)</f>
        <v>-9.8285999334041252E-3</v>
      </c>
      <c r="C58" s="27">
        <f>IFERROR('Price Data'!C58/'Price Data'!C57-1,0)</f>
        <v>-6.9309332838534132E-3</v>
      </c>
      <c r="D58" s="27">
        <f>IFERROR('Price Data'!D58/'Price Data'!D57-1,0)</f>
        <v>-1.1323187916290833E-2</v>
      </c>
      <c r="E58" s="27">
        <f>IFERROR('Price Data'!E58/'Price Data'!E57-1,0)</f>
        <v>2.3926506507909728E-4</v>
      </c>
      <c r="F58" s="27">
        <f>IFERROR('Price Data'!F58/'Price Data'!F57-1,0)</f>
        <v>-1.2001295202267226E-2</v>
      </c>
      <c r="G58" s="27">
        <f>B58*Portfolio!$D$5+C58*Portfolio!$D$6+D58*Portfolio!$D$7+E58*Portfolio!$D$8+F58*Portfolio!$D$9</f>
        <v>-8.2188254081507709E-3</v>
      </c>
      <c r="H58" s="27">
        <f>IFERROR('Price Data'!G58/'Price Data'!G57-1,0)</f>
        <v>-6.5292432199922645E-3</v>
      </c>
    </row>
    <row r="59" spans="1:8" ht="15">
      <c r="A59" s="25">
        <f>'Price Data'!A59</f>
        <v>45006</v>
      </c>
      <c r="B59" s="27">
        <f>IFERROR('Price Data'!B59/'Price Data'!B58-1,0)</f>
        <v>3.1095854333573314E-2</v>
      </c>
      <c r="C59" s="27">
        <f>IFERROR('Price Data'!C59/'Price Data'!C58-1,0)</f>
        <v>1.1333374395685825E-2</v>
      </c>
      <c r="D59" s="27">
        <f>IFERROR('Price Data'!D59/'Price Data'!D58-1,0)</f>
        <v>-1.1834730302934027E-2</v>
      </c>
      <c r="E59" s="27">
        <f>IFERROR('Price Data'!E59/'Price Data'!E58-1,0)</f>
        <v>1.9068580488836417E-2</v>
      </c>
      <c r="F59" s="27">
        <f>IFERROR('Price Data'!F59/'Price Data'!F58-1,0)</f>
        <v>-9.2259534166563295E-3</v>
      </c>
      <c r="G59" s="27">
        <f>B59*Portfolio!$D$5+C59*Portfolio!$D$6+D59*Portfolio!$D$7+E59*Portfolio!$D$8+F59*Portfolio!$D$9</f>
        <v>9.7167551825549942E-3</v>
      </c>
      <c r="H59" s="27">
        <f>IFERROR('Price Data'!G59/'Price Data'!G58-1,0)</f>
        <v>7.0106429467440279E-3</v>
      </c>
    </row>
    <row r="60" spans="1:8" ht="15">
      <c r="A60" s="25">
        <f>'Price Data'!A60</f>
        <v>45007</v>
      </c>
      <c r="B60" s="27">
        <f>IFERROR('Price Data'!B60/'Price Data'!B59-1,0)</f>
        <v>3.0400939689081419E-3</v>
      </c>
      <c r="C60" s="27">
        <f>IFERROR('Price Data'!C60/'Price Data'!C59-1,0)</f>
        <v>-2.3108144647433493E-3</v>
      </c>
      <c r="D60" s="27">
        <f>IFERROR('Price Data'!D60/'Price Data'!D59-1,0)</f>
        <v>7.9520591293145149E-3</v>
      </c>
      <c r="E60" s="27">
        <f>IFERROR('Price Data'!E60/'Price Data'!E59-1,0)</f>
        <v>9.1506523402227202E-3</v>
      </c>
      <c r="F60" s="27">
        <f>IFERROR('Price Data'!F60/'Price Data'!F59-1,0)</f>
        <v>-1.0427128996023383E-3</v>
      </c>
      <c r="G60" s="27">
        <f>B60*Portfolio!$D$5+C60*Portfolio!$D$6+D60*Portfolio!$D$7+E60*Portfolio!$D$8+F60*Portfolio!$D$9</f>
        <v>2.9889226179971584E-3</v>
      </c>
      <c r="H60" s="27">
        <f>IFERROR('Price Data'!G60/'Price Data'!G59-1,0)</f>
        <v>2.5953757489405316E-3</v>
      </c>
    </row>
    <row r="61" spans="1:8" ht="15">
      <c r="A61" s="25">
        <f>'Price Data'!A61</f>
        <v>45008</v>
      </c>
      <c r="B61" s="27">
        <f>IFERROR('Price Data'!B61/'Price Data'!B60-1,0)</f>
        <v>-1.2650456897608686E-2</v>
      </c>
      <c r="C61" s="27">
        <f>IFERROR('Price Data'!C61/'Price Data'!C60-1,0)</f>
        <v>-8.0277413025505728E-3</v>
      </c>
      <c r="D61" s="27">
        <f>IFERROR('Price Data'!D61/'Price Data'!D60-1,0)</f>
        <v>-1.9644455803971006E-3</v>
      </c>
      <c r="E61" s="27">
        <f>IFERROR('Price Data'!E61/'Price Data'!E60-1,0)</f>
        <v>-5.5219120504825803E-3</v>
      </c>
      <c r="F61" s="27">
        <f>IFERROR('Price Data'!F61/'Price Data'!F60-1,0)</f>
        <v>-1.0581016754850792E-2</v>
      </c>
      <c r="G61" s="27">
        <f>B61*Portfolio!$D$5+C61*Portfolio!$D$6+D61*Portfolio!$D$7+E61*Portfolio!$D$8+F61*Portfolio!$D$9</f>
        <v>-7.9778779869192403E-3</v>
      </c>
      <c r="H61" s="27">
        <f>IFERROR('Price Data'!G61/'Price Data'!G60-1,0)</f>
        <v>-4.3726933046436267E-3</v>
      </c>
    </row>
    <row r="62" spans="1:8" ht="15">
      <c r="A62" s="25">
        <f>'Price Data'!A62</f>
        <v>45009</v>
      </c>
      <c r="B62" s="27">
        <f>IFERROR('Price Data'!B62/'Price Data'!B61-1,0)</f>
        <v>-1.9797109713051486E-2</v>
      </c>
      <c r="C62" s="27">
        <f>IFERROR('Price Data'!C62/'Price Data'!C61-1,0)</f>
        <v>-1.5993375634222318E-3</v>
      </c>
      <c r="D62" s="27">
        <f>IFERROR('Price Data'!D62/'Price Data'!D61-1,0)</f>
        <v>-1.3283395024280553E-3</v>
      </c>
      <c r="E62" s="27">
        <f>IFERROR('Price Data'!E62/'Price Data'!E61-1,0)</f>
        <v>-3.5654532475967171E-3</v>
      </c>
      <c r="F62" s="27">
        <f>IFERROR('Price Data'!F62/'Price Data'!F61-1,0)</f>
        <v>4.4377929926220361E-3</v>
      </c>
      <c r="G62" s="27">
        <f>B62*Portfolio!$D$5+C62*Portfolio!$D$6+D62*Portfolio!$D$7+E62*Portfolio!$D$8+F62*Portfolio!$D$9</f>
        <v>-5.4839287578502425E-3</v>
      </c>
      <c r="H62" s="27">
        <f>IFERROR('Price Data'!G62/'Price Data'!G61-1,0)</f>
        <v>-7.7209333285906956E-3</v>
      </c>
    </row>
    <row r="63" spans="1:8" ht="15">
      <c r="A63" s="25">
        <f>'Price Data'!A63</f>
        <v>45012</v>
      </c>
      <c r="B63" s="27">
        <f>IFERROR('Price Data'!B63/'Price Data'!B62-1,0)</f>
        <v>1.5544801129586672E-2</v>
      </c>
      <c r="C63" s="27">
        <f>IFERROR('Price Data'!C63/'Price Data'!C62-1,0)</f>
        <v>4.3570543853486132E-3</v>
      </c>
      <c r="D63" s="27">
        <f>IFERROR('Price Data'!D63/'Price Data'!D62-1,0)</f>
        <v>5.7693125171320858E-4</v>
      </c>
      <c r="E63" s="27">
        <f>IFERROR('Price Data'!E63/'Price Data'!E62-1,0)</f>
        <v>-4.3406677184961717E-3</v>
      </c>
      <c r="F63" s="27">
        <f>IFERROR('Price Data'!F63/'Price Data'!F62-1,0)</f>
        <v>6.0116640346719041E-3</v>
      </c>
      <c r="G63" s="27">
        <f>B63*Portfolio!$D$5+C63*Portfolio!$D$6+D63*Portfolio!$D$7+E63*Portfolio!$D$8+F63*Portfolio!$D$9</f>
        <v>5.3414995765028233E-3</v>
      </c>
      <c r="H63" s="27">
        <f>IFERROR('Price Data'!G63/'Price Data'!G62-1,0)</f>
        <v>2.3988383407489433E-3</v>
      </c>
    </row>
    <row r="64" spans="1:8" ht="15">
      <c r="A64" s="25">
        <f>'Price Data'!A64</f>
        <v>45013</v>
      </c>
      <c r="B64" s="27">
        <f>IFERROR('Price Data'!B64/'Price Data'!B63-1,0)</f>
        <v>4.6704457571016267E-3</v>
      </c>
      <c r="C64" s="27">
        <f>IFERROR('Price Data'!C64/'Price Data'!C63-1,0)</f>
        <v>8.1343450260429329E-3</v>
      </c>
      <c r="D64" s="27">
        <f>IFERROR('Price Data'!D64/'Price Data'!D63-1,0)</f>
        <v>-2.0497644830432815E-3</v>
      </c>
      <c r="E64" s="27">
        <f>IFERROR('Price Data'!E64/'Price Data'!E63-1,0)</f>
        <v>7.1285168531409759E-3</v>
      </c>
      <c r="F64" s="27">
        <f>IFERROR('Price Data'!F64/'Price Data'!F63-1,0)</f>
        <v>-8.1716808787679618E-3</v>
      </c>
      <c r="G64" s="27">
        <f>B64*Portfolio!$D$5+C64*Portfolio!$D$6+D64*Portfolio!$D$7+E64*Portfolio!$D$8+F64*Portfolio!$D$9</f>
        <v>2.6347701953334359E-3</v>
      </c>
      <c r="H64" s="27">
        <f>IFERROR('Price Data'!G64/'Price Data'!G63-1,0)</f>
        <v>-2.0016838613549082E-3</v>
      </c>
    </row>
    <row r="65" spans="1:8" ht="15">
      <c r="A65" s="25">
        <f>'Price Data'!A65</f>
        <v>45014</v>
      </c>
      <c r="B65" s="27">
        <f>IFERROR('Price Data'!B65/'Price Data'!B64-1,0)</f>
        <v>-5.9164240054675465E-3</v>
      </c>
      <c r="C65" s="27">
        <f>IFERROR('Price Data'!C65/'Price Data'!C64-1,0)</f>
        <v>4.8094839998711336E-3</v>
      </c>
      <c r="D65" s="27">
        <f>IFERROR('Price Data'!D65/'Price Data'!D64-1,0)</f>
        <v>7.3814767858380037E-3</v>
      </c>
      <c r="E65" s="27">
        <f>IFERROR('Price Data'!E65/'Price Data'!E64-1,0)</f>
        <v>-4.387273715798945E-3</v>
      </c>
      <c r="F65" s="27">
        <f>IFERROR('Price Data'!F65/'Price Data'!F64-1,0)</f>
        <v>4.3191911582385334E-3</v>
      </c>
      <c r="G65" s="27">
        <f>B65*Portfolio!$D$5+C65*Portfolio!$D$6+D65*Portfolio!$D$7+E65*Portfolio!$D$8+F65*Portfolio!$D$9</f>
        <v>1.189347972134436E-3</v>
      </c>
      <c r="H65" s="27">
        <f>IFERROR('Price Data'!G65/'Price Data'!G64-1,0)</f>
        <v>7.6098565893214509E-3</v>
      </c>
    </row>
    <row r="66" spans="1:8" ht="15">
      <c r="A66" s="25">
        <f>'Price Data'!A66</f>
        <v>45016</v>
      </c>
      <c r="B66" s="27">
        <f>IFERROR('Price Data'!B66/'Price Data'!B65-1,0)</f>
        <v>4.3115448474680074E-2</v>
      </c>
      <c r="C66" s="27">
        <f>IFERROR('Price Data'!C66/'Price Data'!C65-1,0)</f>
        <v>1.3698256346354132E-2</v>
      </c>
      <c r="D66" s="27">
        <f>IFERROR('Price Data'!D66/'Price Data'!D65-1,0)</f>
        <v>2.1345187770739793E-2</v>
      </c>
      <c r="E66" s="27">
        <f>IFERROR('Price Data'!E66/'Price Data'!E65-1,0)</f>
        <v>3.0846099944333183E-2</v>
      </c>
      <c r="F66" s="27">
        <f>IFERROR('Price Data'!F66/'Price Data'!F65-1,0)</f>
        <v>3.2091320838610882E-2</v>
      </c>
      <c r="G66" s="27">
        <f>B66*Portfolio!$D$5+C66*Portfolio!$D$6+D66*Portfolio!$D$7+E66*Portfolio!$D$8+F66*Portfolio!$D$9</f>
        <v>2.791307687684812E-2</v>
      </c>
      <c r="H66" s="27">
        <f>IFERROR('Price Data'!G66/'Price Data'!G65-1,0)</f>
        <v>1.6337198944623932E-2</v>
      </c>
    </row>
    <row r="67" spans="1:8" ht="15">
      <c r="A67" s="25">
        <f>'Price Data'!A67</f>
        <v>45019</v>
      </c>
      <c r="B67" s="27">
        <f>IFERROR('Price Data'!B67/'Price Data'!B66-1,0)</f>
        <v>1.7148541054456956E-4</v>
      </c>
      <c r="C67" s="27">
        <f>IFERROR('Price Data'!C67/'Price Data'!C66-1,0)</f>
        <v>6.2127674574363745E-4</v>
      </c>
      <c r="D67" s="27">
        <f>IFERROR('Price Data'!D67/'Price Data'!D66-1,0)</f>
        <v>-1.8402065234423004E-3</v>
      </c>
      <c r="E67" s="27">
        <f>IFERROR('Price Data'!E67/'Price Data'!E66-1,0)</f>
        <v>7.4664770708241512E-3</v>
      </c>
      <c r="F67" s="27">
        <f>IFERROR('Price Data'!F67/'Price Data'!F66-1,0)</f>
        <v>-1.1975311169634018E-2</v>
      </c>
      <c r="G67" s="27">
        <f>B67*Portfolio!$D$5+C67*Portfolio!$D$6+D67*Portfolio!$D$7+E67*Portfolio!$D$8+F67*Portfolio!$D$9</f>
        <v>-8.461758804378884E-4</v>
      </c>
      <c r="H67" s="27">
        <f>IFERROR('Price Data'!G67/'Price Data'!G66-1,0)</f>
        <v>2.206297973761151E-3</v>
      </c>
    </row>
    <row r="68" spans="1:8" ht="15">
      <c r="A68" s="25">
        <f>'Price Data'!A68</f>
        <v>45021</v>
      </c>
      <c r="B68" s="27">
        <f>IFERROR('Price Data'!B68/'Price Data'!B67-1,0)</f>
        <v>-2.4018820523238338E-3</v>
      </c>
      <c r="C68" s="27">
        <f>IFERROR('Price Data'!C68/'Price Data'!C67-1,0)</f>
        <v>2.6823131732574224E-2</v>
      </c>
      <c r="D68" s="27">
        <f>IFERROR('Price Data'!D68/'Price Data'!D67-1,0)</f>
        <v>1.2437441357513235E-2</v>
      </c>
      <c r="E68" s="27">
        <f>IFERROR('Price Data'!E68/'Price Data'!E67-1,0)</f>
        <v>9.0521491830419798E-4</v>
      </c>
      <c r="F68" s="27">
        <f>IFERROR('Price Data'!F68/'Price Data'!F67-1,0)</f>
        <v>9.001815938564306E-3</v>
      </c>
      <c r="G68" s="27">
        <f>B68*Portfolio!$D$5+C68*Portfolio!$D$6+D68*Portfolio!$D$7+E68*Portfolio!$D$8+F68*Portfolio!$D$9</f>
        <v>1.0078855320095519E-2</v>
      </c>
      <c r="H68" s="27">
        <f>IFERROR('Price Data'!G68/'Price Data'!G67-1,0)</f>
        <v>9.1389548173612667E-3</v>
      </c>
    </row>
    <row r="69" spans="1:8" ht="15">
      <c r="A69" s="25">
        <f>'Price Data'!A69</f>
        <v>45022</v>
      </c>
      <c r="B69" s="27">
        <f>IFERROR('Price Data'!B69/'Price Data'!B68-1,0)</f>
        <v>6.7072729847399426E-3</v>
      </c>
      <c r="C69" s="27">
        <f>IFERROR('Price Data'!C69/'Price Data'!C68-1,0)</f>
        <v>7.619098709183536E-3</v>
      </c>
      <c r="D69" s="27">
        <f>IFERROR('Price Data'!D69/'Price Data'!D68-1,0)</f>
        <v>-5.8954601626448611E-3</v>
      </c>
      <c r="E69" s="27">
        <f>IFERROR('Price Data'!E69/'Price Data'!E68-1,0)</f>
        <v>-1.0852330709940849E-2</v>
      </c>
      <c r="F69" s="27">
        <f>IFERROR('Price Data'!F69/'Price Data'!F68-1,0)</f>
        <v>-1.1592599229630629E-3</v>
      </c>
      <c r="G69" s="27">
        <f>B69*Portfolio!$D$5+C69*Portfolio!$D$6+D69*Portfolio!$D$7+E69*Portfolio!$D$8+F69*Portfolio!$D$9</f>
        <v>6.0076229601631077E-4</v>
      </c>
      <c r="H69" s="27">
        <f>IFERROR('Price Data'!G69/'Price Data'!G68-1,0)</f>
        <v>2.3978747854371818E-3</v>
      </c>
    </row>
    <row r="70" spans="1:8" ht="15">
      <c r="A70" s="25">
        <f>'Price Data'!A70</f>
        <v>45026</v>
      </c>
      <c r="B70" s="27">
        <f>IFERROR('Price Data'!B70/'Price Data'!B69-1,0)</f>
        <v>-7.0897387238585408E-3</v>
      </c>
      <c r="C70" s="27">
        <f>IFERROR('Price Data'!C70/'Price Data'!C69-1,0)</f>
        <v>-4.7409802245711452E-3</v>
      </c>
      <c r="D70" s="27">
        <f>IFERROR('Price Data'!D70/'Price Data'!D69-1,0)</f>
        <v>1.3257841099558076E-2</v>
      </c>
      <c r="E70" s="27">
        <f>IFERROR('Price Data'!E70/'Price Data'!E69-1,0)</f>
        <v>-7.4857478574698044E-3</v>
      </c>
      <c r="F70" s="27">
        <f>IFERROR('Price Data'!F70/'Price Data'!F69-1,0)</f>
        <v>4.0087554171466255E-3</v>
      </c>
      <c r="G70" s="27">
        <f>B70*Portfolio!$D$5+C70*Portfolio!$D$6+D70*Portfolio!$D$7+E70*Portfolio!$D$8+F70*Portfolio!$D$9</f>
        <v>-8.2766038324428302E-4</v>
      </c>
      <c r="H70" s="27">
        <f>IFERROR('Price Data'!G70/'Price Data'!G69-1,0)</f>
        <v>1.4148632219350699E-3</v>
      </c>
    </row>
    <row r="71" spans="1:8" ht="15">
      <c r="A71" s="25">
        <f>'Price Data'!A71</f>
        <v>45027</v>
      </c>
      <c r="B71" s="27">
        <f>IFERROR('Price Data'!B71/'Price Data'!B70-1,0)</f>
        <v>4.9465897037950235E-3</v>
      </c>
      <c r="C71" s="27">
        <f>IFERROR('Price Data'!C71/'Price Data'!C70-1,0)</f>
        <v>2.9244444776181933E-3</v>
      </c>
      <c r="D71" s="27">
        <f>IFERROR('Price Data'!D71/'Price Data'!D70-1,0)</f>
        <v>-1.5198864772383525E-2</v>
      </c>
      <c r="E71" s="27">
        <f>IFERROR('Price Data'!E71/'Price Data'!E70-1,0)</f>
        <v>1.5487440770308725E-2</v>
      </c>
      <c r="F71" s="27">
        <f>IFERROR('Price Data'!F71/'Price Data'!F70-1,0)</f>
        <v>-1.5024960637346374E-2</v>
      </c>
      <c r="G71" s="27">
        <f>B71*Portfolio!$D$5+C71*Portfolio!$D$6+D71*Portfolio!$D$7+E71*Portfolio!$D$8+F71*Portfolio!$D$9</f>
        <v>-1.0026423891790481E-3</v>
      </c>
      <c r="H71" s="27">
        <f>IFERROR('Price Data'!G71/'Price Data'!G70-1,0)</f>
        <v>5.5747683219642408E-3</v>
      </c>
    </row>
    <row r="72" spans="1:8" ht="15">
      <c r="A72" s="25">
        <f>'Price Data'!A72</f>
        <v>45028</v>
      </c>
      <c r="B72" s="27">
        <f>IFERROR('Price Data'!B72/'Price Data'!B71-1,0)</f>
        <v>4.4086072073674654E-3</v>
      </c>
      <c r="C72" s="27">
        <f>IFERROR('Price Data'!C72/'Price Data'!C71-1,0)</f>
        <v>1.2986308221726306E-2</v>
      </c>
      <c r="D72" s="27">
        <f>IFERROR('Price Data'!D72/'Price Data'!D71-1,0)</f>
        <v>8.6657038106876527E-3</v>
      </c>
      <c r="E72" s="27">
        <f>IFERROR('Price Data'!E72/'Price Data'!E71-1,0)</f>
        <v>9.3548425989558037E-3</v>
      </c>
      <c r="F72" s="27">
        <f>IFERROR('Price Data'!F72/'Price Data'!F71-1,0)</f>
        <v>1.5752084705327185E-2</v>
      </c>
      <c r="G72" s="27">
        <f>B72*Portfolio!$D$5+C72*Portfolio!$D$6+D72*Portfolio!$D$7+E72*Portfolio!$D$8+F72*Portfolio!$D$9</f>
        <v>9.8479087150534217E-3</v>
      </c>
      <c r="H72" s="27">
        <f>IFERROR('Price Data'!G72/'Price Data'!G71-1,0)</f>
        <v>5.0839679614469446E-3</v>
      </c>
    </row>
    <row r="73" spans="1:8" ht="15">
      <c r="A73" s="25">
        <f>'Price Data'!A73</f>
        <v>45029</v>
      </c>
      <c r="B73" s="27">
        <f>IFERROR('Price Data'!B73/'Price Data'!B72-1,0)</f>
        <v>3.7712966125986735E-3</v>
      </c>
      <c r="C73" s="27">
        <f>IFERROR('Price Data'!C73/'Price Data'!C72-1,0)</f>
        <v>4.48085111528429E-3</v>
      </c>
      <c r="D73" s="27">
        <f>IFERROR('Price Data'!D73/'Price Data'!D72-1,0)</f>
        <v>-1.6287908373231907E-2</v>
      </c>
      <c r="E73" s="27">
        <f>IFERROR('Price Data'!E73/'Price Data'!E72-1,0)</f>
        <v>9.942050494688992E-3</v>
      </c>
      <c r="F73" s="27">
        <f>IFERROR('Price Data'!F73/'Price Data'!F72-1,0)</f>
        <v>-2.7375265371304636E-2</v>
      </c>
      <c r="G73" s="27">
        <f>B73*Portfolio!$D$5+C73*Portfolio!$D$6+D73*Portfolio!$D$7+E73*Portfolio!$D$8+F73*Portfolio!$D$9</f>
        <v>-3.8095269741679869E-3</v>
      </c>
      <c r="H73" s="27">
        <f>IFERROR('Price Data'!G73/'Price Data'!G72-1,0)</f>
        <v>8.7577244127134968E-4</v>
      </c>
    </row>
    <row r="74" spans="1:8" ht="15">
      <c r="A74" s="25">
        <f>'Price Data'!A74</f>
        <v>45033</v>
      </c>
      <c r="B74" s="27">
        <f>IFERROR('Price Data'!B74/'Price Data'!B73-1,0)</f>
        <v>5.0731426922601131E-3</v>
      </c>
      <c r="C74" s="27">
        <f>IFERROR('Price Data'!C74/'Price Data'!C73-1,0)</f>
        <v>-1.5244036234242642E-2</v>
      </c>
      <c r="D74" s="27">
        <f>IFERROR('Price Data'!D74/'Price Data'!D73-1,0)</f>
        <v>-1.5475633287963975E-2</v>
      </c>
      <c r="E74" s="27">
        <f>IFERROR('Price Data'!E74/'Price Data'!E73-1,0)</f>
        <v>2.5584123747761645E-3</v>
      </c>
      <c r="F74" s="27">
        <f>IFERROR('Price Data'!F74/'Price Data'!F73-1,0)</f>
        <v>-9.4226898657790215E-2</v>
      </c>
      <c r="G74" s="27">
        <f>B74*Portfolio!$D$5+C74*Portfolio!$D$6+D74*Portfolio!$D$7+E74*Portfolio!$D$8+F74*Portfolio!$D$9</f>
        <v>-1.9388122985540532E-2</v>
      </c>
      <c r="H74" s="27">
        <f>IFERROR('Price Data'!G74/'Price Data'!G73-1,0)</f>
        <v>-6.7955121508301852E-3</v>
      </c>
    </row>
    <row r="75" spans="1:8" ht="15">
      <c r="A75" s="25">
        <f>'Price Data'!A75</f>
        <v>45034</v>
      </c>
      <c r="B75" s="27">
        <f>IFERROR('Price Data'!B75/'Price Data'!B74-1,0)</f>
        <v>-1.1446883485348391E-2</v>
      </c>
      <c r="C75" s="27">
        <f>IFERROR('Price Data'!C75/'Price Data'!C74-1,0)</f>
        <v>-4.2301145159889808E-3</v>
      </c>
      <c r="D75" s="27">
        <f>IFERROR('Price Data'!D75/'Price Data'!D74-1,0)</f>
        <v>-2.7872365443546432E-3</v>
      </c>
      <c r="E75" s="27">
        <f>IFERROR('Price Data'!E75/'Price Data'!E74-1,0)</f>
        <v>-4.9374260069645626E-3</v>
      </c>
      <c r="F75" s="27">
        <f>IFERROR('Price Data'!F75/'Price Data'!F74-1,0)</f>
        <v>8.3449478538022426E-4</v>
      </c>
      <c r="G75" s="27">
        <f>B75*Portfolio!$D$5+C75*Portfolio!$D$6+D75*Portfolio!$D$7+E75*Portfolio!$D$8+F75*Portfolio!$D$9</f>
        <v>-5.092136492442923E-3</v>
      </c>
      <c r="H75" s="27">
        <f>IFERROR('Price Data'!G75/'Price Data'!G74-1,0)</f>
        <v>-2.6373533282438855E-3</v>
      </c>
    </row>
    <row r="76" spans="1:8" ht="15">
      <c r="A76" s="25">
        <f>'Price Data'!A76</f>
        <v>45035</v>
      </c>
      <c r="B76" s="27">
        <f>IFERROR('Price Data'!B76/'Price Data'!B75-1,0)</f>
        <v>4.9778804234286156E-3</v>
      </c>
      <c r="C76" s="27">
        <f>IFERROR('Price Data'!C76/'Price Data'!C75-1,0)</f>
        <v>3.6756127788906134E-3</v>
      </c>
      <c r="D76" s="27">
        <f>IFERROR('Price Data'!D76/'Price Data'!D75-1,0)</f>
        <v>-1.3143897392723369E-2</v>
      </c>
      <c r="E76" s="27">
        <f>IFERROR('Price Data'!E76/'Price Data'!E75-1,0)</f>
        <v>-5.5192167984483564E-3</v>
      </c>
      <c r="F76" s="27">
        <f>IFERROR('Price Data'!F76/'Price Data'!F75-1,0)</f>
        <v>-2.1558919041487545E-2</v>
      </c>
      <c r="G76" s="27">
        <f>B76*Portfolio!$D$5+C76*Portfolio!$D$6+D76*Portfolio!$D$7+E76*Portfolio!$D$8+F76*Portfolio!$D$9</f>
        <v>-4.5271265539552517E-3</v>
      </c>
      <c r="H76" s="27">
        <f>IFERROR('Price Data'!G76/'Price Data'!G75-1,0)</f>
        <v>-2.3442830162407891E-3</v>
      </c>
    </row>
    <row r="77" spans="1:8" ht="15">
      <c r="A77" s="25">
        <f>'Price Data'!A77</f>
        <v>45036</v>
      </c>
      <c r="B77" s="27">
        <f>IFERROR('Price Data'!B77/'Price Data'!B76-1,0)</f>
        <v>-2.5297237977472964E-3</v>
      </c>
      <c r="C77" s="27">
        <f>IFERROR('Price Data'!C77/'Price Data'!C76-1,0)</f>
        <v>3.7220693841852892E-3</v>
      </c>
      <c r="D77" s="27">
        <f>IFERROR('Price Data'!D77/'Price Data'!D76-1,0)</f>
        <v>4.9198239303411828E-3</v>
      </c>
      <c r="E77" s="27">
        <f>IFERROR('Price Data'!E77/'Price Data'!E76-1,0)</f>
        <v>2.8030447162457062E-3</v>
      </c>
      <c r="F77" s="27">
        <f>IFERROR('Price Data'!F77/'Price Data'!F76-1,0)</f>
        <v>-7.1414832076982515E-3</v>
      </c>
      <c r="G77" s="27">
        <f>B77*Portfolio!$D$5+C77*Portfolio!$D$6+D77*Portfolio!$D$7+E77*Portfolio!$D$8+F77*Portfolio!$D$9</f>
        <v>6.3128540895985305E-4</v>
      </c>
      <c r="H77" s="27">
        <f>IFERROR('Price Data'!G77/'Price Data'!G76-1,0)</f>
        <v>3.234746363958152E-4</v>
      </c>
    </row>
    <row r="78" spans="1:8" ht="15">
      <c r="A78" s="25">
        <f>'Price Data'!A78</f>
        <v>45037</v>
      </c>
      <c r="B78" s="27">
        <f>IFERROR('Price Data'!B78/'Price Data'!B77-1,0)</f>
        <v>1.2574204524973265E-3</v>
      </c>
      <c r="C78" s="27">
        <f>IFERROR('Price Data'!C78/'Price Data'!C77-1,0)</f>
        <v>1.6149290118421256E-3</v>
      </c>
      <c r="D78" s="27">
        <f>IFERROR('Price Data'!D78/'Price Data'!D77-1,0)</f>
        <v>1.8052778432790184E-2</v>
      </c>
      <c r="E78" s="27">
        <f>IFERROR('Price Data'!E78/'Price Data'!E77-1,0)</f>
        <v>-9.7831287690154367E-3</v>
      </c>
      <c r="F78" s="27">
        <f>IFERROR('Price Data'!F78/'Price Data'!F77-1,0)</f>
        <v>3.2285744455002874E-3</v>
      </c>
      <c r="G78" s="27">
        <f>B78*Portfolio!$D$5+C78*Portfolio!$D$6+D78*Portfolio!$D$7+E78*Portfolio!$D$8+F78*Portfolio!$D$9</f>
        <v>3.3454599041156281E-3</v>
      </c>
      <c r="H78" s="27">
        <f>IFERROR('Price Data'!G78/'Price Data'!G77-1,0)</f>
        <v>-2.260708945023282E-5</v>
      </c>
    </row>
    <row r="79" spans="1:8" ht="15">
      <c r="A79" s="25">
        <f>'Price Data'!A79</f>
        <v>45040</v>
      </c>
      <c r="B79" s="27">
        <f>IFERROR('Price Data'!B79/'Price Data'!B78-1,0)</f>
        <v>3.8315683583793891E-3</v>
      </c>
      <c r="C79" s="27">
        <f>IFERROR('Price Data'!C79/'Price Data'!C78-1,0)</f>
        <v>8.0915025170877897E-3</v>
      </c>
      <c r="D79" s="27">
        <f>IFERROR('Price Data'!D79/'Price Data'!D78-1,0)</f>
        <v>4.4133510210140336E-3</v>
      </c>
      <c r="E79" s="27">
        <f>IFERROR('Price Data'!E79/'Price Data'!E78-1,0)</f>
        <v>2.1566074679067793E-2</v>
      </c>
      <c r="F79" s="27">
        <f>IFERROR('Price Data'!F79/'Price Data'!F78-1,0)</f>
        <v>-8.5531665163030013E-4</v>
      </c>
      <c r="G79" s="27">
        <f>B79*Portfolio!$D$5+C79*Portfolio!$D$6+D79*Portfolio!$D$7+E79*Portfolio!$D$8+F79*Portfolio!$D$9</f>
        <v>6.9700516271852253E-3</v>
      </c>
      <c r="H79" s="27">
        <f>IFERROR('Price Data'!G79/'Price Data'!G78-1,0)</f>
        <v>6.7719737565652416E-3</v>
      </c>
    </row>
    <row r="80" spans="1:8" ht="15">
      <c r="A80" s="25">
        <f>'Price Data'!A80</f>
        <v>45041</v>
      </c>
      <c r="B80" s="27">
        <f>IFERROR('Price Data'!B80/'Price Data'!B79-1,0)</f>
        <v>7.6547358558449741E-3</v>
      </c>
      <c r="C80" s="27">
        <f>IFERROR('Price Data'!C80/'Price Data'!C79-1,0)</f>
        <v>-1.4216634584530263E-2</v>
      </c>
      <c r="D80" s="27">
        <f>IFERROR('Price Data'!D80/'Price Data'!D79-1,0)</f>
        <v>3.7798589790560833E-4</v>
      </c>
      <c r="E80" s="27">
        <f>IFERROR('Price Data'!E80/'Price Data'!E79-1,0)</f>
        <v>9.6159782110276648E-3</v>
      </c>
      <c r="F80" s="27">
        <f>IFERROR('Price Data'!F80/'Price Data'!F79-1,0)</f>
        <v>-1.1415832712088347E-3</v>
      </c>
      <c r="G80" s="27">
        <f>B80*Portfolio!$D$5+C80*Portfolio!$D$6+D80*Portfolio!$D$7+E80*Portfolio!$D$8+F80*Portfolio!$D$9</f>
        <v>-2.937182616173762E-4</v>
      </c>
      <c r="H80" s="27">
        <f>IFERROR('Price Data'!G80/'Price Data'!G79-1,0)</f>
        <v>1.4568576938982503E-3</v>
      </c>
    </row>
    <row r="81" spans="1:8" ht="15">
      <c r="A81" s="25">
        <f>'Price Data'!A81</f>
        <v>45042</v>
      </c>
      <c r="B81" s="27">
        <f>IFERROR('Price Data'!B81/'Price Data'!B80-1,0)</f>
        <v>-5.8710193788751308E-3</v>
      </c>
      <c r="C81" s="27">
        <f>IFERROR('Price Data'!C81/'Price Data'!C80-1,0)</f>
        <v>4.5968500659472333E-3</v>
      </c>
      <c r="D81" s="27">
        <f>IFERROR('Price Data'!D81/'Price Data'!D80-1,0)</f>
        <v>6.9740852173385548E-3</v>
      </c>
      <c r="E81" s="27">
        <f>IFERROR('Price Data'!E81/'Price Data'!E80-1,0)</f>
        <v>1.6421081952235905E-3</v>
      </c>
      <c r="F81" s="27">
        <f>IFERROR('Price Data'!F81/'Price Data'!F80-1,0)</f>
        <v>2.1633276279595659E-3</v>
      </c>
      <c r="G81" s="27">
        <f>B81*Portfolio!$D$5+C81*Portfolio!$D$6+D81*Portfolio!$D$7+E81*Portfolio!$D$8+F81*Portfolio!$D$9</f>
        <v>1.6470900887132099E-3</v>
      </c>
      <c r="H81" s="27">
        <f>IFERROR('Price Data'!G81/'Price Data'!G80-1,0)</f>
        <v>2.4958627615121465E-3</v>
      </c>
    </row>
    <row r="82" spans="1:8" ht="15">
      <c r="A82" s="25">
        <f>'Price Data'!A82</f>
        <v>45043</v>
      </c>
      <c r="B82" s="27">
        <f>IFERROR('Price Data'!B82/'Price Data'!B81-1,0)</f>
        <v>6.3289973141367195E-3</v>
      </c>
      <c r="C82" s="27">
        <f>IFERROR('Price Data'!C82/'Price Data'!C81-1,0)</f>
        <v>5.5029957300818388E-3</v>
      </c>
      <c r="D82" s="27">
        <f>IFERROR('Price Data'!D82/'Price Data'!D81-1,0)</f>
        <v>-3.1893387294116282E-3</v>
      </c>
      <c r="E82" s="27">
        <f>IFERROR('Price Data'!E82/'Price Data'!E81-1,0)</f>
        <v>3.7159277866671836E-3</v>
      </c>
      <c r="F82" s="27">
        <f>IFERROR('Price Data'!F82/'Price Data'!F81-1,0)</f>
        <v>1.5233452847668083E-2</v>
      </c>
      <c r="G82" s="27">
        <f>B82*Portfolio!$D$5+C82*Portfolio!$D$6+D82*Portfolio!$D$7+E82*Portfolio!$D$8+F82*Portfolio!$D$9</f>
        <v>5.1625376103226032E-3</v>
      </c>
      <c r="H82" s="27">
        <f>IFERROR('Price Data'!G82/'Price Data'!G81-1,0)</f>
        <v>5.6951528101938376E-3</v>
      </c>
    </row>
    <row r="83" spans="1:8" ht="15">
      <c r="A83" s="25">
        <f>'Price Data'!A83</f>
        <v>45044</v>
      </c>
      <c r="B83" s="27">
        <f>IFERROR('Price Data'!B83/'Price Data'!B82-1,0)</f>
        <v>1.8278881956901971E-2</v>
      </c>
      <c r="C83" s="27">
        <f>IFERROR('Price Data'!C83/'Price Data'!C82-1,0)</f>
        <v>3.9262938340578479E-3</v>
      </c>
      <c r="D83" s="27">
        <f>IFERROR('Price Data'!D83/'Price Data'!D82-1,0)</f>
        <v>9.8183242864307019E-3</v>
      </c>
      <c r="E83" s="27">
        <f>IFERROR('Price Data'!E83/'Price Data'!E82-1,0)</f>
        <v>-7.6211948766768955E-4</v>
      </c>
      <c r="F83" s="27">
        <f>IFERROR('Price Data'!F83/'Price Data'!F82-1,0)</f>
        <v>5.215776255615534E-3</v>
      </c>
      <c r="G83" s="27">
        <f>B83*Portfolio!$D$5+C83*Portfolio!$D$6+D83*Portfolio!$D$7+E83*Portfolio!$D$8+F83*Portfolio!$D$9</f>
        <v>8.1830073202182711E-3</v>
      </c>
      <c r="H83" s="27">
        <f>IFERROR('Price Data'!G83/'Price Data'!G82-1,0)</f>
        <v>8.3700136036979345E-3</v>
      </c>
    </row>
    <row r="84" spans="1:8" ht="15">
      <c r="A84" s="25">
        <f>'Price Data'!A84</f>
        <v>45048</v>
      </c>
      <c r="B84" s="27">
        <f>IFERROR('Price Data'!B84/'Price Data'!B83-1,0)</f>
        <v>8.4901473248162329E-3</v>
      </c>
      <c r="C84" s="27">
        <f>IFERROR('Price Data'!C84/'Price Data'!C83-1,0)</f>
        <v>-2.0744744741074683E-4</v>
      </c>
      <c r="D84" s="27">
        <f>IFERROR('Price Data'!D84/'Price Data'!D83-1,0)</f>
        <v>4.6637643231095538E-5</v>
      </c>
      <c r="E84" s="27">
        <f>IFERROR('Price Data'!E84/'Price Data'!E83-1,0)</f>
        <v>4.8493182075481922E-3</v>
      </c>
      <c r="F84" s="27">
        <f>IFERROR('Price Data'!F84/'Price Data'!F83-1,0)</f>
        <v>1.9716501881263948E-2</v>
      </c>
      <c r="G84" s="27">
        <f>B84*Portfolio!$D$5+C84*Portfolio!$D$6+D84*Portfolio!$D$7+E84*Portfolio!$D$8+F84*Portfolio!$D$9</f>
        <v>5.7648755113194113E-3</v>
      </c>
      <c r="H84" s="27">
        <f>IFERROR('Price Data'!G84/'Price Data'!G83-1,0)</f>
        <v>4.575166931912511E-3</v>
      </c>
    </row>
    <row r="85" spans="1:8" ht="15">
      <c r="A85" s="25">
        <f>'Price Data'!A85</f>
        <v>45049</v>
      </c>
      <c r="B85" s="27">
        <f>IFERROR('Price Data'!B85/'Price Data'!B84-1,0)</f>
        <v>-8.5825394526526377E-3</v>
      </c>
      <c r="C85" s="27">
        <f>IFERROR('Price Data'!C85/'Price Data'!C84-1,0)</f>
        <v>3.4969216894205069E-3</v>
      </c>
      <c r="D85" s="27">
        <f>IFERROR('Price Data'!D85/'Price Data'!D84-1,0)</f>
        <v>-1.2269557686820587E-2</v>
      </c>
      <c r="E85" s="27">
        <f>IFERROR('Price Data'!E85/'Price Data'!E84-1,0)</f>
        <v>8.1328419351311965E-4</v>
      </c>
      <c r="F85" s="27">
        <f>IFERROR('Price Data'!F85/'Price Data'!F84-1,0)</f>
        <v>-6.4972162466917505E-3</v>
      </c>
      <c r="G85" s="27">
        <f>B85*Portfolio!$D$5+C85*Portfolio!$D$6+D85*Portfolio!$D$7+E85*Portfolio!$D$8+F85*Portfolio!$D$9</f>
        <v>-4.5779057861489447E-3</v>
      </c>
      <c r="H85" s="27">
        <f>IFERROR('Price Data'!G85/'Price Data'!G84-1,0)</f>
        <v>-3.18502836487633E-3</v>
      </c>
    </row>
    <row r="86" spans="1:8" ht="15">
      <c r="A86" s="25">
        <f>'Price Data'!A86</f>
        <v>45050</v>
      </c>
      <c r="B86" s="27">
        <f>IFERROR('Price Data'!B86/'Price Data'!B85-1,0)</f>
        <v>1.1528425831222266E-2</v>
      </c>
      <c r="C86" s="27">
        <f>IFERROR('Price Data'!C86/'Price Data'!C85-1,0)</f>
        <v>2.0464797976405436E-2</v>
      </c>
      <c r="D86" s="27">
        <f>IFERROR('Price Data'!D86/'Price Data'!D85-1,0)</f>
        <v>1.2830741386159694E-2</v>
      </c>
      <c r="E86" s="27">
        <f>IFERROR('Price Data'!E86/'Price Data'!E85-1,0)</f>
        <v>-1.2460449847655486E-3</v>
      </c>
      <c r="F86" s="27">
        <f>IFERROR('Price Data'!F86/'Price Data'!F85-1,0)</f>
        <v>3.4669431821177099E-3</v>
      </c>
      <c r="G86" s="27">
        <f>B86*Portfolio!$D$5+C86*Portfolio!$D$6+D86*Portfolio!$D$7+E86*Portfolio!$D$8+F86*Portfolio!$D$9</f>
        <v>1.089758895874169E-2</v>
      </c>
      <c r="H86" s="27">
        <f>IFERROR('Price Data'!G86/'Price Data'!G85-1,0)</f>
        <v>9.1737176073036775E-3</v>
      </c>
    </row>
    <row r="87" spans="1:8" ht="15">
      <c r="A87" s="25">
        <f>'Price Data'!A87</f>
        <v>45051</v>
      </c>
      <c r="B87" s="27">
        <f>IFERROR('Price Data'!B87/'Price Data'!B86-1,0)</f>
        <v>-2.5530984672959001E-3</v>
      </c>
      <c r="C87" s="27">
        <f>IFERROR('Price Data'!C87/'Price Data'!C86-1,0)</f>
        <v>-5.9121479294873436E-2</v>
      </c>
      <c r="D87" s="27">
        <f>IFERROR('Price Data'!D87/'Price Data'!D86-1,0)</f>
        <v>3.1049359927546316E-3</v>
      </c>
      <c r="E87" s="27">
        <f>IFERROR('Price Data'!E87/'Price Data'!E86-1,0)</f>
        <v>5.6959349155443206E-3</v>
      </c>
      <c r="F87" s="27">
        <f>IFERROR('Price Data'!F87/'Price Data'!F86-1,0)</f>
        <v>-1.1346353676177645E-2</v>
      </c>
      <c r="G87" s="27">
        <f>B87*Portfolio!$D$5+C87*Portfolio!$D$6+D87*Portfolio!$D$7+E87*Portfolio!$D$8+F87*Portfolio!$D$9</f>
        <v>-1.5645220056086408E-2</v>
      </c>
      <c r="H87" s="27">
        <f>IFERROR('Price Data'!G87/'Price Data'!G86-1,0)</f>
        <v>-1.0232406865540389E-2</v>
      </c>
    </row>
    <row r="88" spans="1:8" ht="15">
      <c r="A88" s="25">
        <f>'Price Data'!A88</f>
        <v>45054</v>
      </c>
      <c r="B88" s="27">
        <f>IFERROR('Price Data'!B88/'Price Data'!B87-1,0)</f>
        <v>1.2347962283115965E-2</v>
      </c>
      <c r="C88" s="27">
        <f>IFERROR('Price Data'!C88/'Price Data'!C87-1,0)</f>
        <v>1.1564565632164125E-2</v>
      </c>
      <c r="D88" s="27">
        <f>IFERROR('Price Data'!D88/'Price Data'!D87-1,0)</f>
        <v>6.1595022761042895E-3</v>
      </c>
      <c r="E88" s="27">
        <f>IFERROR('Price Data'!E88/'Price Data'!E87-1,0)</f>
        <v>1.1812902304659589E-2</v>
      </c>
      <c r="F88" s="27">
        <f>IFERROR('Price Data'!F88/'Price Data'!F87-1,0)</f>
        <v>5.1624373365577458E-3</v>
      </c>
      <c r="G88" s="27">
        <f>B88*Portfolio!$D$5+C88*Portfolio!$D$6+D88*Portfolio!$D$7+E88*Portfolio!$D$8+F88*Portfolio!$D$9</f>
        <v>9.7563333802234802E-3</v>
      </c>
      <c r="H88" s="27">
        <f>IFERROR('Price Data'!G88/'Price Data'!G87-1,0)</f>
        <v>1.0814123118324304E-2</v>
      </c>
    </row>
    <row r="89" spans="1:8" ht="15">
      <c r="A89" s="25">
        <f>'Price Data'!A89</f>
        <v>45055</v>
      </c>
      <c r="B89" s="27">
        <f>IFERROR('Price Data'!B89/'Price Data'!B88-1,0)</f>
        <v>3.0947380432921889E-3</v>
      </c>
      <c r="C89" s="27">
        <f>IFERROR('Price Data'!C89/'Price Data'!C88-1,0)</f>
        <v>3.0424178125709744E-5</v>
      </c>
      <c r="D89" s="27">
        <f>IFERROR('Price Data'!D89/'Price Data'!D88-1,0)</f>
        <v>1.0044452089077671E-2</v>
      </c>
      <c r="E89" s="27">
        <f>IFERROR('Price Data'!E89/'Price Data'!E88-1,0)</f>
        <v>-3.7316344194643358E-3</v>
      </c>
      <c r="F89" s="27">
        <f>IFERROR('Price Data'!F89/'Price Data'!F88-1,0)</f>
        <v>4.0296815783329443E-3</v>
      </c>
      <c r="G89" s="27">
        <f>B89*Portfolio!$D$5+C89*Portfolio!$D$6+D89*Portfolio!$D$7+E89*Portfolio!$D$8+F89*Portfolio!$D$9</f>
        <v>2.8348880470003002E-3</v>
      </c>
      <c r="H89" s="27">
        <f>IFERROR('Price Data'!G89/'Price Data'!G88-1,0)</f>
        <v>8.4800381719318807E-5</v>
      </c>
    </row>
    <row r="90" spans="1:8" ht="15">
      <c r="A90" s="25">
        <f>'Price Data'!A90</f>
        <v>45056</v>
      </c>
      <c r="B90" s="27">
        <f>IFERROR('Price Data'!B90/'Price Data'!B89-1,0)</f>
        <v>6.8761300906694522E-3</v>
      </c>
      <c r="C90" s="27">
        <f>IFERROR('Price Data'!C90/'Price Data'!C89-1,0)</f>
        <v>4.6214331970846345E-3</v>
      </c>
      <c r="D90" s="27">
        <f>IFERROR('Price Data'!D90/'Price Data'!D89-1,0)</f>
        <v>1.0812587149542363E-3</v>
      </c>
      <c r="E90" s="27">
        <f>IFERROR('Price Data'!E90/'Price Data'!E89-1,0)</f>
        <v>1.7658065287851077E-3</v>
      </c>
      <c r="F90" s="27">
        <f>IFERROR('Price Data'!F90/'Price Data'!F89-1,0)</f>
        <v>-5.862793551676182E-3</v>
      </c>
      <c r="G90" s="27">
        <f>B90*Portfolio!$D$5+C90*Portfolio!$D$6+D90*Portfolio!$D$7+E90*Portfolio!$D$8+F90*Portfolio!$D$9</f>
        <v>2.4760945114957081E-3</v>
      </c>
      <c r="H90" s="27">
        <f>IFERROR('Price Data'!G90/'Price Data'!G89-1,0)</f>
        <v>2.6908205008338015E-3</v>
      </c>
    </row>
    <row r="91" spans="1:8" ht="15">
      <c r="A91" s="25">
        <f>'Price Data'!A91</f>
        <v>45057</v>
      </c>
      <c r="B91" s="27">
        <f>IFERROR('Price Data'!B91/'Price Data'!B90-1,0)</f>
        <v>-6.5288500927597193E-3</v>
      </c>
      <c r="C91" s="27">
        <f>IFERROR('Price Data'!C91/'Price Data'!C90-1,0)</f>
        <v>6.6576430757159244E-4</v>
      </c>
      <c r="D91" s="27">
        <f>IFERROR('Price Data'!D91/'Price Data'!D90-1,0)</f>
        <v>-1.414743837796828E-3</v>
      </c>
      <c r="E91" s="27">
        <f>IFERROR('Price Data'!E91/'Price Data'!E90-1,0)</f>
        <v>3.3651551488069753E-3</v>
      </c>
      <c r="F91" s="27">
        <f>IFERROR('Price Data'!F91/'Price Data'!F90-1,0)</f>
        <v>-5.6601218569918288E-3</v>
      </c>
      <c r="G91" s="27">
        <f>B91*Portfolio!$D$5+C91*Portfolio!$D$6+D91*Portfolio!$D$7+E91*Portfolio!$D$8+F91*Portfolio!$D$9</f>
        <v>-2.0929652200841254E-3</v>
      </c>
      <c r="H91" s="27">
        <f>IFERROR('Price Data'!G91/'Price Data'!G90-1,0)</f>
        <v>-9.8823428542726965E-4</v>
      </c>
    </row>
    <row r="92" spans="1:8" ht="15">
      <c r="A92" s="25">
        <f>'Price Data'!A92</f>
        <v>45058</v>
      </c>
      <c r="B92" s="27">
        <f>IFERROR('Price Data'!B92/'Price Data'!B91-1,0)</f>
        <v>1.6327848909072351E-3</v>
      </c>
      <c r="C92" s="27">
        <f>IFERROR('Price Data'!C92/'Price Data'!C91-1,0)</f>
        <v>8.8315365756712616E-3</v>
      </c>
      <c r="D92" s="27">
        <f>IFERROR('Price Data'!D92/'Price Data'!D91-1,0)</f>
        <v>-2.3918794965583912E-3</v>
      </c>
      <c r="E92" s="27">
        <f>IFERROR('Price Data'!E92/'Price Data'!E91-1,0)</f>
        <v>5.0042983889748704E-3</v>
      </c>
      <c r="F92" s="27">
        <f>IFERROR('Price Data'!F92/'Price Data'!F91-1,0)</f>
        <v>-8.677621354409526E-3</v>
      </c>
      <c r="G92" s="27">
        <f>B92*Portfolio!$D$5+C92*Portfolio!$D$6+D92*Portfolio!$D$7+E92*Portfolio!$D$8+F92*Portfolio!$D$9</f>
        <v>1.5867060225177477E-3</v>
      </c>
      <c r="H92" s="27">
        <f>IFERROR('Price Data'!G92/'Price Data'!G91-1,0)</f>
        <v>9.728797753729701E-4</v>
      </c>
    </row>
    <row r="93" spans="1:8" ht="15">
      <c r="A93" s="25">
        <f>'Price Data'!A93</f>
        <v>45061</v>
      </c>
      <c r="B93" s="27">
        <f>IFERROR('Price Data'!B93/'Price Data'!B92-1,0)</f>
        <v>1.9723680321963588E-3</v>
      </c>
      <c r="C93" s="27">
        <f>IFERROR('Price Data'!C93/'Price Data'!C92-1,0)</f>
        <v>4.7967775106114718E-3</v>
      </c>
      <c r="D93" s="27">
        <f>IFERROR('Price Data'!D93/'Price Data'!D92-1,0)</f>
        <v>-5.8789499374649612E-3</v>
      </c>
      <c r="E93" s="27">
        <f>IFERROR('Price Data'!E93/'Price Data'!E92-1,0)</f>
        <v>1.9599454941927608E-3</v>
      </c>
      <c r="F93" s="27">
        <f>IFERROR('Price Data'!F93/'Price Data'!F92-1,0)</f>
        <v>1.0560581734567309E-2</v>
      </c>
      <c r="G93" s="27">
        <f>B93*Portfolio!$D$5+C93*Portfolio!$D$6+D93*Portfolio!$D$7+E93*Portfolio!$D$8+F93*Portfolio!$D$9</f>
        <v>2.3945754825229759E-3</v>
      </c>
      <c r="H93" s="27">
        <f>IFERROR('Price Data'!G93/'Price Data'!G92-1,0)</f>
        <v>4.5891205221868514E-3</v>
      </c>
    </row>
    <row r="94" spans="1:8" ht="15">
      <c r="A94" s="25">
        <f>'Price Data'!A94</f>
        <v>45062</v>
      </c>
      <c r="B94" s="27">
        <f>IFERROR('Price Data'!B94/'Price Data'!B93-1,0)</f>
        <v>-1.4241085723332603E-2</v>
      </c>
      <c r="C94" s="27">
        <f>IFERROR('Price Data'!C94/'Price Data'!C93-1,0)</f>
        <v>-5.7340093698575734E-3</v>
      </c>
      <c r="D94" s="27">
        <f>IFERROR('Price Data'!D94/'Price Data'!D93-1,0)</f>
        <v>9.5225200158899348E-4</v>
      </c>
      <c r="E94" s="27">
        <f>IFERROR('Price Data'!E94/'Price Data'!E93-1,0)</f>
        <v>6.3435738314088219E-4</v>
      </c>
      <c r="F94" s="27">
        <f>IFERROR('Price Data'!F94/'Price Data'!F93-1,0)</f>
        <v>4.7285076699252748E-3</v>
      </c>
      <c r="G94" s="27">
        <f>B94*Portfolio!$D$5+C94*Portfolio!$D$6+D94*Portfolio!$D$7+E94*Portfolio!$D$8+F94*Portfolio!$D$9</f>
        <v>-3.9988936150198214E-3</v>
      </c>
      <c r="H94" s="27">
        <f>IFERROR('Price Data'!G94/'Price Data'!G93-1,0)</f>
        <v>-6.106338807060685E-3</v>
      </c>
    </row>
    <row r="95" spans="1:8" ht="15">
      <c r="A95" s="25">
        <f>'Price Data'!A95</f>
        <v>45063</v>
      </c>
      <c r="B95" s="27">
        <f>IFERROR('Price Data'!B95/'Price Data'!B94-1,0)</f>
        <v>-5.9093179815435937E-3</v>
      </c>
      <c r="C95" s="27">
        <f>IFERROR('Price Data'!C95/'Price Data'!C94-1,0)</f>
        <v>-5.3724679455876556E-3</v>
      </c>
      <c r="D95" s="27">
        <f>IFERROR('Price Data'!D95/'Price Data'!D94-1,0)</f>
        <v>-1.5177190684934505E-2</v>
      </c>
      <c r="E95" s="27">
        <f>IFERROR('Price Data'!E95/'Price Data'!E94-1,0)</f>
        <v>-7.3967611972871605E-3</v>
      </c>
      <c r="F95" s="27">
        <f>IFERROR('Price Data'!F95/'Price Data'!F94-1,0)</f>
        <v>-1.3762650000623822E-2</v>
      </c>
      <c r="G95" s="27">
        <f>B95*Portfolio!$D$5+C95*Portfolio!$D$6+D95*Portfolio!$D$7+E95*Portfolio!$D$8+F95*Portfolio!$D$9</f>
        <v>-9.02979629845636E-3</v>
      </c>
      <c r="H95" s="27">
        <f>IFERROR('Price Data'!G95/'Price Data'!G94-1,0)</f>
        <v>-5.7282694884204233E-3</v>
      </c>
    </row>
    <row r="96" spans="1:8" ht="15">
      <c r="A96" s="25">
        <f>'Price Data'!A96</f>
        <v>45064</v>
      </c>
      <c r="B96" s="27">
        <f>IFERROR('Price Data'!B96/'Price Data'!B95-1,0)</f>
        <v>-2.1521853403601021E-3</v>
      </c>
      <c r="C96" s="27">
        <f>IFERROR('Price Data'!C96/'Price Data'!C95-1,0)</f>
        <v>3.9976810197723811E-3</v>
      </c>
      <c r="D96" s="27">
        <f>IFERROR('Price Data'!D96/'Price Data'!D95-1,0)</f>
        <v>-2.7584038237791209E-3</v>
      </c>
      <c r="E96" s="27">
        <f>IFERROR('Price Data'!E96/'Price Data'!E95-1,0)</f>
        <v>7.6116839975257644E-3</v>
      </c>
      <c r="F96" s="27">
        <f>IFERROR('Price Data'!F96/'Price Data'!F95-1,0)</f>
        <v>-7.2183638491596369E-4</v>
      </c>
      <c r="G96" s="27">
        <f>B96*Portfolio!$D$5+C96*Portfolio!$D$6+D96*Portfolio!$D$7+E96*Portfolio!$D$8+F96*Portfolio!$D$9</f>
        <v>9.4317029698871542E-4</v>
      </c>
      <c r="H96" s="27">
        <f>IFERROR('Price Data'!G96/'Price Data'!G95-1,0)</f>
        <v>-2.8490536527011612E-3</v>
      </c>
    </row>
    <row r="97" spans="1:8" ht="15">
      <c r="A97" s="25">
        <f>'Price Data'!A97</f>
        <v>45065</v>
      </c>
      <c r="B97" s="27">
        <f>IFERROR('Price Data'!B97/'Price Data'!B96-1,0)</f>
        <v>3.2455051475459573E-3</v>
      </c>
      <c r="C97" s="27">
        <f>IFERROR('Price Data'!C97/'Price Data'!C96-1,0)</f>
        <v>1.155028294473226E-3</v>
      </c>
      <c r="D97" s="27">
        <f>IFERROR('Price Data'!D97/'Price Data'!D96-1,0)</f>
        <v>7.1880717899042157E-3</v>
      </c>
      <c r="E97" s="27">
        <f>IFERROR('Price Data'!E97/'Price Data'!E96-1,0)</f>
        <v>8.2408378195029108E-3</v>
      </c>
      <c r="F97" s="27">
        <f>IFERROR('Price Data'!F97/'Price Data'!F96-1,0)</f>
        <v>1.8378926053980393E-2</v>
      </c>
      <c r="G97" s="27">
        <f>B97*Portfolio!$D$5+C97*Portfolio!$D$6+D97*Portfolio!$D$7+E97*Portfolio!$D$8+F97*Portfolio!$D$9</f>
        <v>6.5307122995081346E-3</v>
      </c>
      <c r="H97" s="27">
        <f>IFERROR('Price Data'!G97/'Price Data'!G96-1,0)</f>
        <v>4.0513721791914925E-3</v>
      </c>
    </row>
    <row r="98" spans="1:8" ht="15">
      <c r="A98" s="25">
        <f>'Price Data'!A98</f>
        <v>45068</v>
      </c>
      <c r="B98" s="27">
        <f>IFERROR('Price Data'!B98/'Price Data'!B97-1,0)</f>
        <v>5.3441514501144649E-3</v>
      </c>
      <c r="C98" s="27">
        <f>IFERROR('Price Data'!C98/'Price Data'!C97-1,0)</f>
        <v>-3.5520421746081388E-3</v>
      </c>
      <c r="D98" s="27">
        <f>IFERROR('Price Data'!D98/'Price Data'!D97-1,0)</f>
        <v>2.353505153296509E-2</v>
      </c>
      <c r="E98" s="27">
        <f>IFERROR('Price Data'!E98/'Price Data'!E97-1,0)</f>
        <v>-4.1391411562290426E-3</v>
      </c>
      <c r="F98" s="27">
        <f>IFERROR('Price Data'!F98/'Price Data'!F97-1,0)</f>
        <v>1.883521714081926E-2</v>
      </c>
      <c r="G98" s="27">
        <f>B98*Portfolio!$D$5+C98*Portfolio!$D$6+D98*Portfolio!$D$7+E98*Portfolio!$D$8+F98*Portfolio!$D$9</f>
        <v>7.3594490231581322E-3</v>
      </c>
      <c r="H98" s="27">
        <f>IFERROR('Price Data'!G98/'Price Data'!G97-1,0)</f>
        <v>6.097761825706316E-3</v>
      </c>
    </row>
    <row r="99" spans="1:8" ht="15">
      <c r="A99" s="25">
        <f>'Price Data'!A99</f>
        <v>45069</v>
      </c>
      <c r="B99" s="27">
        <f>IFERROR('Price Data'!B99/'Price Data'!B98-1,0)</f>
        <v>-1.8318074654366523E-4</v>
      </c>
      <c r="C99" s="27">
        <f>IFERROR('Price Data'!C99/'Price Data'!C98-1,0)</f>
        <v>-2.3462243088943069E-3</v>
      </c>
      <c r="D99" s="27">
        <f>IFERROR('Price Data'!D99/'Price Data'!D98-1,0)</f>
        <v>-5.0025016586641158E-4</v>
      </c>
      <c r="E99" s="27">
        <f>IFERROR('Price Data'!E99/'Price Data'!E98-1,0)</f>
        <v>3.2093487320294933E-3</v>
      </c>
      <c r="F99" s="27">
        <f>IFERROR('Price Data'!F99/'Price Data'!F98-1,0)</f>
        <v>5.6079508449160542E-3</v>
      </c>
      <c r="G99" s="27">
        <f>B99*Portfolio!$D$5+C99*Portfolio!$D$6+D99*Portfolio!$D$7+E99*Portfolio!$D$8+F99*Portfolio!$D$9</f>
        <v>5.9019363950905675E-4</v>
      </c>
      <c r="H99" s="27">
        <f>IFERROR('Price Data'!G99/'Price Data'!G98-1,0)</f>
        <v>1.834600568861644E-3</v>
      </c>
    </row>
    <row r="100" spans="1:8" ht="15">
      <c r="A100" s="25">
        <f>'Price Data'!A100</f>
        <v>45070</v>
      </c>
      <c r="B100" s="27">
        <f>IFERROR('Price Data'!B100/'Price Data'!B99-1,0)</f>
        <v>-5.8260836540768857E-3</v>
      </c>
      <c r="C100" s="27">
        <f>IFERROR('Price Data'!C100/'Price Data'!C99-1,0)</f>
        <v>-1.3070926412090622E-2</v>
      </c>
      <c r="D100" s="27">
        <f>IFERROR('Price Data'!D100/'Price Data'!D99-1,0)</f>
        <v>1.9108462702752682E-3</v>
      </c>
      <c r="E100" s="27">
        <f>IFERROR('Price Data'!E100/'Price Data'!E99-1,0)</f>
        <v>-1.3373242912673278E-2</v>
      </c>
      <c r="F100" s="27">
        <f>IFERROR('Price Data'!F100/'Price Data'!F99-1,0)</f>
        <v>-1.0769275182594962E-3</v>
      </c>
      <c r="G100" s="27">
        <f>B100*Portfolio!$D$5+C100*Portfolio!$D$6+D100*Portfolio!$D$7+E100*Portfolio!$D$8+F100*Portfolio!$D$9</f>
        <v>-6.5096088271267387E-3</v>
      </c>
      <c r="H100" s="27">
        <f>IFERROR('Price Data'!G100/'Price Data'!G99-1,0)</f>
        <v>-3.4117947119577385E-3</v>
      </c>
    </row>
    <row r="101" spans="1:8" ht="15">
      <c r="A101" s="25">
        <f>'Price Data'!A101</f>
        <v>45071</v>
      </c>
      <c r="B101" s="27">
        <f>IFERROR('Price Data'!B101/'Price Data'!B100-1,0)</f>
        <v>-1.2296874513206824E-4</v>
      </c>
      <c r="C101" s="27">
        <f>IFERROR('Price Data'!C101/'Price Data'!C100-1,0)</f>
        <v>-3.8372222471628747E-3</v>
      </c>
      <c r="D101" s="27">
        <f>IFERROR('Price Data'!D101/'Price Data'!D100-1,0)</f>
        <v>-2.9819629119075541E-3</v>
      </c>
      <c r="E101" s="27">
        <f>IFERROR('Price Data'!E101/'Price Data'!E100-1,0)</f>
        <v>-8.5043998799405607E-4</v>
      </c>
      <c r="F101" s="27">
        <f>IFERROR('Price Data'!F101/'Price Data'!F100-1,0)</f>
        <v>4.3892109053640382E-3</v>
      </c>
      <c r="G101" s="27">
        <f>B101*Portfolio!$D$5+C101*Portfolio!$D$6+D101*Portfolio!$D$7+E101*Portfolio!$D$8+F101*Portfolio!$D$9</f>
        <v>-1.0556246928497496E-3</v>
      </c>
      <c r="H101" s="27">
        <f>IFERROR('Price Data'!G101/'Price Data'!G100-1,0)</f>
        <v>1.9551116867164708E-3</v>
      </c>
    </row>
    <row r="102" spans="1:8" ht="15">
      <c r="A102" s="25">
        <f>'Price Data'!A102</f>
        <v>45072</v>
      </c>
      <c r="B102" s="27">
        <f>IFERROR('Price Data'!B102/'Price Data'!B101-1,0)</f>
        <v>2.7275333685953251E-2</v>
      </c>
      <c r="C102" s="27">
        <f>IFERROR('Price Data'!C102/'Price Data'!C101-1,0)</f>
        <v>3.8520032396902604E-3</v>
      </c>
      <c r="D102" s="27">
        <f>IFERROR('Price Data'!D102/'Price Data'!D101-1,0)</f>
        <v>1.074846546777608E-2</v>
      </c>
      <c r="E102" s="27">
        <f>IFERROR('Price Data'!E102/'Price Data'!E101-1,0)</f>
        <v>1.1544417177032251E-2</v>
      </c>
      <c r="F102" s="27">
        <f>IFERROR('Price Data'!F102/'Price Data'!F101-1,0)</f>
        <v>1.0043103978522483E-2</v>
      </c>
      <c r="G102" s="27">
        <f>B102*Portfolio!$D$5+C102*Portfolio!$D$6+D102*Portfolio!$D$7+E102*Portfolio!$D$8+F102*Portfolio!$D$9</f>
        <v>1.3169655498299303E-2</v>
      </c>
      <c r="H102" s="27">
        <f>IFERROR('Price Data'!G102/'Price Data'!G101-1,0)</f>
        <v>9.7264208278746711E-3</v>
      </c>
    </row>
    <row r="103" spans="1:8" ht="15">
      <c r="A103" s="25">
        <f>'Price Data'!A103</f>
        <v>45075</v>
      </c>
      <c r="B103" s="27">
        <f>IFERROR('Price Data'!B103/'Price Data'!B102-1,0)</f>
        <v>5.6252692862548415E-3</v>
      </c>
      <c r="C103" s="27">
        <f>IFERROR('Price Data'!C103/'Price Data'!C102-1,0)</f>
        <v>1.2191928491566584E-2</v>
      </c>
      <c r="D103" s="27">
        <f>IFERROR('Price Data'!D103/'Price Data'!D102-1,0)</f>
        <v>-2.5684392429582426E-3</v>
      </c>
      <c r="E103" s="27">
        <f>IFERROR('Price Data'!E103/'Price Data'!E102-1,0)</f>
        <v>-2.6821788168334137E-3</v>
      </c>
      <c r="F103" s="27">
        <f>IFERROR('Price Data'!F103/'Price Data'!F102-1,0)</f>
        <v>-2.3149120569780912E-3</v>
      </c>
      <c r="G103" s="27">
        <f>B103*Portfolio!$D$5+C103*Portfolio!$D$6+D103*Portfolio!$D$7+E103*Portfolio!$D$8+F103*Portfolio!$D$9</f>
        <v>3.1910479647919814E-3</v>
      </c>
      <c r="H103" s="27">
        <f>IFERROR('Price Data'!G103/'Price Data'!G102-1,0)</f>
        <v>5.3677985089635172E-3</v>
      </c>
    </row>
    <row r="104" spans="1:8" ht="15">
      <c r="A104" s="25">
        <f>'Price Data'!A104</f>
        <v>45076</v>
      </c>
      <c r="B104" s="27">
        <f>IFERROR('Price Data'!B104/'Price Data'!B103-1,0)</f>
        <v>-2.5792135636792946E-4</v>
      </c>
      <c r="C104" s="27">
        <f>IFERROR('Price Data'!C104/'Price Data'!C103-1,0)</f>
        <v>7.6443636556389194E-4</v>
      </c>
      <c r="D104" s="27">
        <f>IFERROR('Price Data'!D104/'Price Data'!D103-1,0)</f>
        <v>-1.2499667755995203E-3</v>
      </c>
      <c r="E104" s="27">
        <f>IFERROR('Price Data'!E104/'Price Data'!E103-1,0)</f>
        <v>1.8983867670476773E-3</v>
      </c>
      <c r="F104" s="27">
        <f>IFERROR('Price Data'!F104/'Price Data'!F103-1,0)</f>
        <v>7.1894849411771045E-3</v>
      </c>
      <c r="G104" s="27">
        <f>B104*Portfolio!$D$5+C104*Portfolio!$D$6+D104*Portfolio!$D$7+E104*Portfolio!$D$8+F104*Portfolio!$D$9</f>
        <v>1.2398161534128036E-3</v>
      </c>
      <c r="H104" s="27">
        <f>IFERROR('Price Data'!G104/'Price Data'!G103-1,0)</f>
        <v>1.8925684396833287E-3</v>
      </c>
    </row>
    <row r="105" spans="1:8" ht="15">
      <c r="A105" s="25">
        <f>'Price Data'!A105</f>
        <v>45077</v>
      </c>
      <c r="B105" s="27">
        <f>IFERROR('Price Data'!B105/'Price Data'!B104-1,0)</f>
        <v>-1.9861443442283466E-2</v>
      </c>
      <c r="C105" s="27">
        <f>IFERROR('Price Data'!C105/'Price Data'!C104-1,0)</f>
        <v>-1.582405986447244E-2</v>
      </c>
      <c r="D105" s="27">
        <f>IFERROR('Price Data'!D105/'Price Data'!D104-1,0)</f>
        <v>-8.0510978463684824E-3</v>
      </c>
      <c r="E105" s="27">
        <f>IFERROR('Price Data'!E105/'Price Data'!E104-1,0)</f>
        <v>-8.4217997605340322E-4</v>
      </c>
      <c r="F105" s="27">
        <f>IFERROR('Price Data'!F105/'Price Data'!F104-1,0)</f>
        <v>-4.1920568472983977E-3</v>
      </c>
      <c r="G105" s="27">
        <f>B105*Portfolio!$D$5+C105*Portfolio!$D$6+D105*Portfolio!$D$7+E105*Portfolio!$D$8+F105*Portfolio!$D$9</f>
        <v>-1.1286730919465445E-2</v>
      </c>
      <c r="H105" s="27">
        <f>IFERROR('Price Data'!G105/'Price Data'!G104-1,0)</f>
        <v>-5.3370195013254795E-3</v>
      </c>
    </row>
    <row r="106" spans="1:8" ht="15">
      <c r="A106" s="25">
        <f>'Price Data'!A106</f>
        <v>45078</v>
      </c>
      <c r="B106" s="27">
        <f>IFERROR('Price Data'!B106/'Price Data'!B105-1,0)</f>
        <v>-2.6924142419729735E-3</v>
      </c>
      <c r="C106" s="27">
        <f>IFERROR('Price Data'!C106/'Price Data'!C105-1,0)</f>
        <v>-4.2523946429894321E-3</v>
      </c>
      <c r="D106" s="27">
        <f>IFERROR('Price Data'!D106/'Price Data'!D105-1,0)</f>
        <v>1.0487847132190753E-2</v>
      </c>
      <c r="E106" s="27">
        <f>IFERROR('Price Data'!E106/'Price Data'!E105-1,0)</f>
        <v>-1.3749232792981458E-2</v>
      </c>
      <c r="F106" s="27">
        <f>IFERROR('Price Data'!F106/'Price Data'!F105-1,0)</f>
        <v>9.1028715253194115E-4</v>
      </c>
      <c r="G106" s="27">
        <f>B106*Portfolio!$D$5+C106*Portfolio!$D$6+D106*Portfolio!$D$7+E106*Portfolio!$D$8+F106*Portfolio!$D$9</f>
        <v>-1.5644746408698784E-3</v>
      </c>
      <c r="H106" s="27">
        <f>IFERROR('Price Data'!G106/'Price Data'!G105-1,0)</f>
        <v>-2.5169624936233204E-3</v>
      </c>
    </row>
    <row r="107" spans="1:8" ht="15">
      <c r="A107" s="25">
        <f>'Price Data'!A107</f>
        <v>45079</v>
      </c>
      <c r="B107" s="27">
        <f>IFERROR('Price Data'!B107/'Price Data'!B106-1,0)</f>
        <v>-3.2681060831204478E-3</v>
      </c>
      <c r="C107" s="27">
        <f>IFERROR('Price Data'!C107/'Price Data'!C106-1,0)</f>
        <v>1.558579211589306E-3</v>
      </c>
      <c r="D107" s="27">
        <f>IFERROR('Price Data'!D107/'Price Data'!D106-1,0)</f>
        <v>-5.5355820977918135E-3</v>
      </c>
      <c r="E107" s="27">
        <f>IFERROR('Price Data'!E107/'Price Data'!E106-1,0)</f>
        <v>2.1900204369389442E-3</v>
      </c>
      <c r="F107" s="27">
        <f>IFERROR('Price Data'!F107/'Price Data'!F106-1,0)</f>
        <v>-2.3042039794022307E-3</v>
      </c>
      <c r="G107" s="27">
        <f>B107*Portfolio!$D$5+C107*Portfolio!$D$6+D107*Portfolio!$D$7+E107*Portfolio!$D$8+F107*Portfolio!$D$9</f>
        <v>-1.551625668810641E-3</v>
      </c>
      <c r="H107" s="27">
        <f>IFERROR('Price Data'!G107/'Price Data'!G106-1,0)</f>
        <v>2.507044360454902E-3</v>
      </c>
    </row>
    <row r="108" spans="1:8" ht="15">
      <c r="A108" s="25">
        <f>'Price Data'!A108</f>
        <v>45082</v>
      </c>
      <c r="B108" s="27">
        <f>IFERROR('Price Data'!B108/'Price Data'!B107-1,0)</f>
        <v>8.9810344580452117E-3</v>
      </c>
      <c r="C108" s="27">
        <f>IFERROR('Price Data'!C108/'Price Data'!C107-1,0)</f>
        <v>-1.3071374689305193E-3</v>
      </c>
      <c r="D108" s="27">
        <f>IFERROR('Price Data'!D108/'Price Data'!D107-1,0)</f>
        <v>-5.0520495325020454E-3</v>
      </c>
      <c r="E108" s="27">
        <f>IFERROR('Price Data'!E108/'Price Data'!E107-1,0)</f>
        <v>9.1669586802161085E-3</v>
      </c>
      <c r="F108" s="27">
        <f>IFERROR('Price Data'!F108/'Price Data'!F107-1,0)</f>
        <v>4.2338720298260579E-3</v>
      </c>
      <c r="G108" s="27">
        <f>B108*Portfolio!$D$5+C108*Portfolio!$D$6+D108*Portfolio!$D$7+E108*Portfolio!$D$8+F108*Portfolio!$D$9</f>
        <v>2.9181889472845888E-3</v>
      </c>
      <c r="H108" s="27">
        <f>IFERROR('Price Data'!G108/'Price Data'!G107-1,0)</f>
        <v>3.223787573137793E-3</v>
      </c>
    </row>
    <row r="109" spans="1:8" ht="15">
      <c r="A109" s="25">
        <f>'Price Data'!A109</f>
        <v>45083</v>
      </c>
      <c r="B109" s="27">
        <f>IFERROR('Price Data'!B109/'Price Data'!B108-1,0)</f>
        <v>8.4759924778810003E-4</v>
      </c>
      <c r="C109" s="27">
        <f>IFERROR('Price Data'!C109/'Price Data'!C108-1,0)</f>
        <v>-3.1166195607348346E-3</v>
      </c>
      <c r="D109" s="27">
        <f>IFERROR('Price Data'!D109/'Price Data'!D108-1,0)</f>
        <v>-1.7209227973593699E-2</v>
      </c>
      <c r="E109" s="27">
        <f>IFERROR('Price Data'!E109/'Price Data'!E108-1,0)</f>
        <v>-4.9115394387797551E-3</v>
      </c>
      <c r="F109" s="27">
        <f>IFERROR('Price Data'!F109/'Price Data'!F108-1,0)</f>
        <v>-1.9547740130369751E-2</v>
      </c>
      <c r="G109" s="27">
        <f>B109*Portfolio!$D$5+C109*Portfolio!$D$6+D109*Portfolio!$D$7+E109*Portfolio!$D$8+F109*Portfolio!$D$9</f>
        <v>-7.6779926083278497E-3</v>
      </c>
      <c r="H109" s="27">
        <f>IFERROR('Price Data'!G109/'Price Data'!G108-1,0)</f>
        <v>2.7699431442118616E-4</v>
      </c>
    </row>
    <row r="110" spans="1:8" ht="15">
      <c r="A110" s="25">
        <f>'Price Data'!A110</f>
        <v>45084</v>
      </c>
      <c r="B110" s="27">
        <f>IFERROR('Price Data'!B110/'Price Data'!B109-1,0)</f>
        <v>7.5827093596325668E-3</v>
      </c>
      <c r="C110" s="27">
        <f>IFERROR('Price Data'!C110/'Price Data'!C109-1,0)</f>
        <v>5.1894298107419967E-3</v>
      </c>
      <c r="D110" s="27">
        <f>IFERROR('Price Data'!D110/'Price Data'!D109-1,0)</f>
        <v>1.317921140329803E-2</v>
      </c>
      <c r="E110" s="27">
        <f>IFERROR('Price Data'!E110/'Price Data'!E109-1,0)</f>
        <v>-2.0167360477776342E-3</v>
      </c>
      <c r="F110" s="27">
        <f>IFERROR('Price Data'!F110/'Price Data'!F109-1,0)</f>
        <v>7.7794613199055895E-3</v>
      </c>
      <c r="G110" s="27">
        <f>B110*Portfolio!$D$5+C110*Portfolio!$D$6+D110*Portfolio!$D$7+E110*Portfolio!$D$8+F110*Portfolio!$D$9</f>
        <v>6.6932858640724405E-3</v>
      </c>
      <c r="H110" s="27">
        <f>IFERROR('Price Data'!G110/'Price Data'!G109-1,0)</f>
        <v>6.8498516385289143E-3</v>
      </c>
    </row>
    <row r="111" spans="1:8" ht="15">
      <c r="A111" s="25">
        <f>'Price Data'!A111</f>
        <v>45085</v>
      </c>
      <c r="B111" s="27">
        <f>IFERROR('Price Data'!B111/'Price Data'!B110-1,0)</f>
        <v>6.00378293168502E-4</v>
      </c>
      <c r="C111" s="27">
        <f>IFERROR('Price Data'!C111/'Price Data'!C110-1,0)</f>
        <v>6.2199701482668068E-4</v>
      </c>
      <c r="D111" s="27">
        <f>IFERROR('Price Data'!D111/'Price Data'!D110-1,0)</f>
        <v>-1.1740629207349751E-2</v>
      </c>
      <c r="E111" s="27">
        <f>IFERROR('Price Data'!E111/'Price Data'!E110-1,0)</f>
        <v>-2.4463680342308169E-3</v>
      </c>
      <c r="F111" s="27">
        <f>IFERROR('Price Data'!F111/'Price Data'!F110-1,0)</f>
        <v>-4.7711367928525705E-3</v>
      </c>
      <c r="G111" s="27">
        <f>B111*Portfolio!$D$5+C111*Portfolio!$D$6+D111*Portfolio!$D$7+E111*Portfolio!$D$8+F111*Portfolio!$D$9</f>
        <v>-3.125157738533663E-3</v>
      </c>
      <c r="H111" s="27">
        <f>IFERROR('Price Data'!G111/'Price Data'!G110-1,0)</f>
        <v>-4.9048192636628185E-3</v>
      </c>
    </row>
    <row r="112" spans="1:8" ht="15">
      <c r="A112" s="25">
        <f>'Price Data'!A112</f>
        <v>45086</v>
      </c>
      <c r="B112" s="27">
        <f>IFERROR('Price Data'!B112/'Price Data'!B111-1,0)</f>
        <v>-7.0808148982451913E-3</v>
      </c>
      <c r="C112" s="27">
        <f>IFERROR('Price Data'!C112/'Price Data'!C111-1,0)</f>
        <v>1.1812499044088209E-3</v>
      </c>
      <c r="D112" s="27">
        <f>IFERROR('Price Data'!D112/'Price Data'!D111-1,0)</f>
        <v>-8.3888202602666606E-3</v>
      </c>
      <c r="E112" s="27">
        <f>IFERROR('Price Data'!E112/'Price Data'!E111-1,0)</f>
        <v>1.5998339747125279E-4</v>
      </c>
      <c r="F112" s="27">
        <f>IFERROR('Price Data'!F112/'Price Data'!F111-1,0)</f>
        <v>-1.3135437964209462E-2</v>
      </c>
      <c r="G112" s="27">
        <f>B112*Portfolio!$D$5+C112*Portfolio!$D$6+D112*Portfolio!$D$7+E112*Portfolio!$D$8+F112*Portfolio!$D$9</f>
        <v>-5.0989734855231561E-3</v>
      </c>
      <c r="H112" s="27">
        <f>IFERROR('Price Data'!G112/'Price Data'!G111-1,0)</f>
        <v>-3.8181972541345699E-3</v>
      </c>
    </row>
    <row r="113" spans="1:8" ht="15">
      <c r="A113" s="25">
        <f>'Price Data'!A113</f>
        <v>45089</v>
      </c>
      <c r="B113" s="27">
        <f>IFERROR('Price Data'!B113/'Price Data'!B112-1,0)</f>
        <v>8.8636716642298552E-4</v>
      </c>
      <c r="C113" s="27">
        <f>IFERROR('Price Data'!C113/'Price Data'!C112-1,0)</f>
        <v>-6.0848158776064531E-3</v>
      </c>
      <c r="D113" s="27">
        <f>IFERROR('Price Data'!D113/'Price Data'!D112-1,0)</f>
        <v>1.1715932219077629E-2</v>
      </c>
      <c r="E113" s="27">
        <f>IFERROR('Price Data'!E113/'Price Data'!E112-1,0)</f>
        <v>-2.2386758507384474E-3</v>
      </c>
      <c r="F113" s="27">
        <f>IFERROR('Price Data'!F113/'Price Data'!F112-1,0)</f>
        <v>2.053801993705906E-2</v>
      </c>
      <c r="G113" s="27">
        <f>B113*Portfolio!$D$5+C113*Portfolio!$D$6+D113*Portfolio!$D$7+E113*Portfolio!$D$8+F113*Portfolio!$D$9</f>
        <v>3.7884758789677509E-3</v>
      </c>
      <c r="H113" s="27">
        <f>IFERROR('Price Data'!G113/'Price Data'!G112-1,0)</f>
        <v>2.0524046550352004E-3</v>
      </c>
    </row>
    <row r="114" spans="1:8" ht="15">
      <c r="A114" s="25">
        <f>'Price Data'!A114</f>
        <v>45090</v>
      </c>
      <c r="B114" s="27">
        <f>IFERROR('Price Data'!B114/'Price Data'!B113-1,0)</f>
        <v>1.477340169118202E-2</v>
      </c>
      <c r="C114" s="27">
        <f>IFERROR('Price Data'!C114/'Price Data'!C113-1,0)</f>
        <v>1.6867262053941179E-3</v>
      </c>
      <c r="D114" s="27">
        <f>IFERROR('Price Data'!D114/'Price Data'!D113-1,0)</f>
        <v>-9.8563503643345207E-4</v>
      </c>
      <c r="E114" s="27">
        <f>IFERROR('Price Data'!E114/'Price Data'!E113-1,0)</f>
        <v>8.1200844953899232E-3</v>
      </c>
      <c r="F114" s="27">
        <f>IFERROR('Price Data'!F114/'Price Data'!F113-1,0)</f>
        <v>9.9847683988623093E-3</v>
      </c>
      <c r="G114" s="27">
        <f>B114*Portfolio!$D$5+C114*Portfolio!$D$6+D114*Portfolio!$D$7+E114*Portfolio!$D$8+F114*Portfolio!$D$9</f>
        <v>6.6336329009951791E-3</v>
      </c>
      <c r="H114" s="27">
        <f>IFERROR('Price Data'!G114/'Price Data'!G113-1,0)</f>
        <v>6.1635024393194016E-3</v>
      </c>
    </row>
    <row r="115" spans="1:8" ht="15">
      <c r="A115" s="25">
        <f>'Price Data'!A115</f>
        <v>45091</v>
      </c>
      <c r="B115" s="27">
        <f>IFERROR('Price Data'!B115/'Price Data'!B114-1,0)</f>
        <v>1.2297581086389453E-2</v>
      </c>
      <c r="C115" s="27">
        <f>IFERROR('Price Data'!C115/'Price Data'!C114-1,0)</f>
        <v>-1.0913457246032321E-3</v>
      </c>
      <c r="D115" s="27">
        <f>IFERROR('Price Data'!D115/'Price Data'!D114-1,0)</f>
        <v>2.2658625934670606E-3</v>
      </c>
      <c r="E115" s="27">
        <f>IFERROR('Price Data'!E115/'Price Data'!E114-1,0)</f>
        <v>-3.9743756313951328E-3</v>
      </c>
      <c r="F115" s="27">
        <f>IFERROR('Price Data'!F115/'Price Data'!F114-1,0)</f>
        <v>-3.4101451483967704E-3</v>
      </c>
      <c r="G115" s="27">
        <f>B115*Portfolio!$D$5+C115*Portfolio!$D$6+D115*Portfolio!$D$7+E115*Portfolio!$D$8+F115*Portfolio!$D$9</f>
        <v>2.1470532421711819E-3</v>
      </c>
      <c r="H115" s="27">
        <f>IFERROR('Price Data'!G115/'Price Data'!G114-1,0)</f>
        <v>2.1238341844009856E-3</v>
      </c>
    </row>
    <row r="116" spans="1:8" ht="15">
      <c r="A116" s="25">
        <f>'Price Data'!A116</f>
        <v>45092</v>
      </c>
      <c r="B116" s="27">
        <f>IFERROR('Price Data'!B116/'Price Data'!B115-1,0)</f>
        <v>2.7455434923351341E-4</v>
      </c>
      <c r="C116" s="27">
        <f>IFERROR('Price Data'!C116/'Price Data'!C115-1,0)</f>
        <v>-1.2299032132414345E-2</v>
      </c>
      <c r="D116" s="27">
        <f>IFERROR('Price Data'!D116/'Price Data'!D115-1,0)</f>
        <v>-3.3311072983353007E-3</v>
      </c>
      <c r="E116" s="27">
        <f>IFERROR('Price Data'!E116/'Price Data'!E115-1,0)</f>
        <v>-1.4045550272453466E-2</v>
      </c>
      <c r="F116" s="27">
        <f>IFERROR('Price Data'!F116/'Price Data'!F115-1,0)</f>
        <v>-1.0458288651366998E-2</v>
      </c>
      <c r="G116" s="27">
        <f>B116*Portfolio!$D$5+C116*Portfolio!$D$6+D116*Portfolio!$D$7+E116*Portfolio!$D$8+F116*Portfolio!$D$9</f>
        <v>-7.347916744035338E-3</v>
      </c>
      <c r="H116" s="27">
        <f>IFERROR('Price Data'!G116/'Price Data'!G115-1,0)</f>
        <v>-3.6149041015322014E-3</v>
      </c>
    </row>
    <row r="117" spans="1:8" ht="15">
      <c r="A117" s="25">
        <f>'Price Data'!A117</f>
        <v>45093</v>
      </c>
      <c r="B117" s="27">
        <f>IFERROR('Price Data'!B117/'Price Data'!B116-1,0)</f>
        <v>9.7351635581148788E-3</v>
      </c>
      <c r="C117" s="27">
        <f>IFERROR('Price Data'!C117/'Price Data'!C116-1,0)</f>
        <v>1.3084263371677451E-2</v>
      </c>
      <c r="D117" s="27">
        <f>IFERROR('Price Data'!D117/'Price Data'!D116-1,0)</f>
        <v>-1.2872056679166799E-2</v>
      </c>
      <c r="E117" s="27">
        <f>IFERROR('Price Data'!E117/'Price Data'!E116-1,0)</f>
        <v>8.2021567854499988E-3</v>
      </c>
      <c r="F117" s="27">
        <f>IFERROR('Price Data'!F117/'Price Data'!F116-1,0)</f>
        <v>3.768918233399754E-3</v>
      </c>
      <c r="G117" s="27">
        <f>B117*Portfolio!$D$5+C117*Portfolio!$D$6+D117*Portfolio!$D$7+E117*Portfolio!$D$8+F117*Portfolio!$D$9</f>
        <v>4.9261066494421862E-3</v>
      </c>
      <c r="H117" s="27">
        <f>IFERROR('Price Data'!G117/'Price Data'!G116-1,0)</f>
        <v>7.3790483520230765E-3</v>
      </c>
    </row>
    <row r="118" spans="1:8" ht="15">
      <c r="A118" s="25">
        <f>'Price Data'!A118</f>
        <v>45096</v>
      </c>
      <c r="B118" s="27">
        <f>IFERROR('Price Data'!B118/'Price Data'!B117-1,0)</f>
        <v>-9.9325233804224977E-3</v>
      </c>
      <c r="C118" s="27">
        <f>IFERROR('Price Data'!C118/'Price Data'!C117-1,0)</f>
        <v>8.7359648289719871E-4</v>
      </c>
      <c r="D118" s="27">
        <f>IFERROR('Price Data'!D118/'Price Data'!D117-1,0)</f>
        <v>1.1181569762140242E-2</v>
      </c>
      <c r="E118" s="27">
        <f>IFERROR('Price Data'!E118/'Price Data'!E117-1,0)</f>
        <v>-1.1828347756503765E-2</v>
      </c>
      <c r="F118" s="27">
        <f>IFERROR('Price Data'!F118/'Price Data'!F117-1,0)</f>
        <v>1.8193660578220694E-3</v>
      </c>
      <c r="G118" s="27">
        <f>B118*Portfolio!$D$5+C118*Portfolio!$D$6+D118*Portfolio!$D$7+E118*Portfolio!$D$8+F118*Portfolio!$D$9</f>
        <v>-1.5297650267555305E-3</v>
      </c>
      <c r="H118" s="27">
        <f>IFERROR('Price Data'!G118/'Price Data'!G117-1,0)</f>
        <v>-3.7475183921172883E-3</v>
      </c>
    </row>
    <row r="119" spans="1:8" ht="15">
      <c r="A119" s="25">
        <f>'Price Data'!A119</f>
        <v>45097</v>
      </c>
      <c r="B119" s="27">
        <f>IFERROR('Price Data'!B119/'Price Data'!B118-1,0)</f>
        <v>2.0769895789425341E-3</v>
      </c>
      <c r="C119" s="27">
        <f>IFERROR('Price Data'!C119/'Price Data'!C118-1,0)</f>
        <v>2.0881895302995446E-3</v>
      </c>
      <c r="D119" s="27">
        <f>IFERROR('Price Data'!D119/'Price Data'!D118-1,0)</f>
        <v>5.3888259728500643E-3</v>
      </c>
      <c r="E119" s="27">
        <f>IFERROR('Price Data'!E119/'Price Data'!E118-1,0)</f>
        <v>2.5997524845384756E-3</v>
      </c>
      <c r="F119" s="27">
        <f>IFERROR('Price Data'!F119/'Price Data'!F118-1,0)</f>
        <v>7.2643515972303785E-3</v>
      </c>
      <c r="G119" s="27">
        <f>B119*Portfolio!$D$5+C119*Portfolio!$D$6+D119*Portfolio!$D$7+E119*Portfolio!$D$8+F119*Portfolio!$D$9</f>
        <v>3.5986755841458606E-3</v>
      </c>
      <c r="H119" s="27">
        <f>IFERROR('Price Data'!G119/'Price Data'!G118-1,0)</f>
        <v>3.265717567498605E-3</v>
      </c>
    </row>
    <row r="120" spans="1:8" ht="15">
      <c r="A120" s="25">
        <f>'Price Data'!A120</f>
        <v>45098</v>
      </c>
      <c r="B120" s="27">
        <f>IFERROR('Price Data'!B120/'Price Data'!B119-1,0)</f>
        <v>2.8156531446468236E-3</v>
      </c>
      <c r="C120" s="27">
        <f>IFERROR('Price Data'!C120/'Price Data'!C119-1,0)</f>
        <v>1.7480575046046942E-2</v>
      </c>
      <c r="D120" s="27">
        <f>IFERROR('Price Data'!D120/'Price Data'!D119-1,0)</f>
        <v>9.4492397936154493E-3</v>
      </c>
      <c r="E120" s="27">
        <f>IFERROR('Price Data'!E120/'Price Data'!E119-1,0)</f>
        <v>-9.1837646988379706E-4</v>
      </c>
      <c r="F120" s="27">
        <f>IFERROR('Price Data'!F120/'Price Data'!F119-1,0)</f>
        <v>-3.1072675409442585E-3</v>
      </c>
      <c r="G120" s="27">
        <f>B120*Portfolio!$D$5+C120*Portfolio!$D$6+D120*Portfolio!$D$7+E120*Portfolio!$D$8+F120*Portfolio!$D$9</f>
        <v>6.3600584047723225E-3</v>
      </c>
      <c r="H120" s="27">
        <f>IFERROR('Price Data'!G120/'Price Data'!G119-1,0)</f>
        <v>2.1337637466720683E-3</v>
      </c>
    </row>
    <row r="121" spans="1:8" ht="15">
      <c r="A121" s="25">
        <f>'Price Data'!A121</f>
        <v>45099</v>
      </c>
      <c r="B121" s="27">
        <f>IFERROR('Price Data'!B121/'Price Data'!B120-1,0)</f>
        <v>-1.1231199531836045E-2</v>
      </c>
      <c r="C121" s="27">
        <f>IFERROR('Price Data'!C121/'Price Data'!C120-1,0)</f>
        <v>4.891173665776849E-3</v>
      </c>
      <c r="D121" s="27">
        <f>IFERROR('Price Data'!D121/'Price Data'!D120-1,0)</f>
        <v>-6.0461984977786543E-3</v>
      </c>
      <c r="E121" s="27">
        <f>IFERROR('Price Data'!E121/'Price Data'!E120-1,0)</f>
        <v>1.1355317475074678E-3</v>
      </c>
      <c r="F121" s="27">
        <f>IFERROR('Price Data'!F121/'Price Data'!F120-1,0)</f>
        <v>-1.3699246898201456E-2</v>
      </c>
      <c r="G121" s="27">
        <f>B121*Portfolio!$D$5+C121*Portfolio!$D$6+D121*Portfolio!$D$7+E121*Portfolio!$D$8+F121*Portfolio!$D$9</f>
        <v>-4.6788034386746283E-3</v>
      </c>
      <c r="H121" s="27">
        <f>IFERROR('Price Data'!G121/'Price Data'!G120-1,0)</f>
        <v>-4.5394438174043428E-3</v>
      </c>
    </row>
    <row r="122" spans="1:8" ht="15">
      <c r="A122" s="25">
        <f>'Price Data'!A122</f>
        <v>45100</v>
      </c>
      <c r="B122" s="27">
        <f>IFERROR('Price Data'!B122/'Price Data'!B121-1,0)</f>
        <v>-8.1836856474688524E-3</v>
      </c>
      <c r="C122" s="27">
        <f>IFERROR('Price Data'!C122/'Price Data'!C121-1,0)</f>
        <v>-6.0810086531803975E-5</v>
      </c>
      <c r="D122" s="27">
        <f>IFERROR('Price Data'!D122/'Price Data'!D121-1,0)</f>
        <v>-6.8394734760826026E-3</v>
      </c>
      <c r="E122" s="27">
        <f>IFERROR('Price Data'!E122/'Price Data'!E121-1,0)</f>
        <v>-2.4305030771125669E-3</v>
      </c>
      <c r="F122" s="27">
        <f>IFERROR('Price Data'!F122/'Price Data'!F121-1,0)</f>
        <v>-1.2914038887020585E-2</v>
      </c>
      <c r="G122" s="27">
        <f>B122*Portfolio!$D$5+C122*Portfolio!$D$6+D122*Portfolio!$D$7+E122*Portfolio!$D$8+F122*Portfolio!$D$9</f>
        <v>-5.7306999233366577E-3</v>
      </c>
      <c r="H122" s="27">
        <f>IFERROR('Price Data'!G122/'Price Data'!G121-1,0)</f>
        <v>-5.6336152360657588E-3</v>
      </c>
    </row>
    <row r="123" spans="1:8" ht="15">
      <c r="A123" s="25">
        <f>'Price Data'!A123</f>
        <v>45103</v>
      </c>
      <c r="B123" s="27">
        <f>IFERROR('Price Data'!B123/'Price Data'!B122-1,0)</f>
        <v>-7.6348191509624241E-3</v>
      </c>
      <c r="C123" s="27">
        <f>IFERROR('Price Data'!C123/'Price Data'!C122-1,0)</f>
        <v>-4.8372556414481016E-3</v>
      </c>
      <c r="D123" s="27">
        <f>IFERROR('Price Data'!D123/'Price Data'!D122-1,0)</f>
        <v>-8.3014551212235999E-3</v>
      </c>
      <c r="E123" s="27">
        <f>IFERROR('Price Data'!E123/'Price Data'!E122-1,0)</f>
        <v>4.2772550390357544E-3</v>
      </c>
      <c r="F123" s="27">
        <f>IFERROR('Price Data'!F123/'Price Data'!F122-1,0)</f>
        <v>4.2292951959586045E-3</v>
      </c>
      <c r="G123" s="27">
        <f>B123*Portfolio!$D$5+C123*Portfolio!$D$6+D123*Portfolio!$D$7+E123*Portfolio!$D$8+F123*Portfolio!$D$9</f>
        <v>-3.502327187098198E-3</v>
      </c>
      <c r="H123" s="27">
        <f>IFERROR('Price Data'!G123/'Price Data'!G122-1,0)</f>
        <v>1.3768299134766515E-3</v>
      </c>
    </row>
    <row r="124" spans="1:8" ht="15">
      <c r="A124" s="25">
        <f>'Price Data'!A124</f>
        <v>45104</v>
      </c>
      <c r="B124" s="27">
        <f>IFERROR('Price Data'!B124/'Price Data'!B123-1,0)</f>
        <v>3.6051611180853982E-4</v>
      </c>
      <c r="C124" s="27">
        <f>IFERROR('Price Data'!C124/'Price Data'!C123-1,0)</f>
        <v>1.4093118389381099E-2</v>
      </c>
      <c r="D124" s="27">
        <f>IFERROR('Price Data'!D124/'Price Data'!D123-1,0)</f>
        <v>2.4141034349247636E-3</v>
      </c>
      <c r="E124" s="27">
        <f>IFERROR('Price Data'!E124/'Price Data'!E123-1,0)</f>
        <v>9.3265339607941922E-3</v>
      </c>
      <c r="F124" s="27">
        <f>IFERROR('Price Data'!F124/'Price Data'!F123-1,0)</f>
        <v>6.9272477907746932E-3</v>
      </c>
      <c r="G124" s="27">
        <f>B124*Portfolio!$D$5+C124*Portfolio!$D$6+D124*Portfolio!$D$7+E124*Portfolio!$D$8+F124*Portfolio!$D$9</f>
        <v>6.5342965750176943E-3</v>
      </c>
      <c r="H124" s="27">
        <f>IFERROR('Price Data'!G124/'Price Data'!G123-1,0)</f>
        <v>6.7519034171119596E-3</v>
      </c>
    </row>
    <row r="125" spans="1:8" ht="15">
      <c r="A125" s="25">
        <f>'Price Data'!A125</f>
        <v>45105</v>
      </c>
      <c r="B125" s="27">
        <f>IFERROR('Price Data'!B125/'Price Data'!B124-1,0)</f>
        <v>1.323883876231613E-2</v>
      </c>
      <c r="C125" s="27">
        <f>IFERROR('Price Data'!C125/'Price Data'!C124-1,0)</f>
        <v>1.0581264325232542E-2</v>
      </c>
      <c r="D125" s="27">
        <f>IFERROR('Price Data'!D125/'Price Data'!D124-1,0)</f>
        <v>5.6609965930107808E-3</v>
      </c>
      <c r="E125" s="27">
        <f>IFERROR('Price Data'!E125/'Price Data'!E124-1,0)</f>
        <v>1.4422183583406856E-3</v>
      </c>
      <c r="F125" s="27">
        <f>IFERROR('Price Data'!F125/'Price Data'!F124-1,0)</f>
        <v>1.110101780396433E-2</v>
      </c>
      <c r="G125" s="27">
        <f>B125*Portfolio!$D$5+C125*Portfolio!$D$6+D125*Portfolio!$D$7+E125*Portfolio!$D$8+F125*Portfolio!$D$9</f>
        <v>8.9687105148350769E-3</v>
      </c>
      <c r="H125" s="27">
        <f>IFERROR('Price Data'!G125/'Price Data'!G124-1,0)</f>
        <v>8.22107281232487E-3</v>
      </c>
    </row>
    <row r="126" spans="1:8" ht="15">
      <c r="A126" s="25">
        <f>'Price Data'!A126</f>
        <v>45107</v>
      </c>
      <c r="B126" s="27">
        <f>IFERROR('Price Data'!B126/'Price Data'!B125-1,0)</f>
        <v>8.2032023713245472E-3</v>
      </c>
      <c r="C126" s="27">
        <f>IFERROR('Price Data'!C126/'Price Data'!C125-1,0)</f>
        <v>1.5064354261223656E-2</v>
      </c>
      <c r="D126" s="27">
        <f>IFERROR('Price Data'!D126/'Price Data'!D125-1,0)</f>
        <v>2.6994590566358445E-2</v>
      </c>
      <c r="E126" s="27">
        <f>IFERROR('Price Data'!E126/'Price Data'!E125-1,0)</f>
        <v>-3.0402094673431801E-3</v>
      </c>
      <c r="F126" s="27">
        <f>IFERROR('Price Data'!F126/'Price Data'!F125-1,0)</f>
        <v>3.2589871729712394E-2</v>
      </c>
      <c r="G126" s="27">
        <f>B126*Portfolio!$D$5+C126*Portfolio!$D$6+D126*Portfolio!$D$7+E126*Portfolio!$D$8+F126*Portfolio!$D$9</f>
        <v>1.5648256610764123E-2</v>
      </c>
      <c r="H126" s="27">
        <f>IFERROR('Price Data'!G126/'Price Data'!G125-1,0)</f>
        <v>1.143527476356887E-2</v>
      </c>
    </row>
    <row r="127" spans="1:8" ht="15">
      <c r="A127" s="25">
        <f>'Price Data'!A127</f>
        <v>45110</v>
      </c>
      <c r="B127" s="27">
        <f>IFERROR('Price Data'!B127/'Price Data'!B126-1,0)</f>
        <v>2.5664181521793505E-2</v>
      </c>
      <c r="C127" s="27">
        <f>IFERROR('Price Data'!C127/'Price Data'!C126-1,0)</f>
        <v>1.0814634208477614E-2</v>
      </c>
      <c r="D127" s="27">
        <f>IFERROR('Price Data'!D127/'Price Data'!D126-1,0)</f>
        <v>-9.0696345577825355E-3</v>
      </c>
      <c r="E127" s="27">
        <f>IFERROR('Price Data'!E127/'Price Data'!E126-1,0)</f>
        <v>8.5063153565874128E-3</v>
      </c>
      <c r="F127" s="27">
        <f>IFERROR('Price Data'!F127/'Price Data'!F126-1,0)</f>
        <v>-1.3479033351565528E-3</v>
      </c>
      <c r="G127" s="27">
        <f>B127*Portfolio!$D$5+C127*Portfolio!$D$6+D127*Portfolio!$D$7+E127*Portfolio!$D$8+F127*Portfolio!$D$9</f>
        <v>8.3795388242259017E-3</v>
      </c>
      <c r="H127" s="27">
        <f>IFERROR('Price Data'!G127/'Price Data'!G126-1,0)</f>
        <v>6.9570924336936901E-3</v>
      </c>
    </row>
    <row r="128" spans="1:8" ht="15">
      <c r="A128" s="25">
        <f>'Price Data'!A128</f>
        <v>45111</v>
      </c>
      <c r="B128" s="27">
        <f>IFERROR('Price Data'!B128/'Price Data'!B127-1,0)</f>
        <v>-1.0303175395952602E-2</v>
      </c>
      <c r="C128" s="27">
        <f>IFERROR('Price Data'!C128/'Price Data'!C127-1,0)</f>
        <v>4.8841680724893699E-3</v>
      </c>
      <c r="D128" s="27">
        <f>IFERROR('Price Data'!D128/'Price Data'!D127-1,0)</f>
        <v>1.1169590428490528E-2</v>
      </c>
      <c r="E128" s="27">
        <f>IFERROR('Price Data'!E128/'Price Data'!E127-1,0)</f>
        <v>2.2810747242918428E-3</v>
      </c>
      <c r="F128" s="27">
        <f>IFERROR('Price Data'!F128/'Price Data'!F127-1,0)</f>
        <v>8.5851655261361959E-3</v>
      </c>
      <c r="G128" s="27">
        <f>B128*Portfolio!$D$5+C128*Portfolio!$D$6+D128*Portfolio!$D$7+E128*Portfolio!$D$8+F128*Portfolio!$D$9</f>
        <v>2.5091022923965037E-3</v>
      </c>
      <c r="H128" s="27">
        <f>IFERROR('Price Data'!G128/'Price Data'!G127-1,0)</f>
        <v>3.4389465191355661E-3</v>
      </c>
    </row>
    <row r="129" spans="1:8" ht="15">
      <c r="A129" s="25">
        <f>'Price Data'!A129</f>
        <v>45112</v>
      </c>
      <c r="B129" s="27">
        <f>IFERROR('Price Data'!B129/'Price Data'!B128-1,0)</f>
        <v>-1.6417977358321734E-3</v>
      </c>
      <c r="C129" s="27">
        <f>IFERROR('Price Data'!C129/'Price Data'!C128-1,0)</f>
        <v>-3.1767062345075647E-2</v>
      </c>
      <c r="D129" s="27">
        <f>IFERROR('Price Data'!D129/'Price Data'!D128-1,0)</f>
        <v>3.354576021868283E-3</v>
      </c>
      <c r="E129" s="27">
        <f>IFERROR('Price Data'!E129/'Price Data'!E128-1,0)</f>
        <v>1.4078564218573231E-2</v>
      </c>
      <c r="F129" s="27">
        <f>IFERROR('Price Data'!F129/'Price Data'!F128-1,0)</f>
        <v>1.59847902601018E-3</v>
      </c>
      <c r="G129" s="27">
        <f>B129*Portfolio!$D$5+C129*Portfolio!$D$6+D129*Portfolio!$D$7+E129*Portfolio!$D$8+F129*Portfolio!$D$9</f>
        <v>-5.3297433291657871E-3</v>
      </c>
      <c r="H129" s="27">
        <f>IFERROR('Price Data'!G129/'Price Data'!G128-1,0)</f>
        <v>4.8996853886218439E-4</v>
      </c>
    </row>
    <row r="130" spans="1:8" ht="15">
      <c r="A130" s="25">
        <f>'Price Data'!A130</f>
        <v>45113</v>
      </c>
      <c r="B130" s="27">
        <f>IFERROR('Price Data'!B130/'Price Data'!B129-1,0)</f>
        <v>2.0990654708813006E-2</v>
      </c>
      <c r="C130" s="27">
        <f>IFERROR('Price Data'!C130/'Price Data'!C129-1,0)</f>
        <v>1.0158035041525348E-3</v>
      </c>
      <c r="D130" s="27">
        <f>IFERROR('Price Data'!D130/'Price Data'!D129-1,0)</f>
        <v>8.8861308220899993E-4</v>
      </c>
      <c r="E130" s="27">
        <f>IFERROR('Price Data'!E130/'Price Data'!E129-1,0)</f>
        <v>1.4614143584352757E-3</v>
      </c>
      <c r="F130" s="27">
        <f>IFERROR('Price Data'!F130/'Price Data'!F129-1,0)</f>
        <v>-2.5236077831489734E-3</v>
      </c>
      <c r="G130" s="27">
        <f>B130*Portfolio!$D$5+C130*Portfolio!$D$6+D130*Portfolio!$D$7+E130*Portfolio!$D$8+F130*Portfolio!$D$9</f>
        <v>5.5200081559761303E-3</v>
      </c>
      <c r="H130" s="27">
        <f>IFERROR('Price Data'!G130/'Price Data'!G129-1,0)</f>
        <v>5.0932175812563596E-3</v>
      </c>
    </row>
    <row r="131" spans="1:8" ht="15">
      <c r="A131" s="25">
        <f>'Price Data'!A131</f>
        <v>45114</v>
      </c>
      <c r="B131" s="27">
        <f>IFERROR('Price Data'!B131/'Price Data'!B130-1,0)</f>
        <v>-1.951639850877207E-3</v>
      </c>
      <c r="C131" s="27">
        <f>IFERROR('Price Data'!C131/'Price Data'!C130-1,0)</f>
        <v>-8.7164050149391992E-3</v>
      </c>
      <c r="D131" s="27">
        <f>IFERROR('Price Data'!D131/'Price Data'!D130-1,0)</f>
        <v>1.9109197146069956E-3</v>
      </c>
      <c r="E131" s="27">
        <f>IFERROR('Price Data'!E131/'Price Data'!E130-1,0)</f>
        <v>-1.3550184617003413E-2</v>
      </c>
      <c r="F131" s="27">
        <f>IFERROR('Price Data'!F131/'Price Data'!F130-1,0)</f>
        <v>-1.0194252304349893E-2</v>
      </c>
      <c r="G131" s="27">
        <f>B131*Portfolio!$D$5+C131*Portfolio!$D$6+D131*Portfolio!$D$7+E131*Portfolio!$D$8+F131*Portfolio!$D$9</f>
        <v>-5.8464928117356978E-3</v>
      </c>
      <c r="H131" s="27">
        <f>IFERROR('Price Data'!G131/'Price Data'!G130-1,0)</f>
        <v>-8.48835445771845E-3</v>
      </c>
    </row>
    <row r="132" spans="1:8" ht="15">
      <c r="A132" s="25">
        <f>'Price Data'!A132</f>
        <v>45117</v>
      </c>
      <c r="B132" s="27">
        <f>IFERROR('Price Data'!B132/'Price Data'!B131-1,0)</f>
        <v>3.852116100442915E-2</v>
      </c>
      <c r="C132" s="27">
        <f>IFERROR('Price Data'!C132/'Price Data'!C131-1,0)</f>
        <v>-2.378923402029387E-3</v>
      </c>
      <c r="D132" s="27">
        <f>IFERROR('Price Data'!D132/'Price Data'!D131-1,0)</f>
        <v>-1.7211041610444511E-2</v>
      </c>
      <c r="E132" s="27">
        <f>IFERROR('Price Data'!E132/'Price Data'!E131-1,0)</f>
        <v>2.1133146954710469E-3</v>
      </c>
      <c r="F132" s="27">
        <f>IFERROR('Price Data'!F132/'Price Data'!F131-1,0)</f>
        <v>-7.8940976439156874E-4</v>
      </c>
      <c r="G132" s="27">
        <f>B132*Portfolio!$D$5+C132*Portfolio!$D$6+D132*Portfolio!$D$7+E132*Portfolio!$D$8+F132*Portfolio!$D$9</f>
        <v>5.7919368181729592E-3</v>
      </c>
      <c r="H132" s="27">
        <f>IFERROR('Price Data'!G132/'Price Data'!G131-1,0)</f>
        <v>1.2466303397029588E-3</v>
      </c>
    </row>
    <row r="133" spans="1:8" ht="15">
      <c r="A133" s="25">
        <f>'Price Data'!A133</f>
        <v>45118</v>
      </c>
      <c r="B133" s="27">
        <f>IFERROR('Price Data'!B133/'Price Data'!B132-1,0)</f>
        <v>1.0840808468737029E-2</v>
      </c>
      <c r="C133" s="27">
        <f>IFERROR('Price Data'!C133/'Price Data'!C132-1,0)</f>
        <v>-4.8596998705880967E-3</v>
      </c>
      <c r="D133" s="27">
        <f>IFERROR('Price Data'!D133/'Price Data'!D132-1,0)</f>
        <v>1.3762271052253361E-4</v>
      </c>
      <c r="E133" s="27">
        <f>IFERROR('Price Data'!E133/'Price Data'!E132-1,0)</f>
        <v>-3.6376926928864961E-3</v>
      </c>
      <c r="F133" s="27">
        <f>IFERROR('Price Data'!F133/'Price Data'!F132-1,0)</f>
        <v>1.4633385524398967E-2</v>
      </c>
      <c r="G133" s="27">
        <f>B133*Portfolio!$D$5+C133*Portfolio!$D$6+D133*Portfolio!$D$7+E133*Portfolio!$D$8+F133*Portfolio!$D$9</f>
        <v>3.1721556163686101E-3</v>
      </c>
      <c r="H133" s="27">
        <f>IFERROR('Price Data'!G133/'Price Data'!G132-1,0)</f>
        <v>4.3139300324381846E-3</v>
      </c>
    </row>
    <row r="134" spans="1:8" ht="15">
      <c r="A134" s="25">
        <f>'Price Data'!A134</f>
        <v>45119</v>
      </c>
      <c r="B134" s="27">
        <f>IFERROR('Price Data'!B134/'Price Data'!B133-1,0)</f>
        <v>1.1031599854052221E-3</v>
      </c>
      <c r="C134" s="27">
        <f>IFERROR('Price Data'!C134/'Price Data'!C133-1,0)</f>
        <v>-9.372749221960186E-3</v>
      </c>
      <c r="D134" s="27">
        <f>IFERROR('Price Data'!D134/'Price Data'!D133-1,0)</f>
        <v>-3.8199329756996026E-3</v>
      </c>
      <c r="E134" s="27">
        <f>IFERROR('Price Data'!E134/'Price Data'!E133-1,0)</f>
        <v>-5.820086068171193E-4</v>
      </c>
      <c r="F134" s="27">
        <f>IFERROR('Price Data'!F134/'Price Data'!F133-1,0)</f>
        <v>-1.1344891938178114E-2</v>
      </c>
      <c r="G134" s="27">
        <f>B134*Portfolio!$D$5+C134*Portfolio!$D$6+D134*Portfolio!$D$7+E134*Portfolio!$D$8+F134*Portfolio!$D$9</f>
        <v>-4.6204189860279462E-3</v>
      </c>
      <c r="H134" s="27">
        <f>IFERROR('Price Data'!G134/'Price Data'!G133-1,0)</f>
        <v>-2.834429471475497E-3</v>
      </c>
    </row>
    <row r="135" spans="1:8" ht="15">
      <c r="A135" s="25">
        <f>'Price Data'!A135</f>
        <v>45120</v>
      </c>
      <c r="B135" s="27">
        <f>IFERROR('Price Data'!B135/'Price Data'!B134-1,0)</f>
        <v>-8.9422207658614861E-3</v>
      </c>
      <c r="C135" s="27">
        <f>IFERROR('Price Data'!C135/'Price Data'!C134-1,0)</f>
        <v>4.9909989484786532E-3</v>
      </c>
      <c r="D135" s="27">
        <f>IFERROR('Price Data'!D135/'Price Data'!D134-1,0)</f>
        <v>2.4740108507724345E-2</v>
      </c>
      <c r="E135" s="27">
        <f>IFERROR('Price Data'!E135/'Price Data'!E134-1,0)</f>
        <v>1.1965178888911687E-2</v>
      </c>
      <c r="F135" s="27">
        <f>IFERROR('Price Data'!F135/'Price Data'!F134-1,0)</f>
        <v>2.3850336339285239E-2</v>
      </c>
      <c r="G135" s="27">
        <f>B135*Portfolio!$D$5+C135*Portfolio!$D$6+D135*Portfolio!$D$7+E135*Portfolio!$D$8+F135*Portfolio!$D$9</f>
        <v>9.3325435314287001E-3</v>
      </c>
      <c r="H135" s="27">
        <f>IFERROR('Price Data'!G135/'Price Data'!G134-1,0)</f>
        <v>1.5192303855748879E-3</v>
      </c>
    </row>
    <row r="136" spans="1:8" ht="15">
      <c r="A136" s="25">
        <f>'Price Data'!A136</f>
        <v>45121</v>
      </c>
      <c r="B136" s="27">
        <f>IFERROR('Price Data'!B136/'Price Data'!B135-1,0)</f>
        <v>-8.384449485626666E-4</v>
      </c>
      <c r="C136" s="27">
        <f>IFERROR('Price Data'!C136/'Price Data'!C135-1,0)</f>
        <v>2.0716245465601801E-3</v>
      </c>
      <c r="D136" s="27">
        <f>IFERROR('Price Data'!D136/'Price Data'!D135-1,0)</f>
        <v>5.2117253166219735E-2</v>
      </c>
      <c r="E136" s="27">
        <f>IFERROR('Price Data'!E136/'Price Data'!E135-1,0)</f>
        <v>4.5516671055876312E-3</v>
      </c>
      <c r="F136" s="27">
        <f>IFERROR('Price Data'!F136/'Price Data'!F135-1,0)</f>
        <v>4.4575606570499637E-2</v>
      </c>
      <c r="G136" s="27">
        <f>B136*Portfolio!$D$5+C136*Portfolio!$D$6+D136*Portfolio!$D$7+E136*Portfolio!$D$8+F136*Portfolio!$D$9</f>
        <v>1.8100836584156416E-2</v>
      </c>
      <c r="H136" s="27">
        <f>IFERROR('Price Data'!G136/'Price Data'!G135-1,0)</f>
        <v>7.7651149314275081E-3</v>
      </c>
    </row>
    <row r="137" spans="1:8" ht="15">
      <c r="A137" s="25">
        <f>'Price Data'!A137</f>
        <v>45124</v>
      </c>
      <c r="B137" s="27">
        <f>IFERROR('Price Data'!B137/'Price Data'!B136-1,0)</f>
        <v>2.0432742260151127E-2</v>
      </c>
      <c r="C137" s="27">
        <f>IFERROR('Price Data'!C137/'Price Data'!C136-1,0)</f>
        <v>2.0918385659401739E-2</v>
      </c>
      <c r="D137" s="27">
        <f>IFERROR('Price Data'!D137/'Price Data'!D136-1,0)</f>
        <v>-6.5299817441371033E-3</v>
      </c>
      <c r="E137" s="27">
        <f>IFERROR('Price Data'!E137/'Price Data'!E136-1,0)</f>
        <v>9.0099674613641767E-3</v>
      </c>
      <c r="F137" s="27">
        <f>IFERROR('Price Data'!F137/'Price Data'!F136-1,0)</f>
        <v>-2.1038184238525437E-3</v>
      </c>
      <c r="G137" s="27">
        <f>B137*Portfolio!$D$5+C137*Portfolio!$D$6+D137*Portfolio!$D$7+E137*Portfolio!$D$8+F137*Portfolio!$D$9</f>
        <v>1.0067707986687541E-2</v>
      </c>
      <c r="H137" s="27">
        <f>IFERROR('Price Data'!G137/'Price Data'!G136-1,0)</f>
        <v>7.5110132510414207E-3</v>
      </c>
    </row>
    <row r="138" spans="1:8" ht="15">
      <c r="A138" s="25">
        <f>'Price Data'!A138</f>
        <v>45125</v>
      </c>
      <c r="B138" s="27">
        <f>IFERROR('Price Data'!B138/'Price Data'!B137-1,0)</f>
        <v>8.4920334475038217E-3</v>
      </c>
      <c r="C138" s="27">
        <f>IFERROR('Price Data'!C138/'Price Data'!C137-1,0)</f>
        <v>-8.3397262628936986E-4</v>
      </c>
      <c r="D138" s="27">
        <f>IFERROR('Price Data'!D138/'Price Data'!D137-1,0)</f>
        <v>1.474948591352554E-3</v>
      </c>
      <c r="E138" s="27">
        <f>IFERROR('Price Data'!E138/'Price Data'!E137-1,0)</f>
        <v>6.9680908315692403E-3</v>
      </c>
      <c r="F138" s="27">
        <f>IFERROR('Price Data'!F138/'Price Data'!F137-1,0)</f>
        <v>3.6719429589009422E-2</v>
      </c>
      <c r="G138" s="27">
        <f>B138*Portfolio!$D$5+C138*Portfolio!$D$6+D138*Portfolio!$D$7+E138*Portfolio!$D$8+F138*Portfolio!$D$9</f>
        <v>8.7626329866609225E-3</v>
      </c>
      <c r="H138" s="27">
        <f>IFERROR('Price Data'!G138/'Price Data'!G137-1,0)</f>
        <v>1.917706853032497E-3</v>
      </c>
    </row>
    <row r="139" spans="1:8" ht="15">
      <c r="A139" s="25">
        <f>'Price Data'!A139</f>
        <v>45126</v>
      </c>
      <c r="B139" s="27">
        <f>IFERROR('Price Data'!B139/'Price Data'!B138-1,0)</f>
        <v>7.5874839470804201E-3</v>
      </c>
      <c r="C139" s="27">
        <f>IFERROR('Price Data'!C139/'Price Data'!C138-1,0)</f>
        <v>4.5306027717111341E-3</v>
      </c>
      <c r="D139" s="27">
        <f>IFERROR('Price Data'!D139/'Price Data'!D138-1,0)</f>
        <v>-7.6638901870845766E-3</v>
      </c>
      <c r="E139" s="27">
        <f>IFERROR('Price Data'!E139/'Price Data'!E138-1,0)</f>
        <v>-2.0503136032113956E-3</v>
      </c>
      <c r="F139" s="27">
        <f>IFERROR('Price Data'!F139/'Price Data'!F138-1,0)</f>
        <v>-1.695409496876854E-4</v>
      </c>
      <c r="G139" s="27">
        <f>B139*Portfolio!$D$5+C139*Portfolio!$D$6+D139*Portfolio!$D$7+E139*Portfolio!$D$8+F139*Portfolio!$D$9</f>
        <v>1.163765459346111E-3</v>
      </c>
      <c r="H139" s="27">
        <f>IFERROR('Price Data'!G139/'Price Data'!G138-1,0)</f>
        <v>4.248282371482448E-3</v>
      </c>
    </row>
    <row r="140" spans="1:8" ht="15">
      <c r="A140" s="25">
        <f>'Price Data'!A140</f>
        <v>45127</v>
      </c>
      <c r="B140" s="27">
        <f>IFERROR('Price Data'!B140/'Price Data'!B139-1,0)</f>
        <v>-1.2110379429881579E-3</v>
      </c>
      <c r="C140" s="27">
        <f>IFERROR('Price Data'!C140/'Price Data'!C139-1,0)</f>
        <v>2.1660401282177499E-3</v>
      </c>
      <c r="D140" s="27">
        <f>IFERROR('Price Data'!D140/'Price Data'!D139-1,0)</f>
        <v>6.500615426485723E-4</v>
      </c>
      <c r="E140" s="27">
        <f>IFERROR('Price Data'!E140/'Price Data'!E139-1,0)</f>
        <v>2.275411989459819E-2</v>
      </c>
      <c r="F140" s="27">
        <f>IFERROR('Price Data'!F140/'Price Data'!F139-1,0)</f>
        <v>-1.7254626550939567E-2</v>
      </c>
      <c r="G140" s="27">
        <f>B140*Portfolio!$D$5+C140*Portfolio!$D$6+D140*Portfolio!$D$7+E140*Portfolio!$D$8+F140*Portfolio!$D$9</f>
        <v>1.193686856385906E-3</v>
      </c>
      <c r="H140" s="27">
        <f>IFERROR('Price Data'!G140/'Price Data'!G139-1,0)</f>
        <v>7.3614124394989489E-3</v>
      </c>
    </row>
    <row r="141" spans="1:8" ht="15">
      <c r="A141" s="25">
        <f>'Price Data'!A141</f>
        <v>45128</v>
      </c>
      <c r="B141" s="27">
        <f>IFERROR('Price Data'!B141/'Price Data'!B140-1,0)</f>
        <v>-3.0955965321050605E-2</v>
      </c>
      <c r="C141" s="27">
        <f>IFERROR('Price Data'!C141/'Price Data'!C140-1,0)</f>
        <v>-7.698032749288708E-3</v>
      </c>
      <c r="D141" s="27">
        <f>IFERROR('Price Data'!D141/'Price Data'!D140-1,0)</f>
        <v>-2.7430451450812243E-2</v>
      </c>
      <c r="E141" s="27">
        <f>IFERROR('Price Data'!E141/'Price Data'!E140-1,0)</f>
        <v>1.406159447034927E-3</v>
      </c>
      <c r="F141" s="27">
        <f>IFERROR('Price Data'!F141/'Price Data'!F140-1,0)</f>
        <v>-8.1338567997468858E-2</v>
      </c>
      <c r="G141" s="27">
        <f>B141*Portfolio!$D$5+C141*Portfolio!$D$6+D141*Portfolio!$D$7+E141*Portfolio!$D$8+F141*Portfolio!$D$9</f>
        <v>-2.7139451090312364E-2</v>
      </c>
      <c r="H141" s="27">
        <f>IFERROR('Price Data'!G141/'Price Data'!G140-1,0)</f>
        <v>-1.1719737128305097E-2</v>
      </c>
    </row>
    <row r="142" spans="1:8" ht="15">
      <c r="A142" s="25">
        <f>'Price Data'!A142</f>
        <v>45131</v>
      </c>
      <c r="B142" s="27">
        <f>IFERROR('Price Data'!B142/'Price Data'!B141-1,0)</f>
        <v>-2.0226502605910968E-2</v>
      </c>
      <c r="C142" s="27">
        <f>IFERROR('Price Data'!C142/'Price Data'!C141-1,0)</f>
        <v>1.5813112833247267E-3</v>
      </c>
      <c r="D142" s="27">
        <f>IFERROR('Price Data'!D142/'Price Data'!D141-1,0)</f>
        <v>7.8525441662606887E-3</v>
      </c>
      <c r="E142" s="27">
        <f>IFERROR('Price Data'!E142/'Price Data'!E141-1,0)</f>
        <v>-5.0151164903243783E-3</v>
      </c>
      <c r="F142" s="27">
        <f>IFERROR('Price Data'!F142/'Price Data'!F141-1,0)</f>
        <v>3.754974345962836E-3</v>
      </c>
      <c r="G142" s="27">
        <f>B142*Portfolio!$D$5+C142*Portfolio!$D$6+D142*Portfolio!$D$7+E142*Portfolio!$D$8+F142*Portfolio!$D$9</f>
        <v>-3.2798103190486536E-3</v>
      </c>
      <c r="H142" s="27">
        <f>IFERROR('Price Data'!G142/'Price Data'!G141-1,0)</f>
        <v>-3.6794322929856182E-3</v>
      </c>
    </row>
    <row r="143" spans="1:8" ht="15">
      <c r="A143" s="25">
        <f>'Price Data'!A143</f>
        <v>45132</v>
      </c>
      <c r="B143" s="27">
        <f>IFERROR('Price Data'!B143/'Price Data'!B142-1,0)</f>
        <v>-6.4317053967910542E-4</v>
      </c>
      <c r="C143" s="27">
        <f>IFERROR('Price Data'!C143/'Price Data'!C142-1,0)</f>
        <v>1.0843736159451556E-2</v>
      </c>
      <c r="D143" s="27">
        <f>IFERROR('Price Data'!D143/'Price Data'!D142-1,0)</f>
        <v>1.2961670242805923E-3</v>
      </c>
      <c r="E143" s="27">
        <f>IFERROR('Price Data'!E143/'Price Data'!E142-1,0)</f>
        <v>2.7218332908161003E-3</v>
      </c>
      <c r="F143" s="27">
        <f>IFERROR('Price Data'!F143/'Price Data'!F142-1,0)</f>
        <v>-1.4963709040284323E-3</v>
      </c>
      <c r="G143" s="27">
        <f>B143*Portfolio!$D$5+C143*Portfolio!$D$6+D143*Portfolio!$D$7+E143*Portfolio!$D$8+F143*Portfolio!$D$9</f>
        <v>2.9931941678173813E-3</v>
      </c>
      <c r="H143" s="27">
        <f>IFERROR('Price Data'!G143/'Price Data'!G142-1,0)</f>
        <v>4.1937034283234809E-4</v>
      </c>
    </row>
    <row r="144" spans="1:8" ht="15">
      <c r="A144" s="25">
        <f>'Price Data'!A144</f>
        <v>45133</v>
      </c>
      <c r="B144" s="27">
        <f>IFERROR('Price Data'!B144/'Price Data'!B143-1,0)</f>
        <v>1.6252203718226443E-2</v>
      </c>
      <c r="C144" s="27">
        <f>IFERROR('Price Data'!C144/'Price Data'!C143-1,0)</f>
        <v>-3.4775193925431491E-3</v>
      </c>
      <c r="D144" s="27">
        <f>IFERROR('Price Data'!D144/'Price Data'!D143-1,0)</f>
        <v>-3.1919447320999383E-3</v>
      </c>
      <c r="E144" s="27">
        <f>IFERROR('Price Data'!E144/'Price Data'!E143-1,0)</f>
        <v>1.7593683377208347E-3</v>
      </c>
      <c r="F144" s="27">
        <f>IFERROR('Price Data'!F144/'Price Data'!F143-1,0)</f>
        <v>1.0677293624468787E-2</v>
      </c>
      <c r="G144" s="27">
        <f>B144*Portfolio!$D$5+C144*Portfolio!$D$6+D144*Portfolio!$D$7+E144*Portfolio!$D$8+F144*Portfolio!$D$9</f>
        <v>4.4207814293292791E-3</v>
      </c>
      <c r="H144" s="27">
        <f>IFERROR('Price Data'!G144/'Price Data'!G143-1,0)</f>
        <v>4.9643391875346943E-3</v>
      </c>
    </row>
    <row r="145" spans="1:8" ht="15">
      <c r="A145" s="25">
        <f>'Price Data'!A145</f>
        <v>45134</v>
      </c>
      <c r="B145" s="27">
        <f>IFERROR('Price Data'!B145/'Price Data'!B144-1,0)</f>
        <v>-9.3024835414730056E-3</v>
      </c>
      <c r="C145" s="27">
        <f>IFERROR('Price Data'!C145/'Price Data'!C144-1,0)</f>
        <v>-1.0380290176704832E-2</v>
      </c>
      <c r="D145" s="27">
        <f>IFERROR('Price Data'!D145/'Price Data'!D144-1,0)</f>
        <v>2.5379896530655088E-3</v>
      </c>
      <c r="E145" s="27">
        <f>IFERROR('Price Data'!E145/'Price Data'!E144-1,0)</f>
        <v>-6.2221089589342693E-3</v>
      </c>
      <c r="F145" s="27">
        <f>IFERROR('Price Data'!F145/'Price Data'!F144-1,0)</f>
        <v>3.1880892056188603E-3</v>
      </c>
      <c r="G145" s="27">
        <f>B145*Portfolio!$D$5+C145*Portfolio!$D$6+D145*Portfolio!$D$7+E145*Portfolio!$D$8+F145*Portfolio!$D$9</f>
        <v>-4.8681984619286687E-3</v>
      </c>
      <c r="H145" s="27">
        <f>IFERROR('Price Data'!G145/'Price Data'!G144-1,0)</f>
        <v>-5.9863783008722304E-3</v>
      </c>
    </row>
    <row r="146" spans="1:8" ht="15">
      <c r="A146" s="25">
        <f>'Price Data'!A146</f>
        <v>45135</v>
      </c>
      <c r="B146" s="27">
        <f>IFERROR('Price Data'!B146/'Price Data'!B145-1,0)</f>
        <v>1.0049084250100426E-2</v>
      </c>
      <c r="C146" s="27">
        <f>IFERROR('Price Data'!C146/'Price Data'!C145-1,0)</f>
        <v>-1.7721124321711468E-2</v>
      </c>
      <c r="D146" s="27">
        <f>IFERROR('Price Data'!D146/'Price Data'!D145-1,0)</f>
        <v>-1.2216865417723821E-2</v>
      </c>
      <c r="E146" s="27">
        <f>IFERROR('Price Data'!E146/'Price Data'!E145-1,0)</f>
        <v>6.0086072208893615E-3</v>
      </c>
      <c r="F146" s="27">
        <f>IFERROR('Price Data'!F146/'Price Data'!F145-1,0)</f>
        <v>-9.3485439790004232E-3</v>
      </c>
      <c r="G146" s="27">
        <f>B146*Portfolio!$D$5+C146*Portfolio!$D$6+D146*Portfolio!$D$7+E146*Portfolio!$D$8+F146*Portfolio!$D$9</f>
        <v>-4.862373615164184E-3</v>
      </c>
      <c r="H146" s="27">
        <f>IFERROR('Price Data'!G146/'Price Data'!G145-1,0)</f>
        <v>-7.0445979378430668E-4</v>
      </c>
    </row>
    <row r="147" spans="1:8" ht="15">
      <c r="A147" s="25">
        <f>'Price Data'!A147</f>
        <v>45138</v>
      </c>
      <c r="B147" s="27">
        <f>IFERROR('Price Data'!B147/'Price Data'!B146-1,0)</f>
        <v>8.4656849656772337E-3</v>
      </c>
      <c r="C147" s="27">
        <f>IFERROR('Price Data'!C147/'Price Data'!C146-1,0)</f>
        <v>4.6850660426840385E-3</v>
      </c>
      <c r="D147" s="27">
        <f>IFERROR('Price Data'!D147/'Price Data'!D146-1,0)</f>
        <v>1.9684485826504838E-2</v>
      </c>
      <c r="E147" s="27">
        <f>IFERROR('Price Data'!E147/'Price Data'!E146-1,0)</f>
        <v>2.107937394497883E-3</v>
      </c>
      <c r="F147" s="27">
        <f>IFERROR('Price Data'!F147/'Price Data'!F146-1,0)</f>
        <v>1.1338870793366596E-2</v>
      </c>
      <c r="G147" s="27">
        <f>B147*Portfolio!$D$5+C147*Portfolio!$D$6+D147*Portfolio!$D$7+E147*Portfolio!$D$8+F147*Portfolio!$D$9</f>
        <v>9.2416061455709575E-3</v>
      </c>
      <c r="H147" s="27">
        <f>IFERROR('Price Data'!G147/'Price Data'!G146-1,0)</f>
        <v>5.4845628365591814E-3</v>
      </c>
    </row>
    <row r="148" spans="1:8" ht="15">
      <c r="A148" s="25">
        <f>'Price Data'!A148</f>
        <v>45139</v>
      </c>
      <c r="B148" s="27">
        <f>IFERROR('Price Data'!B148/'Price Data'!B147-1,0)</f>
        <v>-1.4141341043874101E-2</v>
      </c>
      <c r="C148" s="27">
        <f>IFERROR('Price Data'!C148/'Price Data'!C147-1,0)</f>
        <v>6.692138246954471E-3</v>
      </c>
      <c r="D148" s="27">
        <f>IFERROR('Price Data'!D148/'Price Data'!D147-1,0)</f>
        <v>8.9437390673294814E-3</v>
      </c>
      <c r="E148" s="27">
        <f>IFERROR('Price Data'!E148/'Price Data'!E147-1,0)</f>
        <v>-3.7563454702564947E-3</v>
      </c>
      <c r="F148" s="27">
        <f>IFERROR('Price Data'!F148/'Price Data'!F147-1,0)</f>
        <v>7.0074750227191451E-3</v>
      </c>
      <c r="G148" s="27">
        <f>B148*Portfolio!$D$5+C148*Portfolio!$D$6+D148*Portfolio!$D$7+E148*Portfolio!$D$8+F148*Portfolio!$D$9</f>
        <v>4.1411654710538657E-4</v>
      </c>
      <c r="H148" s="27">
        <f>IFERROR('Price Data'!G148/'Price Data'!G147-1,0)</f>
        <v>-1.0251191770254131E-3</v>
      </c>
    </row>
    <row r="149" spans="1:8" ht="15">
      <c r="A149" s="25">
        <f>'Price Data'!A149</f>
        <v>45140</v>
      </c>
      <c r="B149" s="27">
        <f>IFERROR('Price Data'!B149/'Price Data'!B148-1,0)</f>
        <v>-1.0683527099125012E-2</v>
      </c>
      <c r="C149" s="27">
        <f>IFERROR('Price Data'!C149/'Price Data'!C148-1,0)</f>
        <v>-1.3084625065122535E-2</v>
      </c>
      <c r="D149" s="27">
        <f>IFERROR('Price Data'!D149/'Price Data'!D148-1,0)</f>
        <v>-3.3025357999140192E-3</v>
      </c>
      <c r="E149" s="27">
        <f>IFERROR('Price Data'!E149/'Price Data'!E148-1,0)</f>
        <v>-7.6416399760593778E-3</v>
      </c>
      <c r="F149" s="27">
        <f>IFERROR('Price Data'!F149/'Price Data'!F148-1,0)</f>
        <v>-6.1162205747183895E-3</v>
      </c>
      <c r="G149" s="27">
        <f>B149*Portfolio!$D$5+C149*Portfolio!$D$6+D149*Portfolio!$D$7+E149*Portfolio!$D$8+F149*Portfolio!$D$9</f>
        <v>-8.666224283661355E-3</v>
      </c>
      <c r="H149" s="27">
        <f>IFERROR('Price Data'!G149/'Price Data'!G148-1,0)</f>
        <v>-1.0489749274959825E-2</v>
      </c>
    </row>
    <row r="150" spans="1:8" ht="15">
      <c r="A150" s="25">
        <f>'Price Data'!A150</f>
        <v>45141</v>
      </c>
      <c r="B150" s="27">
        <f>IFERROR('Price Data'!B150/'Price Data'!B149-1,0)</f>
        <v>-4.2030173565817952E-3</v>
      </c>
      <c r="C150" s="27">
        <f>IFERROR('Price Data'!C150/'Price Data'!C149-1,0)</f>
        <v>-7.2234195675848767E-3</v>
      </c>
      <c r="D150" s="27">
        <f>IFERROR('Price Data'!D150/'Price Data'!D149-1,0)</f>
        <v>-1.1829096441608677E-2</v>
      </c>
      <c r="E150" s="27">
        <f>IFERROR('Price Data'!E150/'Price Data'!E149-1,0)</f>
        <v>-2.2240273742045624E-2</v>
      </c>
      <c r="F150" s="27">
        <f>IFERROR('Price Data'!F150/'Price Data'!F149-1,0)</f>
        <v>5.4907096804561739E-3</v>
      </c>
      <c r="G150" s="27">
        <f>B150*Portfolio!$D$5+C150*Portfolio!$D$6+D150*Portfolio!$D$7+E150*Portfolio!$D$8+F150*Portfolio!$D$9</f>
        <v>-7.7348631286018208E-3</v>
      </c>
      <c r="H150" s="27">
        <f>IFERROR('Price Data'!G150/'Price Data'!G149-1,0)</f>
        <v>-7.4206854169113212E-3</v>
      </c>
    </row>
    <row r="151" spans="1:8" ht="15">
      <c r="A151" s="25">
        <f>'Price Data'!A151</f>
        <v>45142</v>
      </c>
      <c r="B151" s="27">
        <f>IFERROR('Price Data'!B151/'Price Data'!B150-1,0)</f>
        <v>1.3591048729741928E-2</v>
      </c>
      <c r="C151" s="27">
        <f>IFERROR('Price Data'!C151/'Price Data'!C150-1,0)</f>
        <v>1.4459823304746156E-2</v>
      </c>
      <c r="D151" s="27">
        <f>IFERROR('Price Data'!D151/'Price Data'!D150-1,0)</f>
        <v>1.2823851734292013E-2</v>
      </c>
      <c r="E151" s="27">
        <f>IFERROR('Price Data'!E151/'Price Data'!E150-1,0)</f>
        <v>5.6994853578935523E-3</v>
      </c>
      <c r="F151" s="27">
        <f>IFERROR('Price Data'!F151/'Price Data'!F150-1,0)</f>
        <v>1.0298215615883732E-2</v>
      </c>
      <c r="G151" s="27">
        <f>B151*Portfolio!$D$5+C151*Portfolio!$D$6+D151*Portfolio!$D$7+E151*Portfolio!$D$8+F151*Portfolio!$D$9</f>
        <v>1.1977143501547017E-2</v>
      </c>
      <c r="H151" s="27">
        <f>IFERROR('Price Data'!G151/'Price Data'!G150-1,0)</f>
        <v>6.9833892701145484E-3</v>
      </c>
    </row>
    <row r="152" spans="1:8" ht="15">
      <c r="A152" s="25">
        <f>'Price Data'!A152</f>
        <v>45145</v>
      </c>
      <c r="B152" s="27">
        <f>IFERROR('Price Data'!B152/'Price Data'!B151-1,0)</f>
        <v>5.6983164711699175E-3</v>
      </c>
      <c r="C152" s="27">
        <f>IFERROR('Price Data'!C152/'Price Data'!C151-1,0)</f>
        <v>-5.7507458685757129E-4</v>
      </c>
      <c r="D152" s="27">
        <f>IFERROR('Price Data'!D152/'Price Data'!D151-1,0)</f>
        <v>1.1760959027988349E-2</v>
      </c>
      <c r="E152" s="27">
        <f>IFERROR('Price Data'!E152/'Price Data'!E151-1,0)</f>
        <v>5.3066019116012608E-3</v>
      </c>
      <c r="F152" s="27">
        <f>IFERROR('Price Data'!F152/'Price Data'!F151-1,0)</f>
        <v>1.0628771383728086E-2</v>
      </c>
      <c r="G152" s="27">
        <f>B152*Portfolio!$D$5+C152*Portfolio!$D$6+D152*Portfolio!$D$7+E152*Portfolio!$D$8+F152*Portfolio!$D$9</f>
        <v>6.0233082709751588E-3</v>
      </c>
      <c r="H152" s="27">
        <f>IFERROR('Price Data'!G152/'Price Data'!G151-1,0)</f>
        <v>4.1144018676027017E-3</v>
      </c>
    </row>
    <row r="153" spans="1:8" ht="15">
      <c r="A153" s="25">
        <f>'Price Data'!A153</f>
        <v>45146</v>
      </c>
      <c r="B153" s="27">
        <f>IFERROR('Price Data'!B153/'Price Data'!B152-1,0)</f>
        <v>-6.0226617606662369E-3</v>
      </c>
      <c r="C153" s="27">
        <f>IFERROR('Price Data'!C153/'Price Data'!C152-1,0)</f>
        <v>-8.1744174241393797E-4</v>
      </c>
      <c r="D153" s="27">
        <f>IFERROR('Price Data'!D153/'Price Data'!D152-1,0)</f>
        <v>-3.8603237032316384E-3</v>
      </c>
      <c r="E153" s="27">
        <f>IFERROR('Price Data'!E153/'Price Data'!E152-1,0)</f>
        <v>4.3560231737431732E-3</v>
      </c>
      <c r="F153" s="27">
        <f>IFERROR('Price Data'!F153/'Price Data'!F152-1,0)</f>
        <v>-2.0101574162566527E-3</v>
      </c>
      <c r="G153" s="27">
        <f>B153*Portfolio!$D$5+C153*Portfolio!$D$6+D153*Portfolio!$D$7+E153*Portfolio!$D$8+F153*Portfolio!$D$9</f>
        <v>-2.1302107527933932E-3</v>
      </c>
      <c r="H153" s="27">
        <f>IFERROR('Price Data'!G153/'Price Data'!G152-1,0)</f>
        <v>-1.3497354646058168E-3</v>
      </c>
    </row>
    <row r="154" spans="1:8" ht="15">
      <c r="A154" s="25">
        <f>'Price Data'!A154</f>
        <v>45147</v>
      </c>
      <c r="B154" s="27">
        <f>IFERROR('Price Data'!B154/'Price Data'!B153-1,0)</f>
        <v>6.5971458263278659E-3</v>
      </c>
      <c r="C154" s="27">
        <f>IFERROR('Price Data'!C154/'Price Data'!C153-1,0)</f>
        <v>3.6362183730709319E-4</v>
      </c>
      <c r="D154" s="27">
        <f>IFERROR('Price Data'!D154/'Price Data'!D153-1,0)</f>
        <v>-2.3338895001145943E-3</v>
      </c>
      <c r="E154" s="27">
        <f>IFERROR('Price Data'!E154/'Price Data'!E153-1,0)</f>
        <v>8.2314140530193036E-4</v>
      </c>
      <c r="F154" s="27">
        <f>IFERROR('Price Data'!F154/'Price Data'!F153-1,0)</f>
        <v>3.0211646569484607E-3</v>
      </c>
      <c r="G154" s="27">
        <f>B154*Portfolio!$D$5+C154*Portfolio!$D$6+D154*Portfolio!$D$7+E154*Portfolio!$D$8+F154*Portfolio!$D$9</f>
        <v>1.8500599252233797E-3</v>
      </c>
      <c r="H154" s="27">
        <f>IFERROR('Price Data'!G154/'Price Data'!G153-1,0)</f>
        <v>3.1527078847637391E-3</v>
      </c>
    </row>
    <row r="155" spans="1:8" ht="15">
      <c r="A155" s="25">
        <f>'Price Data'!A155</f>
        <v>45148</v>
      </c>
      <c r="B155" s="27">
        <f>IFERROR('Price Data'!B155/'Price Data'!B154-1,0)</f>
        <v>4.4551261248160223E-3</v>
      </c>
      <c r="C155" s="27">
        <f>IFERROR('Price Data'!C155/'Price Data'!C154-1,0)</f>
        <v>-8.876145724288742E-3</v>
      </c>
      <c r="D155" s="27">
        <f>IFERROR('Price Data'!D155/'Price Data'!D154-1,0)</f>
        <v>-5.8918027683979579E-3</v>
      </c>
      <c r="E155" s="27">
        <f>IFERROR('Price Data'!E155/'Price Data'!E154-1,0)</f>
        <v>-8.841364755181047E-3</v>
      </c>
      <c r="F155" s="27">
        <f>IFERROR('Price Data'!F155/'Price Data'!F154-1,0)</f>
        <v>-3.8009250585558929E-3</v>
      </c>
      <c r="G155" s="27">
        <f>B155*Portfolio!$D$5+C155*Portfolio!$D$6+D155*Portfolio!$D$7+E155*Portfolio!$D$8+F155*Portfolio!$D$9</f>
        <v>-4.1799589256083123E-3</v>
      </c>
      <c r="H155" s="27">
        <f>IFERROR('Price Data'!G155/'Price Data'!G154-1,0)</f>
        <v>-4.5562684580157109E-3</v>
      </c>
    </row>
    <row r="156" spans="1:8" ht="15">
      <c r="A156" s="25">
        <f>'Price Data'!A156</f>
        <v>45149</v>
      </c>
      <c r="B156" s="27">
        <f>IFERROR('Price Data'!B156/'Price Data'!B155-1,0)</f>
        <v>4.2183438471772305E-3</v>
      </c>
      <c r="C156" s="27">
        <f>IFERROR('Price Data'!C156/'Price Data'!C155-1,0)</f>
        <v>-1.0422694981517044E-2</v>
      </c>
      <c r="D156" s="27">
        <f>IFERROR('Price Data'!D156/'Price Data'!D155-1,0)</f>
        <v>1.9466040917768268E-3</v>
      </c>
      <c r="E156" s="27">
        <f>IFERROR('Price Data'!E156/'Price Data'!E155-1,0)</f>
        <v>-1.1668947504020921E-2</v>
      </c>
      <c r="F156" s="27">
        <f>IFERROR('Price Data'!F156/'Price Data'!F155-1,0)</f>
        <v>-1.2418297938886935E-2</v>
      </c>
      <c r="G156" s="27">
        <f>B156*Portfolio!$D$5+C156*Portfolio!$D$6+D156*Portfolio!$D$7+E156*Portfolio!$D$8+F156*Portfolio!$D$9</f>
        <v>-4.7748537816657667E-3</v>
      </c>
      <c r="H156" s="27">
        <f>IFERROR('Price Data'!G156/'Price Data'!G155-1,0)</f>
        <v>-5.8741361615907151E-3</v>
      </c>
    </row>
    <row r="157" spans="1:8" ht="15">
      <c r="A157" s="25">
        <f>'Price Data'!A157</f>
        <v>45152</v>
      </c>
      <c r="B157" s="27">
        <f>IFERROR('Price Data'!B157/'Price Data'!B156-1,0)</f>
        <v>1.1817254985412085E-2</v>
      </c>
      <c r="C157" s="27">
        <f>IFERROR('Price Data'!C157/'Price Data'!C156-1,0)</f>
        <v>-4.8801140079306471E-3</v>
      </c>
      <c r="D157" s="27">
        <f>IFERROR('Price Data'!D157/'Price Data'!D156-1,0)</f>
        <v>3.0440353976279866E-4</v>
      </c>
      <c r="E157" s="27">
        <f>IFERROR('Price Data'!E157/'Price Data'!E156-1,0)</f>
        <v>7.0315047245628204E-3</v>
      </c>
      <c r="F157" s="27">
        <f>IFERROR('Price Data'!F157/'Price Data'!F156-1,0)</f>
        <v>1.5818243561514844E-2</v>
      </c>
      <c r="G157" s="27">
        <f>B157*Portfolio!$D$5+C157*Portfolio!$D$6+D157*Portfolio!$D$7+E157*Portfolio!$D$8+F157*Portfolio!$D$9</f>
        <v>5.2226281952345681E-3</v>
      </c>
      <c r="H157" s="27">
        <f>IFERROR('Price Data'!G157/'Price Data'!G156-1,0)</f>
        <v>3.2169565781225984E-4</v>
      </c>
    </row>
    <row r="158" spans="1:8" ht="15">
      <c r="A158" s="25">
        <f>'Price Data'!A158</f>
        <v>45154</v>
      </c>
      <c r="B158" s="27">
        <f>IFERROR('Price Data'!B158/'Price Data'!B157-1,0)</f>
        <v>-8.1480373995779232E-4</v>
      </c>
      <c r="C158" s="27">
        <f>IFERROR('Price Data'!C158/'Price Data'!C157-1,0)</f>
        <v>-2.9176733066922367E-3</v>
      </c>
      <c r="D158" s="27">
        <f>IFERROR('Price Data'!D158/'Price Data'!D157-1,0)</f>
        <v>2.4781918882186282E-3</v>
      </c>
      <c r="E158" s="27">
        <f>IFERROR('Price Data'!E158/'Price Data'!E157-1,0)</f>
        <v>-3.178488375475963E-3</v>
      </c>
      <c r="F158" s="27">
        <f>IFERROR('Price Data'!F158/'Price Data'!F157-1,0)</f>
        <v>1.7903840910036273E-2</v>
      </c>
      <c r="G158" s="27">
        <f>B158*Portfolio!$D$5+C158*Portfolio!$D$6+D158*Portfolio!$D$7+E158*Portfolio!$D$8+F158*Portfolio!$D$9</f>
        <v>1.771321996165265E-3</v>
      </c>
      <c r="H158" s="27">
        <f>IFERROR('Price Data'!G158/'Price Data'!G157-1,0)</f>
        <v>1.5667570139761278E-3</v>
      </c>
    </row>
    <row r="159" spans="1:8" ht="15">
      <c r="A159" s="25">
        <f>'Price Data'!A159</f>
        <v>45155</v>
      </c>
      <c r="B159" s="27">
        <f>IFERROR('Price Data'!B159/'Price Data'!B158-1,0)</f>
        <v>-1.4426343791720031E-2</v>
      </c>
      <c r="C159" s="27">
        <f>IFERROR('Price Data'!C159/'Price Data'!C158-1,0)</f>
        <v>-5.5409744152578044E-3</v>
      </c>
      <c r="D159" s="27">
        <f>IFERROR('Price Data'!D159/'Price Data'!D158-1,0)</f>
        <v>-6.5491176118308569E-3</v>
      </c>
      <c r="E159" s="27">
        <f>IFERROR('Price Data'!E159/'Price Data'!E158-1,0)</f>
        <v>-5.0705753051224489E-3</v>
      </c>
      <c r="F159" s="27">
        <f>IFERROR('Price Data'!F159/'Price Data'!F158-1,0)</f>
        <v>-4.8993460822588375E-3</v>
      </c>
      <c r="G159" s="27">
        <f>B159*Portfolio!$D$5+C159*Portfolio!$D$6+D159*Portfolio!$D$7+E159*Portfolio!$D$8+F159*Portfolio!$D$9</f>
        <v>-7.7971412822178225E-3</v>
      </c>
      <c r="H159" s="27">
        <f>IFERROR('Price Data'!G159/'Price Data'!G158-1,0)</f>
        <v>-5.1245825841254034E-3</v>
      </c>
    </row>
    <row r="160" spans="1:8" ht="15">
      <c r="A160" s="25">
        <f>'Price Data'!A160</f>
        <v>45156</v>
      </c>
      <c r="B160" s="27">
        <f>IFERROR('Price Data'!B160/'Price Data'!B159-1,0)</f>
        <v>7.4074645788466675E-3</v>
      </c>
      <c r="C160" s="27">
        <f>IFERROR('Price Data'!C160/'Price Data'!C159-1,0)</f>
        <v>-4.1007497875399368E-3</v>
      </c>
      <c r="D160" s="27">
        <f>IFERROR('Price Data'!D160/'Price Data'!D159-1,0)</f>
        <v>-1.9981097317028573E-2</v>
      </c>
      <c r="E160" s="27">
        <f>IFERROR('Price Data'!E160/'Price Data'!E159-1,0)</f>
        <v>-1.0508210843469534E-3</v>
      </c>
      <c r="F160" s="27">
        <f>IFERROR('Price Data'!F160/'Price Data'!F159-1,0)</f>
        <v>-1.6117073497170731E-2</v>
      </c>
      <c r="G160" s="27">
        <f>B160*Portfolio!$D$5+C160*Portfolio!$D$6+D160*Portfolio!$D$7+E160*Portfolio!$D$8+F160*Portfolio!$D$9</f>
        <v>-5.7447249528066839E-3</v>
      </c>
      <c r="H160" s="27">
        <f>IFERROR('Price Data'!G160/'Price Data'!G159-1,0)</f>
        <v>-2.8452826260957353E-3</v>
      </c>
    </row>
    <row r="161" spans="1:8" ht="15">
      <c r="A161" s="25">
        <f>'Price Data'!A161</f>
        <v>45159</v>
      </c>
      <c r="B161" s="27">
        <f>IFERROR('Price Data'!B161/'Price Data'!B160-1,0)</f>
        <v>-1.0911472024133229E-2</v>
      </c>
      <c r="C161" s="27">
        <f>IFERROR('Price Data'!C161/'Price Data'!C160-1,0)</f>
        <v>-7.8570057018589878E-4</v>
      </c>
      <c r="D161" s="27">
        <f>IFERROR('Price Data'!D161/'Price Data'!D160-1,0)</f>
        <v>1.0261052849101837E-2</v>
      </c>
      <c r="E161" s="27">
        <f>IFERROR('Price Data'!E161/'Price Data'!E160-1,0)</f>
        <v>4.7862001864362735E-3</v>
      </c>
      <c r="F161" s="27">
        <f>IFERROR('Price Data'!F161/'Price Data'!F160-1,0)</f>
        <v>1.1952595012092226E-2</v>
      </c>
      <c r="G161" s="27">
        <f>B161*Portfolio!$D$5+C161*Portfolio!$D$6+D161*Portfolio!$D$7+E161*Portfolio!$D$8+F161*Portfolio!$D$9</f>
        <v>1.6387367010198607E-3</v>
      </c>
      <c r="H161" s="27">
        <f>IFERROR('Price Data'!G161/'Price Data'!G160-1,0)</f>
        <v>4.3215209131937105E-3</v>
      </c>
    </row>
    <row r="162" spans="1:8" ht="15">
      <c r="A162" s="25">
        <f>'Price Data'!A162</f>
        <v>45160</v>
      </c>
      <c r="B162" s="27">
        <f>IFERROR('Price Data'!B162/'Price Data'!B161-1,0)</f>
        <v>-2.3806423577066305E-4</v>
      </c>
      <c r="C162" s="27">
        <f>IFERROR('Price Data'!C162/'Price Data'!C161-1,0)</f>
        <v>-4.2781526683173254E-3</v>
      </c>
      <c r="D162" s="27">
        <f>IFERROR('Price Data'!D162/'Price Data'!D161-1,0)</f>
        <v>-5.7325075197950381E-3</v>
      </c>
      <c r="E162" s="27">
        <f>IFERROR('Price Data'!E162/'Price Data'!E161-1,0)</f>
        <v>-3.3500653672875469E-3</v>
      </c>
      <c r="F162" s="27">
        <f>IFERROR('Price Data'!F162/'Price Data'!F161-1,0)</f>
        <v>-1.1740290678408094E-3</v>
      </c>
      <c r="G162" s="27">
        <f>B162*Portfolio!$D$5+C162*Portfolio!$D$6+D162*Portfolio!$D$7+E162*Portfolio!$D$8+F162*Portfolio!$D$9</f>
        <v>-2.954169895250258E-3</v>
      </c>
      <c r="H162" s="27">
        <f>IFERROR('Price Data'!G162/'Price Data'!G161-1,0)</f>
        <v>1.4693555773015454E-4</v>
      </c>
    </row>
    <row r="163" spans="1:8" ht="15">
      <c r="A163" s="25">
        <f>'Price Data'!A163</f>
        <v>45161</v>
      </c>
      <c r="B163" s="27">
        <f>IFERROR('Price Data'!B163/'Price Data'!B162-1,0)</f>
        <v>1.1114598146422239E-3</v>
      </c>
      <c r="C163" s="27">
        <f>IFERROR('Price Data'!C163/'Price Data'!C162-1,0)</f>
        <v>2.4641376231173684E-3</v>
      </c>
      <c r="D163" s="27">
        <f>IFERROR('Price Data'!D163/'Price Data'!D162-1,0)</f>
        <v>4.7602365011638614E-3</v>
      </c>
      <c r="E163" s="27">
        <f>IFERROR('Price Data'!E163/'Price Data'!E162-1,0)</f>
        <v>1.559869534961722E-2</v>
      </c>
      <c r="F163" s="27">
        <f>IFERROR('Price Data'!F163/'Price Data'!F162-1,0)</f>
        <v>2.9920024010958723E-3</v>
      </c>
      <c r="G163" s="27">
        <f>B163*Portfolio!$D$5+C163*Portfolio!$D$6+D163*Portfolio!$D$7+E163*Portfolio!$D$8+F163*Portfolio!$D$9</f>
        <v>4.6345513222796342E-3</v>
      </c>
      <c r="H163" s="27">
        <f>IFERROR('Price Data'!G163/'Price Data'!G162-1,0)</f>
        <v>2.4515199000461063E-3</v>
      </c>
    </row>
    <row r="164" spans="1:8" ht="15">
      <c r="A164" s="25">
        <f>'Price Data'!A164</f>
        <v>45162</v>
      </c>
      <c r="B164" s="27">
        <f>IFERROR('Price Data'!B164/'Price Data'!B163-1,0)</f>
        <v>-1.6810815772554277E-2</v>
      </c>
      <c r="C164" s="27">
        <f>IFERROR('Price Data'!C164/'Price Data'!C163-1,0)</f>
        <v>-4.6009463835192665E-3</v>
      </c>
      <c r="D164" s="27">
        <f>IFERROR('Price Data'!D164/'Price Data'!D163-1,0)</f>
        <v>-3.0897087105876686E-3</v>
      </c>
      <c r="E164" s="27">
        <f>IFERROR('Price Data'!E164/'Price Data'!E163-1,0)</f>
        <v>2.1720321031117873E-3</v>
      </c>
      <c r="F164" s="27">
        <f>IFERROR('Price Data'!F164/'Price Data'!F163-1,0)</f>
        <v>1.1115492788085879E-2</v>
      </c>
      <c r="G164" s="27">
        <f>B164*Portfolio!$D$5+C164*Portfolio!$D$6+D164*Portfolio!$D$7+E164*Portfolio!$D$8+F164*Portfolio!$D$9</f>
        <v>-3.9777535474562701E-3</v>
      </c>
      <c r="H164" s="27">
        <f>IFERROR('Price Data'!G164/'Price Data'!G163-1,0)</f>
        <v>-2.9469646806212779E-3</v>
      </c>
    </row>
    <row r="165" spans="1:8" ht="15">
      <c r="A165" s="25">
        <f>'Price Data'!A165</f>
        <v>45163</v>
      </c>
      <c r="B165" s="27">
        <f>IFERROR('Price Data'!B165/'Price Data'!B164-1,0)</f>
        <v>-4.6172711648426734E-3</v>
      </c>
      <c r="C165" s="27">
        <f>IFERROR('Price Data'!C165/'Price Data'!C164-1,0)</f>
        <v>-1.1270786074062955E-2</v>
      </c>
      <c r="D165" s="27">
        <f>IFERROR('Price Data'!D165/'Price Data'!D164-1,0)</f>
        <v>-1.9040765323177222E-3</v>
      </c>
      <c r="E165" s="27">
        <f>IFERROR('Price Data'!E165/'Price Data'!E164-1,0)</f>
        <v>1.4964860364357069E-3</v>
      </c>
      <c r="F165" s="27">
        <f>IFERROR('Price Data'!F165/'Price Data'!F164-1,0)</f>
        <v>-2.4585693134168141E-3</v>
      </c>
      <c r="G165" s="27">
        <f>B165*Portfolio!$D$5+C165*Portfolio!$D$6+D165*Portfolio!$D$7+E165*Portfolio!$D$8+F165*Portfolio!$D$9</f>
        <v>-4.497142107737117E-3</v>
      </c>
      <c r="H165" s="27">
        <f>IFERROR('Price Data'!G165/'Price Data'!G164-1,0)</f>
        <v>-6.2361537740819317E-3</v>
      </c>
    </row>
    <row r="166" spans="1:8" ht="15">
      <c r="A166" s="25">
        <f>'Price Data'!A166</f>
        <v>45166</v>
      </c>
      <c r="B166" s="27">
        <f>IFERROR('Price Data'!B166/'Price Data'!B165-1,0)</f>
        <v>-9.9661748061115052E-3</v>
      </c>
      <c r="C166" s="27">
        <f>IFERROR('Price Data'!C166/'Price Data'!C165-1,0)</f>
        <v>1.0406579627038059E-2</v>
      </c>
      <c r="D166" s="27">
        <f>IFERROR('Price Data'!D166/'Price Data'!D165-1,0)</f>
        <v>-1.7004332071033357E-3</v>
      </c>
      <c r="E166" s="27">
        <f>IFERROR('Price Data'!E166/'Price Data'!E165-1,0)</f>
        <v>1.5451364927043798E-4</v>
      </c>
      <c r="F166" s="27">
        <f>IFERROR('Price Data'!F166/'Price Data'!F165-1,0)</f>
        <v>-3.1335791946592861E-3</v>
      </c>
      <c r="G166" s="27">
        <f>B166*Portfolio!$D$5+C166*Portfolio!$D$6+D166*Portfolio!$D$7+E166*Portfolio!$D$8+F166*Portfolio!$D$9</f>
        <v>-6.7684526799735578E-4</v>
      </c>
      <c r="H166" s="27">
        <f>IFERROR('Price Data'!G166/'Price Data'!G165-1,0)</f>
        <v>2.089194238900971E-3</v>
      </c>
    </row>
    <row r="167" spans="1:8" ht="15">
      <c r="A167" s="25">
        <f>'Price Data'!A167</f>
        <v>45167</v>
      </c>
      <c r="B167" s="27">
        <f>IFERROR('Price Data'!B167/'Price Data'!B166-1,0)</f>
        <v>-9.5754135605181645E-3</v>
      </c>
      <c r="C167" s="27">
        <f>IFERROR('Price Data'!C167/'Price Data'!C166-1,0)</f>
        <v>7.954306632084851E-3</v>
      </c>
      <c r="D167" s="27">
        <f>IFERROR('Price Data'!D167/'Price Data'!D166-1,0)</f>
        <v>1.7764061071123827E-4</v>
      </c>
      <c r="E167" s="27">
        <f>IFERROR('Price Data'!E167/'Price Data'!E166-1,0)</f>
        <v>-2.8849384162963343E-3</v>
      </c>
      <c r="F167" s="27">
        <f>IFERROR('Price Data'!F167/'Price Data'!F166-1,0)</f>
        <v>1.4128134579154406E-3</v>
      </c>
      <c r="G167" s="27">
        <f>B167*Portfolio!$D$5+C167*Portfolio!$D$6+D167*Portfolio!$D$7+E167*Portfolio!$D$8+F167*Portfolio!$D$9</f>
        <v>-5.9056735372321474E-4</v>
      </c>
      <c r="H167" s="27">
        <f>IFERROR('Price Data'!G167/'Price Data'!G166-1,0)</f>
        <v>1.8957584743610756E-3</v>
      </c>
    </row>
    <row r="168" spans="1:8" ht="15">
      <c r="A168" s="25">
        <f>'Price Data'!A168</f>
        <v>45168</v>
      </c>
      <c r="B168" s="27">
        <f>IFERROR('Price Data'!B168/'Price Data'!B167-1,0)</f>
        <v>-9.503221131553774E-4</v>
      </c>
      <c r="C168" s="27">
        <f>IFERROR('Price Data'!C168/'Price Data'!C167-1,0)</f>
        <v>-7.2941565782244089E-3</v>
      </c>
      <c r="D168" s="27">
        <f>IFERROR('Price Data'!D168/'Price Data'!D167-1,0)</f>
        <v>4.3838902664790069E-3</v>
      </c>
      <c r="E168" s="27">
        <f>IFERROR('Price Data'!E168/'Price Data'!E167-1,0)</f>
        <v>-9.1448586924811615E-3</v>
      </c>
      <c r="F168" s="27">
        <f>IFERROR('Price Data'!F168/'Price Data'!F167-1,0)</f>
        <v>1.2344345763587672E-2</v>
      </c>
      <c r="G168" s="27">
        <f>B168*Portfolio!$D$5+C168*Portfolio!$D$6+D168*Portfolio!$D$7+E168*Portfolio!$D$8+F168*Portfolio!$D$9</f>
        <v>-7.0441855888316875E-4</v>
      </c>
      <c r="H168" s="27">
        <f>IFERROR('Price Data'!G168/'Price Data'!G167-1,0)</f>
        <v>2.4809568637640389E-4</v>
      </c>
    </row>
    <row r="169" spans="1:8" ht="15">
      <c r="A169" s="25">
        <f>'Price Data'!A169</f>
        <v>45169</v>
      </c>
      <c r="B169" s="27">
        <f>IFERROR('Price Data'!B169/'Price Data'!B168-1,0)</f>
        <v>-4.5698499241338952E-3</v>
      </c>
      <c r="C169" s="27">
        <f>IFERROR('Price Data'!C169/'Price Data'!C168-1,0)</f>
        <v>-4.5923956162688961E-3</v>
      </c>
      <c r="D169" s="27">
        <f>IFERROR('Price Data'!D169/'Price Data'!D168-1,0)</f>
        <v>-1.0071044625288184E-2</v>
      </c>
      <c r="E169" s="27">
        <f>IFERROR('Price Data'!E169/'Price Data'!E168-1,0)</f>
        <v>-1.5649610208900988E-4</v>
      </c>
      <c r="F169" s="27">
        <f>IFERROR('Price Data'!F169/'Price Data'!F168-1,0)</f>
        <v>2.0905189077424779E-4</v>
      </c>
      <c r="G169" s="27">
        <f>B169*Portfolio!$D$5+C169*Portfolio!$D$6+D169*Portfolio!$D$7+E169*Portfolio!$D$8+F169*Portfolio!$D$9</f>
        <v>-4.2968869418555482E-3</v>
      </c>
      <c r="H169" s="27">
        <f>IFERROR('Price Data'!G169/'Price Data'!G168-1,0)</f>
        <v>-4.8403506033882771E-3</v>
      </c>
    </row>
    <row r="170" spans="1:8" ht="15">
      <c r="A170" s="25">
        <f>'Price Data'!A170</f>
        <v>45170</v>
      </c>
      <c r="B170" s="27">
        <f>IFERROR('Price Data'!B170/'Price Data'!B169-1,0)</f>
        <v>2.3473568753371588E-3</v>
      </c>
      <c r="C170" s="27">
        <f>IFERROR('Price Data'!C170/'Price Data'!C169-1,0)</f>
        <v>2.0681215367197581E-3</v>
      </c>
      <c r="D170" s="27">
        <f>IFERROR('Price Data'!D170/'Price Data'!D169-1,0)</f>
        <v>6.6729808475578523E-3</v>
      </c>
      <c r="E170" s="27">
        <f>IFERROR('Price Data'!E170/'Price Data'!E169-1,0)</f>
        <v>1.0378176150052765E-2</v>
      </c>
      <c r="F170" s="27">
        <f>IFERROR('Price Data'!F170/'Price Data'!F169-1,0)</f>
        <v>5.8517621512887974E-3</v>
      </c>
      <c r="G170" s="27">
        <f>B170*Portfolio!$D$5+C170*Portfolio!$D$6+D170*Portfolio!$D$7+E170*Portfolio!$D$8+F170*Portfolio!$D$9</f>
        <v>4.8729565177270343E-3</v>
      </c>
      <c r="H170" s="27">
        <f>IFERROR('Price Data'!G170/'Price Data'!G169-1,0)</f>
        <v>9.4267101889176086E-3</v>
      </c>
    </row>
    <row r="171" spans="1:8" ht="15">
      <c r="A171" s="25">
        <f>'Price Data'!A171</f>
        <v>45173</v>
      </c>
      <c r="B171" s="27">
        <f>IFERROR('Price Data'!B171/'Price Data'!B170-1,0)</f>
        <v>-8.0823705392063516E-4</v>
      </c>
      <c r="C171" s="27">
        <f>IFERROR('Price Data'!C171/'Price Data'!C170-1,0)</f>
        <v>6.255192420939526E-3</v>
      </c>
      <c r="D171" s="27">
        <f>IFERROR('Price Data'!D171/'Price Data'!D170-1,0)</f>
        <v>1.1629948334902496E-2</v>
      </c>
      <c r="E171" s="27">
        <f>IFERROR('Price Data'!E171/'Price Data'!E170-1,0)</f>
        <v>-1.3937036334019659E-3</v>
      </c>
      <c r="F171" s="27">
        <f>IFERROR('Price Data'!F171/'Price Data'!F170-1,0)</f>
        <v>1.4717564243675207E-2</v>
      </c>
      <c r="G171" s="27">
        <f>B171*Portfolio!$D$5+C171*Portfolio!$D$6+D171*Portfolio!$D$7+E171*Portfolio!$D$8+F171*Portfolio!$D$9</f>
        <v>5.6863076002762079E-3</v>
      </c>
      <c r="H171" s="27">
        <f>IFERROR('Price Data'!G171/'Price Data'!G170-1,0)</f>
        <v>4.8108337016425917E-3</v>
      </c>
    </row>
    <row r="172" spans="1:8" ht="15">
      <c r="A172" s="25">
        <f>'Price Data'!A172</f>
        <v>45174</v>
      </c>
      <c r="B172" s="27">
        <f>IFERROR('Price Data'!B172/'Price Data'!B171-1,0)</f>
        <v>5.351265864950383E-3</v>
      </c>
      <c r="C172" s="27">
        <f>IFERROR('Price Data'!C172/'Price Data'!C171-1,0)</f>
        <v>-6.0900752835836292E-3</v>
      </c>
      <c r="D172" s="27">
        <f>IFERROR('Price Data'!D172/'Price Data'!D171-1,0)</f>
        <v>3.1740334576415563E-3</v>
      </c>
      <c r="E172" s="27">
        <f>IFERROR('Price Data'!E172/'Price Data'!E171-1,0)</f>
        <v>1.0854547081100563E-3</v>
      </c>
      <c r="F172" s="27">
        <f>IFERROR('Price Data'!F172/'Price Data'!F171-1,0)</f>
        <v>9.4191656470485885E-3</v>
      </c>
      <c r="G172" s="27">
        <f>B172*Portfolio!$D$5+C172*Portfolio!$D$6+D172*Portfolio!$D$7+E172*Portfolio!$D$8+F172*Portfolio!$D$9</f>
        <v>2.0257973901437964E-3</v>
      </c>
      <c r="H172" s="27">
        <f>IFERROR('Price Data'!G172/'Price Data'!G171-1,0)</f>
        <v>2.3605960187407238E-3</v>
      </c>
    </row>
    <row r="173" spans="1:8" ht="15">
      <c r="A173" s="25">
        <f>'Price Data'!A173</f>
        <v>45175</v>
      </c>
      <c r="B173" s="27">
        <f>IFERROR('Price Data'!B173/'Price Data'!B172-1,0)</f>
        <v>2.1041352747233066E-3</v>
      </c>
      <c r="C173" s="27">
        <f>IFERROR('Price Data'!C173/'Price Data'!C172-1,0)</f>
        <v>1.3080203375391619E-2</v>
      </c>
      <c r="D173" s="27">
        <f>IFERROR('Price Data'!D173/'Price Data'!D172-1,0)</f>
        <v>1.6025024827914791E-4</v>
      </c>
      <c r="E173" s="27">
        <f>IFERROR('Price Data'!E173/'Price Data'!E172-1,0)</f>
        <v>-1.1255643756777123E-2</v>
      </c>
      <c r="F173" s="27">
        <f>IFERROR('Price Data'!F173/'Price Data'!F172-1,0)</f>
        <v>-9.8040558814849188E-4</v>
      </c>
      <c r="G173" s="27">
        <f>B173*Portfolio!$D$5+C173*Portfolio!$D$6+D173*Portfolio!$D$7+E173*Portfolio!$D$8+F173*Portfolio!$D$9</f>
        <v>1.9927273104457187E-3</v>
      </c>
      <c r="H173" s="27">
        <f>IFERROR('Price Data'!G173/'Price Data'!G172-1,0)</f>
        <v>1.8467726478093027E-3</v>
      </c>
    </row>
    <row r="174" spans="1:8" ht="15">
      <c r="A174" s="25">
        <f>'Price Data'!A174</f>
        <v>45176</v>
      </c>
      <c r="B174" s="27">
        <f>IFERROR('Price Data'!B174/'Price Data'!B173-1,0)</f>
        <v>1.3588799093822157E-3</v>
      </c>
      <c r="C174" s="27">
        <f>IFERROR('Price Data'!C174/'Price Data'!C173-1,0)</f>
        <v>9.6208671373014809E-3</v>
      </c>
      <c r="D174" s="27">
        <f>IFERROR('Price Data'!D174/'Price Data'!D173-1,0)</f>
        <v>7.3909894298382905E-3</v>
      </c>
      <c r="E174" s="27">
        <f>IFERROR('Price Data'!E174/'Price Data'!E173-1,0)</f>
        <v>8.5117377833276997E-3</v>
      </c>
      <c r="F174" s="27">
        <f>IFERROR('Price Data'!F174/'Price Data'!F173-1,0)</f>
        <v>-7.6145453482070469E-3</v>
      </c>
      <c r="G174" s="27">
        <f>B174*Portfolio!$D$5+C174*Portfolio!$D$6+D174*Portfolio!$D$7+E174*Portfolio!$D$8+F174*Portfolio!$D$9</f>
        <v>4.3577135129066807E-3</v>
      </c>
      <c r="H174" s="27">
        <f>IFERROR('Price Data'!G174/'Price Data'!G173-1,0)</f>
        <v>5.9150323607803923E-3</v>
      </c>
    </row>
    <row r="175" spans="1:8" ht="15">
      <c r="A175" s="25">
        <f>'Price Data'!A175</f>
        <v>45177</v>
      </c>
      <c r="B175" s="27">
        <f>IFERROR('Price Data'!B175/'Price Data'!B174-1,0)</f>
        <v>6.6611289335447577E-3</v>
      </c>
      <c r="C175" s="27">
        <f>IFERROR('Price Data'!C175/'Price Data'!C174-1,0)</f>
        <v>7.7909390723303051E-3</v>
      </c>
      <c r="D175" s="27">
        <f>IFERROR('Price Data'!D175/'Price Data'!D174-1,0)</f>
        <v>-3.8636659054207545E-3</v>
      </c>
      <c r="E175" s="27">
        <f>IFERROR('Price Data'!E175/'Price Data'!E174-1,0)</f>
        <v>5.0742442115416786E-3</v>
      </c>
      <c r="F175" s="27">
        <f>IFERROR('Price Data'!F175/'Price Data'!F174-1,0)</f>
        <v>2.318867264593294E-3</v>
      </c>
      <c r="G175" s="27">
        <f>B175*Portfolio!$D$5+C175*Portfolio!$D$6+D175*Portfolio!$D$7+E175*Portfolio!$D$8+F175*Portfolio!$D$9</f>
        <v>3.949250541804861E-3</v>
      </c>
      <c r="H175" s="27">
        <f>IFERROR('Price Data'!G175/'Price Data'!G174-1,0)</f>
        <v>4.7091903665750223E-3</v>
      </c>
    </row>
    <row r="176" spans="1:8" ht="15">
      <c r="A176" s="25">
        <f>'Price Data'!A176</f>
        <v>45180</v>
      </c>
      <c r="B176" s="27">
        <f>IFERROR('Price Data'!B176/'Price Data'!B175-1,0)</f>
        <v>1.0783541945472264E-2</v>
      </c>
      <c r="C176" s="27">
        <f>IFERROR('Price Data'!C176/'Price Data'!C175-1,0)</f>
        <v>5.1743548135296802E-3</v>
      </c>
      <c r="D176" s="27">
        <f>IFERROR('Price Data'!D176/'Price Data'!D175-1,0)</f>
        <v>1.1258267433403635E-2</v>
      </c>
      <c r="E176" s="27">
        <f>IFERROR('Price Data'!E176/'Price Data'!E175-1,0)</f>
        <v>7.9336285833062625E-3</v>
      </c>
      <c r="F176" s="27">
        <f>IFERROR('Price Data'!F176/'Price Data'!F175-1,0)</f>
        <v>4.6612433859656299E-3</v>
      </c>
      <c r="G176" s="27">
        <f>B176*Portfolio!$D$5+C176*Portfolio!$D$6+D176*Portfolio!$D$7+E176*Portfolio!$D$8+F176*Portfolio!$D$9</f>
        <v>8.1303584718219971E-3</v>
      </c>
      <c r="H176" s="27">
        <f>IFERROR('Price Data'!G176/'Price Data'!G175-1,0)</f>
        <v>8.9001434200508545E-3</v>
      </c>
    </row>
    <row r="177" spans="1:8" ht="15">
      <c r="A177" s="25">
        <f>'Price Data'!A177</f>
        <v>45181</v>
      </c>
      <c r="B177" s="27">
        <f>IFERROR('Price Data'!B177/'Price Data'!B176-1,0)</f>
        <v>-1.4446859554394731E-2</v>
      </c>
      <c r="C177" s="27">
        <f>IFERROR('Price Data'!C177/'Price Data'!C176-1,0)</f>
        <v>3.1253811023543854E-3</v>
      </c>
      <c r="D177" s="27">
        <f>IFERROR('Price Data'!D177/'Price Data'!D176-1,0)</f>
        <v>2.8773341154025633E-2</v>
      </c>
      <c r="E177" s="27">
        <f>IFERROR('Price Data'!E177/'Price Data'!E176-1,0)</f>
        <v>1.2522409232698983E-2</v>
      </c>
      <c r="F177" s="27">
        <f>IFERROR('Price Data'!F177/'Price Data'!F176-1,0)</f>
        <v>1.669545998576849E-2</v>
      </c>
      <c r="G177" s="27">
        <f>B177*Portfolio!$D$5+C177*Portfolio!$D$6+D177*Portfolio!$D$7+E177*Portfolio!$D$8+F177*Portfolio!$D$9</f>
        <v>7.3069790005651607E-3</v>
      </c>
      <c r="H177" s="27">
        <f>IFERROR('Price Data'!G177/'Price Data'!G176-1,0)</f>
        <v>-1.575482868895195E-4</v>
      </c>
    </row>
    <row r="178" spans="1:8" ht="15">
      <c r="A178" s="25">
        <f>'Price Data'!A178</f>
        <v>45182</v>
      </c>
      <c r="B178" s="27">
        <f>IFERROR('Price Data'!B178/'Price Data'!B177-1,0)</f>
        <v>5.0023813385726701E-3</v>
      </c>
      <c r="C178" s="27">
        <f>IFERROR('Price Data'!C178/'Price Data'!C177-1,0)</f>
        <v>4.2763093335194124E-3</v>
      </c>
      <c r="D178" s="27">
        <f>IFERROR('Price Data'!D178/'Price Data'!D177-1,0)</f>
        <v>-3.6164601644825822E-3</v>
      </c>
      <c r="E178" s="27">
        <f>IFERROR('Price Data'!E178/'Price Data'!E177-1,0)</f>
        <v>-7.0678623765374482E-4</v>
      </c>
      <c r="F178" s="27">
        <f>IFERROR('Price Data'!F178/'Price Data'!F177-1,0)</f>
        <v>-1.8319680798668525E-3</v>
      </c>
      <c r="G178" s="27">
        <f>B178*Portfolio!$D$5+C178*Portfolio!$D$6+D178*Portfolio!$D$7+E178*Portfolio!$D$8+F178*Portfolio!$D$9</f>
        <v>1.2155674874984143E-3</v>
      </c>
      <c r="H178" s="27">
        <f>IFERROR('Price Data'!G178/'Price Data'!G177-1,0)</f>
        <v>3.8413452699443962E-3</v>
      </c>
    </row>
    <row r="179" spans="1:8" ht="15">
      <c r="A179" s="25">
        <f>'Price Data'!A179</f>
        <v>45183</v>
      </c>
      <c r="B179" s="27">
        <f>IFERROR('Price Data'!B179/'Price Data'!B178-1,0)</f>
        <v>9.1795511536174601E-4</v>
      </c>
      <c r="C179" s="27">
        <f>IFERROR('Price Data'!C179/'Price Data'!C178-1,0)</f>
        <v>-6.08300054160682E-4</v>
      </c>
      <c r="D179" s="27">
        <f>IFERROR('Price Data'!D179/'Price Data'!D178-1,0)</f>
        <v>-2.186203689137578E-3</v>
      </c>
      <c r="E179" s="27">
        <f>IFERROR('Price Data'!E179/'Price Data'!E178-1,0)</f>
        <v>-2.1215450388343271E-3</v>
      </c>
      <c r="F179" s="27">
        <f>IFERROR('Price Data'!F179/'Price Data'!F178-1,0)</f>
        <v>5.7397169337634057E-3</v>
      </c>
      <c r="G179" s="27">
        <f>B179*Portfolio!$D$5+C179*Portfolio!$D$6+D179*Portfolio!$D$7+E179*Portfolio!$D$8+F179*Portfolio!$D$9</f>
        <v>1.8289881171211226E-4</v>
      </c>
      <c r="H179" s="27">
        <f>IFERROR('Price Data'!G179/'Price Data'!G178-1,0)</f>
        <v>1.6492082399102159E-3</v>
      </c>
    </row>
    <row r="180" spans="1:8" ht="15">
      <c r="A180" s="25">
        <f>'Price Data'!A180</f>
        <v>45184</v>
      </c>
      <c r="B180" s="27">
        <f>IFERROR('Price Data'!B180/'Price Data'!B179-1,0)</f>
        <v>1.8546716928957707E-3</v>
      </c>
      <c r="C180" s="27">
        <f>IFERROR('Price Data'!C180/'Price Data'!C179-1,0)</f>
        <v>1.1473559467337413E-2</v>
      </c>
      <c r="D180" s="27">
        <f>IFERROR('Price Data'!D180/'Price Data'!D179-1,0)</f>
        <v>1.0744182092890187E-2</v>
      </c>
      <c r="E180" s="27">
        <f>IFERROR('Price Data'!E180/'Price Data'!E179-1,0)</f>
        <v>4.8091565224714916E-3</v>
      </c>
      <c r="F180" s="27">
        <f>IFERROR('Price Data'!F180/'Price Data'!F179-1,0)</f>
        <v>3.0856497298286101E-3</v>
      </c>
      <c r="G180" s="27">
        <f>B180*Portfolio!$D$5+C180*Portfolio!$D$6+D180*Portfolio!$D$7+E180*Portfolio!$D$8+F180*Portfolio!$D$9</f>
        <v>6.6651151464813497E-3</v>
      </c>
      <c r="H180" s="27">
        <f>IFERROR('Price Data'!G180/'Price Data'!G179-1,0)</f>
        <v>4.4396138771742866E-3</v>
      </c>
    </row>
    <row r="181" spans="1:8" ht="15">
      <c r="A181" s="25">
        <f>'Price Data'!A181</f>
        <v>45187</v>
      </c>
      <c r="B181" s="27">
        <f>IFERROR('Price Data'!B181/'Price Data'!B180-1,0)</f>
        <v>-8.7069017861558518E-3</v>
      </c>
      <c r="C181" s="27">
        <f>IFERROR('Price Data'!C181/'Price Data'!C180-1,0)</f>
        <v>-1.9678067512090003E-2</v>
      </c>
      <c r="D181" s="27">
        <f>IFERROR('Price Data'!D181/'Price Data'!D180-1,0)</f>
        <v>2.1816212861207607E-3</v>
      </c>
      <c r="E181" s="27">
        <f>IFERROR('Price Data'!E181/'Price Data'!E180-1,0)</f>
        <v>-2.2671481913570934E-3</v>
      </c>
      <c r="F181" s="27">
        <f>IFERROR('Price Data'!F181/'Price Data'!F180-1,0)</f>
        <v>-1.3098724559562624E-2</v>
      </c>
      <c r="G181" s="27">
        <f>B181*Portfolio!$D$5+C181*Portfolio!$D$6+D181*Portfolio!$D$7+E181*Portfolio!$D$8+F181*Portfolio!$D$9</f>
        <v>-8.9647989799752706E-3</v>
      </c>
      <c r="H181" s="27">
        <f>IFERROR('Price Data'!G181/'Price Data'!G180-1,0)</f>
        <v>-2.9243168460981739E-3</v>
      </c>
    </row>
    <row r="182" spans="1:8" ht="15">
      <c r="A182" s="25">
        <f>'Price Data'!A182</f>
        <v>45189</v>
      </c>
      <c r="B182" s="27">
        <f>IFERROR('Price Data'!B182/'Price Data'!B181-1,0)</f>
        <v>-2.2286460966342903E-2</v>
      </c>
      <c r="C182" s="27">
        <f>IFERROR('Price Data'!C182/'Price Data'!C181-1,0)</f>
        <v>-4.0115456737921384E-2</v>
      </c>
      <c r="D182" s="27">
        <f>IFERROR('Price Data'!D182/'Price Data'!D181-1,0)</f>
        <v>-2.7775083578207571E-5</v>
      </c>
      <c r="E182" s="27">
        <f>IFERROR('Price Data'!E182/'Price Data'!E181-1,0)</f>
        <v>-3.0801660113313201E-3</v>
      </c>
      <c r="F182" s="27">
        <f>IFERROR('Price Data'!F182/'Price Data'!F181-1,0)</f>
        <v>-1.038935481036285E-3</v>
      </c>
      <c r="G182" s="27">
        <f>B182*Portfolio!$D$5+C182*Portfolio!$D$6+D182*Portfolio!$D$7+E182*Portfolio!$D$8+F182*Portfolio!$D$9</f>
        <v>-1.6223899666636853E-2</v>
      </c>
      <c r="H182" s="27">
        <f>IFERROR('Price Data'!G182/'Price Data'!G181-1,0)</f>
        <v>-1.1518249945432046E-2</v>
      </c>
    </row>
    <row r="183" spans="1:8" ht="15">
      <c r="A183" s="25">
        <f>'Price Data'!A183</f>
        <v>45190</v>
      </c>
      <c r="B183" s="27">
        <f>IFERROR('Price Data'!B183/'Price Data'!B182-1,0)</f>
        <v>-7.2833557185788544E-3</v>
      </c>
      <c r="C183" s="27">
        <f>IFERROR('Price Data'!C183/'Price Data'!C182-1,0)</f>
        <v>-6.618863491912319E-3</v>
      </c>
      <c r="D183" s="27">
        <f>IFERROR('Price Data'!D183/'Price Data'!D182-1,0)</f>
        <v>-5.7541820575807145E-3</v>
      </c>
      <c r="E183" s="27">
        <f>IFERROR('Price Data'!E183/'Price Data'!E182-1,0)</f>
        <v>-2.8212545789864985E-2</v>
      </c>
      <c r="F183" s="27">
        <f>IFERROR('Price Data'!F183/'Price Data'!F182-1,0)</f>
        <v>7.7167007606315785E-3</v>
      </c>
      <c r="G183" s="27">
        <f>B183*Portfolio!$D$5+C183*Portfolio!$D$6+D183*Portfolio!$D$7+E183*Portfolio!$D$8+F183*Portfolio!$D$9</f>
        <v>-7.7007679685239458E-3</v>
      </c>
      <c r="H183" s="27">
        <f>IFERROR('Price Data'!G183/'Price Data'!G182-1,0)</f>
        <v>-7.9919391664983186E-3</v>
      </c>
    </row>
    <row r="184" spans="1:8" ht="15">
      <c r="A184" s="25">
        <f>'Price Data'!A184</f>
        <v>45191</v>
      </c>
      <c r="B184" s="27">
        <f>IFERROR('Price Data'!B184/'Price Data'!B183-1,0)</f>
        <v>-4.1652717995269706E-3</v>
      </c>
      <c r="C184" s="27">
        <f>IFERROR('Price Data'!C184/'Price Data'!C183-1,0)</f>
        <v>-1.5257291418574792E-2</v>
      </c>
      <c r="D184" s="27">
        <f>IFERROR('Price Data'!D184/'Price Data'!D183-1,0)</f>
        <v>5.1181202110730517E-3</v>
      </c>
      <c r="E184" s="27">
        <f>IFERROR('Price Data'!E184/'Price Data'!E183-1,0)</f>
        <v>-9.3818420312188344E-3</v>
      </c>
      <c r="F184" s="27">
        <f>IFERROR('Price Data'!F184/'Price Data'!F183-1,0)</f>
        <v>-3.7289142341684345E-3</v>
      </c>
      <c r="G184" s="27">
        <f>B184*Portfolio!$D$5+C184*Portfolio!$D$6+D184*Portfolio!$D$7+E184*Portfolio!$D$8+F184*Portfolio!$D$9</f>
        <v>-5.7986302021189205E-3</v>
      </c>
      <c r="H184" s="27">
        <f>IFERROR('Price Data'!G184/'Price Data'!G183-1,0)</f>
        <v>-3.449417659114995E-3</v>
      </c>
    </row>
    <row r="185" spans="1:8" ht="15">
      <c r="A185" s="25">
        <f>'Price Data'!A185</f>
        <v>45194</v>
      </c>
      <c r="B185" s="27">
        <f>IFERROR('Price Data'!B185/'Price Data'!B184-1,0)</f>
        <v>-6.1573156642803495E-3</v>
      </c>
      <c r="C185" s="27">
        <f>IFERROR('Price Data'!C185/'Price Data'!C184-1,0)</f>
        <v>8.8250778559562093E-4</v>
      </c>
      <c r="D185" s="27">
        <f>IFERROR('Price Data'!D185/'Price Data'!D184-1,0)</f>
        <v>-7.3536021185209854E-3</v>
      </c>
      <c r="E185" s="27">
        <f>IFERROR('Price Data'!E185/'Price Data'!E184-1,0)</f>
        <v>6.3663685698120975E-3</v>
      </c>
      <c r="F185" s="27">
        <f>IFERROR('Price Data'!F185/'Price Data'!F184-1,0)</f>
        <v>-1.470450151656455E-2</v>
      </c>
      <c r="G185" s="27">
        <f>B185*Portfolio!$D$5+C185*Portfolio!$D$6+D185*Portfolio!$D$7+E185*Portfolio!$D$8+F185*Portfolio!$D$9</f>
        <v>-4.0401423353882467E-3</v>
      </c>
      <c r="H185" s="27">
        <f>IFERROR('Price Data'!G185/'Price Data'!G184-1,0)</f>
        <v>1.5288066889551644E-5</v>
      </c>
    </row>
    <row r="186" spans="1:8" ht="15">
      <c r="A186" s="25">
        <f>'Price Data'!A186</f>
        <v>45195</v>
      </c>
      <c r="B186" s="27">
        <f>IFERROR('Price Data'!B186/'Price Data'!B185-1,0)</f>
        <v>8.7592668017566488E-4</v>
      </c>
      <c r="C186" s="27">
        <f>IFERROR('Price Data'!C186/'Price Data'!C185-1,0)</f>
        <v>4.3436155995120185E-3</v>
      </c>
      <c r="D186" s="27">
        <f>IFERROR('Price Data'!D186/'Price Data'!D185-1,0)</f>
        <v>2.3900005130896851E-3</v>
      </c>
      <c r="E186" s="27">
        <f>IFERROR('Price Data'!E186/'Price Data'!E185-1,0)</f>
        <v>-7.9990804446792296E-3</v>
      </c>
      <c r="F186" s="27">
        <f>IFERROR('Price Data'!F186/'Price Data'!F185-1,0)</f>
        <v>-9.1577278727988931E-3</v>
      </c>
      <c r="G186" s="27">
        <f>B186*Portfolio!$D$5+C186*Portfolio!$D$6+D186*Portfolio!$D$7+E186*Portfolio!$D$8+F186*Portfolio!$D$9</f>
        <v>-7.9063557508186042E-4</v>
      </c>
      <c r="H186" s="27">
        <f>IFERROR('Price Data'!G186/'Price Data'!G185-1,0)</f>
        <v>-5.0072617207552739E-4</v>
      </c>
    </row>
    <row r="187" spans="1:8" ht="15">
      <c r="A187" s="25">
        <f>'Price Data'!A187</f>
        <v>45196</v>
      </c>
      <c r="B187" s="27">
        <f>IFERROR('Price Data'!B187/'Price Data'!B186-1,0)</f>
        <v>1.1270125544390774E-2</v>
      </c>
      <c r="C187" s="27">
        <f>IFERROR('Price Data'!C187/'Price Data'!C186-1,0)</f>
        <v>-7.0237451119320449E-3</v>
      </c>
      <c r="D187" s="27">
        <f>IFERROR('Price Data'!D187/'Price Data'!D186-1,0)</f>
        <v>1.0041199675228096E-3</v>
      </c>
      <c r="E187" s="27">
        <f>IFERROR('Price Data'!E187/'Price Data'!E186-1,0)</f>
        <v>-5.9028962065365009E-3</v>
      </c>
      <c r="F187" s="27">
        <f>IFERROR('Price Data'!F187/'Price Data'!F186-1,0)</f>
        <v>4.3472525518200023E-3</v>
      </c>
      <c r="G187" s="27">
        <f>B187*Portfolio!$D$5+C187*Portfolio!$D$6+D187*Portfolio!$D$7+E187*Portfolio!$D$8+F187*Portfolio!$D$9</f>
        <v>1.0290725534117696E-3</v>
      </c>
      <c r="H187" s="27">
        <f>IFERROR('Price Data'!G187/'Price Data'!G186-1,0)</f>
        <v>2.631619198663282E-3</v>
      </c>
    </row>
    <row r="188" spans="1:8" ht="15">
      <c r="A188" s="25">
        <f>'Price Data'!A188</f>
        <v>45197</v>
      </c>
      <c r="B188" s="27">
        <f>IFERROR('Price Data'!B188/'Price Data'!B187-1,0)</f>
        <v>-1.4690325779737057E-2</v>
      </c>
      <c r="C188" s="27">
        <f>IFERROR('Price Data'!C188/'Price Data'!C187-1,0)</f>
        <v>-2.0630724558494684E-3</v>
      </c>
      <c r="D188" s="27">
        <f>IFERROR('Price Data'!D188/'Price Data'!D187-1,0)</f>
        <v>-1.4640725560130075E-2</v>
      </c>
      <c r="E188" s="27">
        <f>IFERROR('Price Data'!E188/'Price Data'!E187-1,0)</f>
        <v>-5.3010808705900025E-4</v>
      </c>
      <c r="F188" s="27">
        <f>IFERROR('Price Data'!F188/'Price Data'!F187-1,0)</f>
        <v>-1.8779634290899017E-2</v>
      </c>
      <c r="G188" s="27">
        <f>B188*Portfolio!$D$5+C188*Portfolio!$D$6+D188*Portfolio!$D$7+E188*Portfolio!$D$8+F188*Portfolio!$D$9</f>
        <v>-1.0012956027616348E-2</v>
      </c>
      <c r="H188" s="27">
        <f>IFERROR('Price Data'!G188/'Price Data'!G187-1,0)</f>
        <v>-9.7836296667737077E-3</v>
      </c>
    </row>
    <row r="189" spans="1:8" ht="15">
      <c r="A189" s="25">
        <f>'Price Data'!A189</f>
        <v>45198</v>
      </c>
      <c r="B189" s="27">
        <f>IFERROR('Price Data'!B189/'Price Data'!B188-1,0)</f>
        <v>4.6698500490549577E-3</v>
      </c>
      <c r="C189" s="27">
        <f>IFERROR('Price Data'!C189/'Price Data'!C188-1,0)</f>
        <v>1.706396405381172E-3</v>
      </c>
      <c r="D189" s="27">
        <f>IFERROR('Price Data'!D189/'Price Data'!D188-1,0)</f>
        <v>-2.3044728661425484E-3</v>
      </c>
      <c r="E189" s="27">
        <f>IFERROR('Price Data'!E189/'Price Data'!E188-1,0)</f>
        <v>9.8663325633399079E-3</v>
      </c>
      <c r="F189" s="27">
        <f>IFERROR('Price Data'!F189/'Price Data'!F188-1,0)</f>
        <v>-2.7789074844353223E-3</v>
      </c>
      <c r="G189" s="27">
        <f>B189*Portfolio!$D$5+C189*Portfolio!$D$6+D189*Portfolio!$D$7+E189*Portfolio!$D$8+F189*Portfolio!$D$9</f>
        <v>2.1962808022162102E-3</v>
      </c>
      <c r="H189" s="27">
        <f>IFERROR('Price Data'!G189/'Price Data'!G188-1,0)</f>
        <v>5.8775169171687569E-3</v>
      </c>
    </row>
    <row r="190" spans="1:8" ht="15">
      <c r="A190" s="25">
        <f>'Price Data'!A190</f>
        <v>45202</v>
      </c>
      <c r="B190" s="27">
        <f>IFERROR('Price Data'!B190/'Price Data'!B189-1,0)</f>
        <v>-1.1449981929621433E-2</v>
      </c>
      <c r="C190" s="27">
        <f>IFERROR('Price Data'!C190/'Price Data'!C189-1,0)</f>
        <v>-1.1957001734727912E-2</v>
      </c>
      <c r="D190" s="27">
        <f>IFERROR('Price Data'!D190/'Price Data'!D189-1,0)</f>
        <v>-4.1799934517033899E-3</v>
      </c>
      <c r="E190" s="27">
        <f>IFERROR('Price Data'!E190/'Price Data'!E189-1,0)</f>
        <v>-1.2186192826510456E-2</v>
      </c>
      <c r="F190" s="27">
        <f>IFERROR('Price Data'!F190/'Price Data'!F189-1,0)</f>
        <v>-1.0101751284918858E-3</v>
      </c>
      <c r="G190" s="27">
        <f>B190*Portfolio!$D$5+C190*Portfolio!$D$6+D190*Portfolio!$D$7+E190*Portfolio!$D$8+F190*Portfolio!$D$9</f>
        <v>-8.6671997996783656E-3</v>
      </c>
      <c r="H190" s="27">
        <f>IFERROR('Price Data'!G190/'Price Data'!G189-1,0)</f>
        <v>-5.5784246544688942E-3</v>
      </c>
    </row>
    <row r="191" spans="1:8" ht="15">
      <c r="A191" s="25">
        <f>'Price Data'!A191</f>
        <v>45203</v>
      </c>
      <c r="B191" s="27">
        <f>IFERROR('Price Data'!B191/'Price Data'!B190-1,0)</f>
        <v>-1.7254313098632457E-3</v>
      </c>
      <c r="C191" s="27">
        <f>IFERROR('Price Data'!C191/'Price Data'!C190-1,0)</f>
        <v>1.4256769277172898E-2</v>
      </c>
      <c r="D191" s="27">
        <f>IFERROR('Price Data'!D191/'Price Data'!D190-1,0)</f>
        <v>6.8015462870250065E-3</v>
      </c>
      <c r="E191" s="27">
        <f>IFERROR('Price Data'!E191/'Price Data'!E190-1,0)</f>
        <v>-1.090079614446382E-2</v>
      </c>
      <c r="F191" s="27">
        <f>IFERROR('Price Data'!F191/'Price Data'!F190-1,0)</f>
        <v>7.2175129110729763E-3</v>
      </c>
      <c r="G191" s="27">
        <f>B191*Portfolio!$D$5+C191*Portfolio!$D$6+D191*Portfolio!$D$7+E191*Portfolio!$D$8+F191*Portfolio!$D$9</f>
        <v>3.9406512642237886E-3</v>
      </c>
      <c r="H191" s="27">
        <f>IFERROR('Price Data'!G191/'Price Data'!G190-1,0)</f>
        <v>-4.7443072713306833E-3</v>
      </c>
    </row>
    <row r="192" spans="1:8" ht="15">
      <c r="A192" s="25">
        <f>'Price Data'!A192</f>
        <v>45204</v>
      </c>
      <c r="B192" s="27">
        <f>IFERROR('Price Data'!B192/'Price Data'!B191-1,0)</f>
        <v>-2.1567799659449882E-5</v>
      </c>
      <c r="C192" s="27">
        <f>IFERROR('Price Data'!C192/'Price Data'!C191-1,0)</f>
        <v>4.0535170265385556E-3</v>
      </c>
      <c r="D192" s="27">
        <f>IFERROR('Price Data'!D192/'Price Data'!D191-1,0)</f>
        <v>1.4585624592731161E-2</v>
      </c>
      <c r="E192" s="27">
        <f>IFERROR('Price Data'!E192/'Price Data'!E191-1,0)</f>
        <v>1.1612240687605802E-2</v>
      </c>
      <c r="F192" s="27">
        <f>IFERROR('Price Data'!F192/'Price Data'!F191-1,0)</f>
        <v>1.3223962452786786E-2</v>
      </c>
      <c r="G192" s="27">
        <f>B192*Portfolio!$D$5+C192*Portfolio!$D$6+D192*Portfolio!$D$7+E192*Portfolio!$D$8+F192*Portfolio!$D$9</f>
        <v>7.6505426963248968E-3</v>
      </c>
      <c r="H192" s="27">
        <f>IFERROR('Price Data'!G192/'Price Data'!G191-1,0)</f>
        <v>5.6415841052857019E-3</v>
      </c>
    </row>
    <row r="193" spans="1:8" ht="15">
      <c r="A193" s="25">
        <f>'Price Data'!A193</f>
        <v>45205</v>
      </c>
      <c r="B193" s="27">
        <f>IFERROR('Price Data'!B193/'Price Data'!B192-1,0)</f>
        <v>1.685207544365408E-3</v>
      </c>
      <c r="C193" s="27">
        <f>IFERROR('Price Data'!C193/'Price Data'!C192-1,0)</f>
        <v>-1.1068674091715414E-3</v>
      </c>
      <c r="D193" s="27">
        <f>IFERROR('Price Data'!D193/'Price Data'!D192-1,0)</f>
        <v>8.9291817197652001E-3</v>
      </c>
      <c r="E193" s="27">
        <f>IFERROR('Price Data'!E193/'Price Data'!E192-1,0)</f>
        <v>4.6236093335945139E-3</v>
      </c>
      <c r="F193" s="27">
        <f>IFERROR('Price Data'!F193/'Price Data'!F192-1,0)</f>
        <v>1.0420633029434967E-2</v>
      </c>
      <c r="G193" s="27">
        <f>B193*Portfolio!$D$5+C193*Portfolio!$D$6+D193*Portfolio!$D$7+E193*Portfolio!$D$8+F193*Portfolio!$D$9</f>
        <v>4.1870577322059288E-3</v>
      </c>
      <c r="H193" s="27">
        <f>IFERROR('Price Data'!G193/'Price Data'!G192-1,0)</f>
        <v>5.5127073660514725E-3</v>
      </c>
    </row>
    <row r="194" spans="1:8" ht="15">
      <c r="A194" s="25">
        <f>'Price Data'!A194</f>
        <v>45208</v>
      </c>
      <c r="B194" s="27">
        <f>IFERROR('Price Data'!B194/'Price Data'!B193-1,0)</f>
        <v>-8.5201614472047993E-3</v>
      </c>
      <c r="C194" s="27">
        <f>IFERROR('Price Data'!C194/'Price Data'!C193-1,0)</f>
        <v>-1.160340708548524E-2</v>
      </c>
      <c r="D194" s="27">
        <f>IFERROR('Price Data'!D194/'Price Data'!D193-1,0)</f>
        <v>4.6804747869386709E-3</v>
      </c>
      <c r="E194" s="27">
        <f>IFERROR('Price Data'!E194/'Price Data'!E193-1,0)</f>
        <v>-6.9826802410777322E-3</v>
      </c>
      <c r="F194" s="27">
        <f>IFERROR('Price Data'!F194/'Price Data'!F193-1,0)</f>
        <v>-2.1979080945574436E-3</v>
      </c>
      <c r="G194" s="27">
        <f>B194*Portfolio!$D$5+C194*Portfolio!$D$6+D194*Portfolio!$D$7+E194*Portfolio!$D$8+F194*Portfolio!$D$9</f>
        <v>-5.4718854261300515E-3</v>
      </c>
      <c r="H194" s="27">
        <f>IFERROR('Price Data'!G194/'Price Data'!G193-1,0)</f>
        <v>-7.1819467588469799E-3</v>
      </c>
    </row>
    <row r="195" spans="1:8" ht="15">
      <c r="A195" s="25">
        <f>'Price Data'!A195</f>
        <v>45209</v>
      </c>
      <c r="B195" s="27">
        <f>IFERROR('Price Data'!B195/'Price Data'!B194-1,0)</f>
        <v>4.4162940371537118E-3</v>
      </c>
      <c r="C195" s="27">
        <f>IFERROR('Price Data'!C195/'Price Data'!C194-1,0)</f>
        <v>5.6719346602542853E-3</v>
      </c>
      <c r="D195" s="27">
        <f>IFERROR('Price Data'!D195/'Price Data'!D194-1,0)</f>
        <v>-2.5974159094287463E-3</v>
      </c>
      <c r="E195" s="27">
        <f>IFERROR('Price Data'!E195/'Price Data'!E194-1,0)</f>
        <v>1.3424236924440613E-2</v>
      </c>
      <c r="F195" s="27">
        <f>IFERROR('Price Data'!F195/'Price Data'!F194-1,0)</f>
        <v>1.3351906926147628E-2</v>
      </c>
      <c r="G195" s="27">
        <f>B195*Portfolio!$D$5+C195*Portfolio!$D$6+D195*Portfolio!$D$7+E195*Portfolio!$D$8+F195*Portfolio!$D$9</f>
        <v>6.0189955700544855E-3</v>
      </c>
      <c r="H195" s="27">
        <f>IFERROR('Price Data'!G195/'Price Data'!G194-1,0)</f>
        <v>9.0968029762401592E-3</v>
      </c>
    </row>
    <row r="196" spans="1:8" ht="15">
      <c r="A196" s="25">
        <f>'Price Data'!A196</f>
        <v>45210</v>
      </c>
      <c r="B196" s="27">
        <f>IFERROR('Price Data'!B196/'Price Data'!B195-1,0)</f>
        <v>1.5876835233922471E-2</v>
      </c>
      <c r="C196" s="27">
        <f>IFERROR('Price Data'!C196/'Price Data'!C195-1,0)</f>
        <v>9.6730997100686889E-3</v>
      </c>
      <c r="D196" s="27">
        <f>IFERROR('Price Data'!D196/'Price Data'!D195-1,0)</f>
        <v>-5.2355940233348441E-3</v>
      </c>
      <c r="E196" s="27">
        <f>IFERROR('Price Data'!E196/'Price Data'!E195-1,0)</f>
        <v>1.997439400993839E-3</v>
      </c>
      <c r="F196" s="27">
        <f>IFERROR('Price Data'!F196/'Price Data'!F195-1,0)</f>
        <v>-5.015669817621804E-4</v>
      </c>
      <c r="G196" s="27">
        <f>B196*Portfolio!$D$5+C196*Portfolio!$D$6+D196*Portfolio!$D$7+E196*Portfolio!$D$8+F196*Portfolio!$D$9</f>
        <v>5.5647457942155695E-3</v>
      </c>
      <c r="H196" s="27">
        <f>IFERROR('Price Data'!G196/'Price Data'!G195-1,0)</f>
        <v>6.1706921287072447E-3</v>
      </c>
    </row>
    <row r="197" spans="1:8" ht="15">
      <c r="A197" s="25">
        <f>'Price Data'!A197</f>
        <v>45211</v>
      </c>
      <c r="B197" s="27">
        <f>IFERROR('Price Data'!B197/'Price Data'!B196-1,0)</f>
        <v>1.8548348349867183E-3</v>
      </c>
      <c r="C197" s="27">
        <f>IFERROR('Price Data'!C197/'Price Data'!C196-1,0)</f>
        <v>6.6575527809082935E-3</v>
      </c>
      <c r="D197" s="27">
        <f>IFERROR('Price Data'!D197/'Price Data'!D196-1,0)</f>
        <v>-1.8657051515966194E-2</v>
      </c>
      <c r="E197" s="27">
        <f>IFERROR('Price Data'!E197/'Price Data'!E196-1,0)</f>
        <v>1.2066058317241612E-3</v>
      </c>
      <c r="F197" s="27">
        <f>IFERROR('Price Data'!F197/'Price Data'!F196-1,0)</f>
        <v>-1.9339008999245677E-2</v>
      </c>
      <c r="G197" s="27">
        <f>B197*Portfolio!$D$5+C197*Portfolio!$D$6+D197*Portfolio!$D$7+E197*Portfolio!$D$8+F197*Portfolio!$D$9</f>
        <v>-4.3231738743477136E-3</v>
      </c>
      <c r="H197" s="27">
        <f>IFERROR('Price Data'!G197/'Price Data'!G196-1,0)</f>
        <v>-8.7574091200681714E-4</v>
      </c>
    </row>
    <row r="198" spans="1:8" ht="15">
      <c r="A198" s="25">
        <f>'Price Data'!A198</f>
        <v>45212</v>
      </c>
      <c r="B198" s="27">
        <f>IFERROR('Price Data'!B198/'Price Data'!B197-1,0)</f>
        <v>-4.2383237860654788E-5</v>
      </c>
      <c r="C198" s="27">
        <f>IFERROR('Price Data'!C198/'Price Data'!C197-1,0)</f>
        <v>-9.0976450850738244E-3</v>
      </c>
      <c r="D198" s="27">
        <f>IFERROR('Price Data'!D198/'Price Data'!D197-1,0)</f>
        <v>7.9884576994113665E-3</v>
      </c>
      <c r="E198" s="27">
        <f>IFERROR('Price Data'!E198/'Price Data'!E197-1,0)</f>
        <v>-3.0914760709324085E-3</v>
      </c>
      <c r="F198" s="27">
        <f>IFERROR('Price Data'!F198/'Price Data'!F197-1,0)</f>
        <v>-2.3438988524277504E-2</v>
      </c>
      <c r="G198" s="27">
        <f>B198*Portfolio!$D$5+C198*Portfolio!$D$6+D198*Portfolio!$D$7+E198*Portfolio!$D$8+F198*Portfolio!$D$9</f>
        <v>-4.6668852301328338E-3</v>
      </c>
      <c r="H198" s="27">
        <f>IFERROR('Price Data'!G198/'Price Data'!G197-1,0)</f>
        <v>-2.1698099802970328E-3</v>
      </c>
    </row>
    <row r="199" spans="1:8" ht="15">
      <c r="A199" s="25">
        <f>'Price Data'!A199</f>
        <v>45215</v>
      </c>
      <c r="B199" s="27">
        <f>IFERROR('Price Data'!B199/'Price Data'!B198-1,0)</f>
        <v>-2.234732526769645E-3</v>
      </c>
      <c r="C199" s="27">
        <f>IFERROR('Price Data'!C199/'Price Data'!C198-1,0)</f>
        <v>-4.0046120858897583E-3</v>
      </c>
      <c r="D199" s="27">
        <f>IFERROR('Price Data'!D199/'Price Data'!D198-1,0)</f>
        <v>-1.3106054496759612E-2</v>
      </c>
      <c r="E199" s="27">
        <f>IFERROR('Price Data'!E199/'Price Data'!E198-1,0)</f>
        <v>1.0518598878284102E-4</v>
      </c>
      <c r="F199" s="27">
        <f>IFERROR('Price Data'!F199/'Price Data'!F198-1,0)</f>
        <v>2.096080497291597E-3</v>
      </c>
      <c r="G199" s="27">
        <f>B199*Portfolio!$D$5+C199*Portfolio!$D$6+D199*Portfolio!$D$7+E199*Portfolio!$D$8+F199*Portfolio!$D$9</f>
        <v>-3.8508570796056073E-3</v>
      </c>
      <c r="H199" s="27">
        <f>IFERROR('Price Data'!G199/'Price Data'!G198-1,0)</f>
        <v>-9.772027556287366E-4</v>
      </c>
    </row>
    <row r="200" spans="1:8" ht="15">
      <c r="A200" s="25">
        <f>'Price Data'!A200</f>
        <v>45216</v>
      </c>
      <c r="B200" s="27">
        <f>IFERROR('Price Data'!B200/'Price Data'!B199-1,0)</f>
        <v>4.7779947453441274E-3</v>
      </c>
      <c r="C200" s="27">
        <f>IFERROR('Price Data'!C200/'Price Data'!C199-1,0)</f>
        <v>7.5836147049332947E-3</v>
      </c>
      <c r="D200" s="27">
        <f>IFERROR('Price Data'!D200/'Price Data'!D199-1,0)</f>
        <v>-4.8238305924214187E-3</v>
      </c>
      <c r="E200" s="27">
        <f>IFERROR('Price Data'!E200/'Price Data'!E199-1,0)</f>
        <v>2.6276778282714464E-3</v>
      </c>
      <c r="F200" s="27">
        <f>IFERROR('Price Data'!F200/'Price Data'!F199-1,0)</f>
        <v>5.7875530186541901E-3</v>
      </c>
      <c r="G200" s="27">
        <f>B200*Portfolio!$D$5+C200*Portfolio!$D$6+D200*Portfolio!$D$7+E200*Portfolio!$D$8+F200*Portfolio!$D$9</f>
        <v>3.3879208711239169E-3</v>
      </c>
      <c r="H200" s="27">
        <f>IFERROR('Price Data'!G200/'Price Data'!G199-1,0)</f>
        <v>4.0417094276989918E-3</v>
      </c>
    </row>
    <row r="201" spans="1:8" ht="15">
      <c r="A201" s="25">
        <f>'Price Data'!A201</f>
        <v>45217</v>
      </c>
      <c r="B201" s="27">
        <f>IFERROR('Price Data'!B201/'Price Data'!B200-1,0)</f>
        <v>-1.3268251149556654E-2</v>
      </c>
      <c r="C201" s="27">
        <f>IFERROR('Price Data'!C201/'Price Data'!C200-1,0)</f>
        <v>-1.3917694064672914E-2</v>
      </c>
      <c r="D201" s="27">
        <f>IFERROR('Price Data'!D201/'Price Data'!D200-1,0)</f>
        <v>-5.6459793010382731E-3</v>
      </c>
      <c r="E201" s="27">
        <f>IFERROR('Price Data'!E201/'Price Data'!E200-1,0)</f>
        <v>-1.0640481342690022E-2</v>
      </c>
      <c r="F201" s="27">
        <f>IFERROR('Price Data'!F201/'Price Data'!F200-1,0)</f>
        <v>-1.317356747220888E-3</v>
      </c>
      <c r="G201" s="27">
        <f>B201*Portfolio!$D$5+C201*Portfolio!$D$6+D201*Portfolio!$D$7+E201*Portfolio!$D$8+F201*Portfolio!$D$9</f>
        <v>-9.7193578772516841E-3</v>
      </c>
      <c r="H201" s="27">
        <f>IFERROR('Price Data'!G201/'Price Data'!G200-1,0)</f>
        <v>-7.0868127413371562E-3</v>
      </c>
    </row>
    <row r="202" spans="1:8" ht="15">
      <c r="A202" s="25">
        <f>'Price Data'!A202</f>
        <v>45218</v>
      </c>
      <c r="B202" s="27">
        <f>IFERROR('Price Data'!B202/'Price Data'!B201-1,0)</f>
        <v>-7.680679691565051E-3</v>
      </c>
      <c r="C202" s="27">
        <f>IFERROR('Price Data'!C202/'Price Data'!C201-1,0)</f>
        <v>-3.1584325712142869E-3</v>
      </c>
      <c r="D202" s="27">
        <f>IFERROR('Price Data'!D202/'Price Data'!D201-1,0)</f>
        <v>-6.4974573688865167E-3</v>
      </c>
      <c r="E202" s="27">
        <f>IFERROR('Price Data'!E202/'Price Data'!E201-1,0)</f>
        <v>-8.476873029773957E-3</v>
      </c>
      <c r="F202" s="27">
        <f>IFERROR('Price Data'!F202/'Price Data'!F201-1,0)</f>
        <v>-4.7897044686304735E-3</v>
      </c>
      <c r="G202" s="27">
        <f>B202*Portfolio!$D$5+C202*Portfolio!$D$6+D202*Portfolio!$D$7+E202*Portfolio!$D$8+F202*Portfolio!$D$9</f>
        <v>-5.9992561642328033E-3</v>
      </c>
      <c r="H202" s="27">
        <f>IFERROR('Price Data'!G202/'Price Data'!G201-1,0)</f>
        <v>-2.3588102112443998E-3</v>
      </c>
    </row>
    <row r="203" spans="1:8" ht="15">
      <c r="A203" s="25">
        <f>'Price Data'!A203</f>
        <v>45219</v>
      </c>
      <c r="B203" s="27">
        <f>IFERROR('Price Data'!B203/'Price Data'!B202-1,0)</f>
        <v>-3.0570735150484696E-3</v>
      </c>
      <c r="C203" s="27">
        <f>IFERROR('Price Data'!C203/'Price Data'!C202-1,0)</f>
        <v>5.1817439227039852E-3</v>
      </c>
      <c r="D203" s="27">
        <f>IFERROR('Price Data'!D203/'Price Data'!D202-1,0)</f>
        <v>1.1256883313576882E-2</v>
      </c>
      <c r="E203" s="27">
        <f>IFERROR('Price Data'!E203/'Price Data'!E202-1,0)</f>
        <v>-3.2059628429443876E-3</v>
      </c>
      <c r="F203" s="27">
        <f>IFERROR('Price Data'!F203/'Price Data'!F202-1,0)</f>
        <v>-4.4641277786149347E-3</v>
      </c>
      <c r="G203" s="27">
        <f>B203*Portfolio!$D$5+C203*Portfolio!$D$6+D203*Portfolio!$D$7+E203*Portfolio!$D$8+F203*Portfolio!$D$9</f>
        <v>1.6320306713953571E-3</v>
      </c>
      <c r="H203" s="27">
        <f>IFERROR('Price Data'!G203/'Price Data'!G202-1,0)</f>
        <v>-4.1808960845935994E-3</v>
      </c>
    </row>
    <row r="204" spans="1:8" ht="15">
      <c r="A204" s="25">
        <f>'Price Data'!A204</f>
        <v>45222</v>
      </c>
      <c r="B204" s="27">
        <f>IFERROR('Price Data'!B204/'Price Data'!B203-1,0)</f>
        <v>-1.5614886044486465E-2</v>
      </c>
      <c r="C204" s="27">
        <f>IFERROR('Price Data'!C204/'Price Data'!C203-1,0)</f>
        <v>-1.0999388197331927E-2</v>
      </c>
      <c r="D204" s="27">
        <f>IFERROR('Price Data'!D204/'Price Data'!D203-1,0)</f>
        <v>-2.4151869841925189E-2</v>
      </c>
      <c r="E204" s="27">
        <f>IFERROR('Price Data'!E204/'Price Data'!E203-1,0)</f>
        <v>-3.00185139109721E-3</v>
      </c>
      <c r="F204" s="27">
        <f>IFERROR('Price Data'!F204/'Price Data'!F203-1,0)</f>
        <v>-1.3032018705969817E-2</v>
      </c>
      <c r="G204" s="27">
        <f>B204*Portfolio!$D$5+C204*Portfolio!$D$6+D204*Portfolio!$D$7+E204*Portfolio!$D$8+F204*Portfolio!$D$9</f>
        <v>-1.3889023043399689E-2</v>
      </c>
      <c r="H204" s="27">
        <f>IFERROR('Price Data'!G204/'Price Data'!G203-1,0)</f>
        <v>-1.3350307425555652E-2</v>
      </c>
    </row>
    <row r="205" spans="1:8" ht="15">
      <c r="A205" s="25">
        <f>'Price Data'!A205</f>
        <v>45224</v>
      </c>
      <c r="B205" s="27">
        <f>IFERROR('Price Data'!B205/'Price Data'!B204-1,0)</f>
        <v>-2.319640753185026E-3</v>
      </c>
      <c r="C205" s="27">
        <f>IFERROR('Price Data'!C205/'Price Data'!C204-1,0)</f>
        <v>-6.3411446429719742E-3</v>
      </c>
      <c r="D205" s="27">
        <f>IFERROR('Price Data'!D205/'Price Data'!D204-1,0)</f>
        <v>-5.8794692061232556E-3</v>
      </c>
      <c r="E205" s="27">
        <f>IFERROR('Price Data'!E205/'Price Data'!E204-1,0)</f>
        <v>-1.4893347064617757E-2</v>
      </c>
      <c r="F205" s="27">
        <f>IFERROR('Price Data'!F205/'Price Data'!F204-1,0)</f>
        <v>-1.481329077450777E-2</v>
      </c>
      <c r="G205" s="27">
        <f>B205*Portfolio!$D$5+C205*Portfolio!$D$6+D205*Portfolio!$D$7+E205*Portfolio!$D$8+F205*Portfolio!$D$9</f>
        <v>-7.7970858661327302E-3</v>
      </c>
      <c r="H205" s="27">
        <f>IFERROR('Price Data'!G205/'Price Data'!G204-1,0)</f>
        <v>-8.2772367329210228E-3</v>
      </c>
    </row>
    <row r="206" spans="1:8" ht="15">
      <c r="A206" s="25">
        <f>'Price Data'!A206</f>
        <v>45225</v>
      </c>
      <c r="B206" s="27">
        <f>IFERROR('Price Data'!B206/'Price Data'!B205-1,0)</f>
        <v>-1.3928537075740377E-2</v>
      </c>
      <c r="C206" s="27">
        <f>IFERROR('Price Data'!C206/'Price Data'!C205-1,0)</f>
        <v>-2.211823972750715E-2</v>
      </c>
      <c r="D206" s="27">
        <f>IFERROR('Price Data'!D206/'Price Data'!D205-1,0)</f>
        <v>-1.5737113946241665E-2</v>
      </c>
      <c r="E206" s="27">
        <f>IFERROR('Price Data'!E206/'Price Data'!E205-1,0)</f>
        <v>-8.132210259325201E-3</v>
      </c>
      <c r="F206" s="27">
        <f>IFERROR('Price Data'!F206/'Price Data'!F205-1,0)</f>
        <v>-7.7369061309146003E-3</v>
      </c>
      <c r="G206" s="27">
        <f>B206*Portfolio!$D$5+C206*Portfolio!$D$6+D206*Portfolio!$D$7+E206*Portfolio!$D$8+F206*Portfolio!$D$9</f>
        <v>-1.4539484448596186E-2</v>
      </c>
      <c r="H206" s="27">
        <f>IFERROR('Price Data'!G206/'Price Data'!G205-1,0)</f>
        <v>-1.3853064912347501E-2</v>
      </c>
    </row>
    <row r="207" spans="1:8" ht="15">
      <c r="A207" s="25">
        <f>'Price Data'!A207</f>
        <v>45226</v>
      </c>
      <c r="B207" s="27">
        <f>IFERROR('Price Data'!B207/'Price Data'!B206-1,0)</f>
        <v>1.7651053253678883E-2</v>
      </c>
      <c r="C207" s="27">
        <f>IFERROR('Price Data'!C207/'Price Data'!C206-1,0)</f>
        <v>3.9292320086752319E-3</v>
      </c>
      <c r="D207" s="27">
        <f>IFERROR('Price Data'!D207/'Price Data'!D206-1,0)</f>
        <v>4.2557942057623865E-3</v>
      </c>
      <c r="E207" s="27">
        <f>IFERROR('Price Data'!E207/'Price Data'!E206-1,0)</f>
        <v>4.5121826747505089E-3</v>
      </c>
      <c r="F207" s="27">
        <f>IFERROR('Price Data'!F207/'Price Data'!F206-1,0)</f>
        <v>1.5373766719491311E-2</v>
      </c>
      <c r="G207" s="27">
        <f>B207*Portfolio!$D$5+C207*Portfolio!$D$6+D207*Portfolio!$D$7+E207*Portfolio!$D$8+F207*Portfolio!$D$9</f>
        <v>9.2291225658772784E-3</v>
      </c>
      <c r="H207" s="27">
        <f>IFERROR('Price Data'!G207/'Price Data'!G206-1,0)</f>
        <v>1.0075700327460302E-2</v>
      </c>
    </row>
    <row r="208" spans="1:8" ht="15">
      <c r="A208" s="25">
        <f>'Price Data'!A208</f>
        <v>45229</v>
      </c>
      <c r="B208" s="27">
        <f>IFERROR('Price Data'!B208/'Price Data'!B207-1,0)</f>
        <v>2.0610826539901428E-2</v>
      </c>
      <c r="C208" s="27">
        <f>IFERROR('Price Data'!C208/'Price Data'!C207-1,0)</f>
        <v>1.0856552893252713E-2</v>
      </c>
      <c r="D208" s="27">
        <f>IFERROR('Price Data'!D208/'Price Data'!D207-1,0)</f>
        <v>8.2363782517622663E-3</v>
      </c>
      <c r="E208" s="27">
        <f>IFERROR('Price Data'!E208/'Price Data'!E207-1,0)</f>
        <v>1.331140219417426E-2</v>
      </c>
      <c r="F208" s="27">
        <f>IFERROR('Price Data'!F208/'Price Data'!F207-1,0)</f>
        <v>-2.3906375906841415E-3</v>
      </c>
      <c r="G208" s="27">
        <f>B208*Portfolio!$D$5+C208*Portfolio!$D$6+D208*Portfolio!$D$7+E208*Portfolio!$D$8+F208*Portfolio!$D$9</f>
        <v>1.1152235199164504E-2</v>
      </c>
      <c r="H208" s="27">
        <f>IFERROR('Price Data'!G208/'Price Data'!G207-1,0)</f>
        <v>4.9167407696648624E-3</v>
      </c>
    </row>
    <row r="209" spans="1:8" ht="15">
      <c r="A209" s="25">
        <f>'Price Data'!A209</f>
        <v>45230</v>
      </c>
      <c r="B209" s="27">
        <f>IFERROR('Price Data'!B209/'Price Data'!B208-1,0)</f>
        <v>-1.0637840928906295E-2</v>
      </c>
      <c r="C209" s="27">
        <f>IFERROR('Price Data'!C209/'Price Data'!C208-1,0)</f>
        <v>-5.7908175637946258E-3</v>
      </c>
      <c r="D209" s="27">
        <f>IFERROR('Price Data'!D209/'Price Data'!D208-1,0)</f>
        <v>-2.9005806194375428E-3</v>
      </c>
      <c r="E209" s="27">
        <f>IFERROR('Price Data'!E209/'Price Data'!E208-1,0)</f>
        <v>-1.0325516874468144E-2</v>
      </c>
      <c r="F209" s="27">
        <f>IFERROR('Price Data'!F209/'Price Data'!F208-1,0)</f>
        <v>-6.2814197239849934E-3</v>
      </c>
      <c r="G209" s="27">
        <f>B209*Portfolio!$D$5+C209*Portfolio!$D$6+D209*Portfolio!$D$7+E209*Portfolio!$D$8+F209*Portfolio!$D$9</f>
        <v>-7.1783212368307092E-3</v>
      </c>
      <c r="H209" s="27">
        <f>IFERROR('Price Data'!G209/'Price Data'!G208-1,0)</f>
        <v>-3.2026069828995363E-3</v>
      </c>
    </row>
    <row r="210" spans="1:8" ht="15">
      <c r="A210" s="25">
        <f>'Price Data'!A210</f>
        <v>45231</v>
      </c>
      <c r="B210" s="27">
        <f>IFERROR('Price Data'!B210/'Price Data'!B209-1,0)</f>
        <v>4.1523504048512905E-3</v>
      </c>
      <c r="C210" s="27">
        <f>IFERROR('Price Data'!C210/'Price Data'!C209-1,0)</f>
        <v>-1.354533638247335E-3</v>
      </c>
      <c r="D210" s="27">
        <f>IFERROR('Price Data'!D210/'Price Data'!D209-1,0)</f>
        <v>-1.1309940091555615E-2</v>
      </c>
      <c r="E210" s="27">
        <f>IFERROR('Price Data'!E210/'Price Data'!E209-1,0)</f>
        <v>-1.4202416010153929E-3</v>
      </c>
      <c r="F210" s="27">
        <f>IFERROR('Price Data'!F210/'Price Data'!F209-1,0)</f>
        <v>-1.0413691034814709E-2</v>
      </c>
      <c r="G210" s="27">
        <f>B210*Portfolio!$D$5+C210*Portfolio!$D$6+D210*Portfolio!$D$7+E210*Portfolio!$D$8+F210*Portfolio!$D$9</f>
        <v>-3.3376237220346496E-3</v>
      </c>
      <c r="H210" s="27">
        <f>IFERROR('Price Data'!G210/'Price Data'!G209-1,0)</f>
        <v>-4.7406245729368912E-3</v>
      </c>
    </row>
    <row r="211" spans="1:8" ht="15">
      <c r="A211" s="25">
        <f>'Price Data'!A211</f>
        <v>45232</v>
      </c>
      <c r="B211" s="27">
        <f>IFERROR('Price Data'!B211/'Price Data'!B210-1,0)</f>
        <v>9.9241516261949769E-3</v>
      </c>
      <c r="C211" s="27">
        <f>IFERROR('Price Data'!C211/'Price Data'!C210-1,0)</f>
        <v>1.5258307901380164E-3</v>
      </c>
      <c r="D211" s="27">
        <f>IFERROR('Price Data'!D211/'Price Data'!D210-1,0)</f>
        <v>8.8423630583664981E-3</v>
      </c>
      <c r="E211" s="27">
        <f>IFERROR('Price Data'!E211/'Price Data'!E210-1,0)</f>
        <v>6.4548793697418727E-3</v>
      </c>
      <c r="F211" s="27">
        <f>IFERROR('Price Data'!F211/'Price Data'!F210-1,0)</f>
        <v>1.1815479052292632E-2</v>
      </c>
      <c r="G211" s="27">
        <f>B211*Portfolio!$D$5+C211*Portfolio!$D$6+D211*Portfolio!$D$7+E211*Portfolio!$D$8+F211*Portfolio!$D$9</f>
        <v>7.371521979061723E-3</v>
      </c>
      <c r="H211" s="27">
        <f>IFERROR('Price Data'!G211/'Price Data'!G210-1,0)</f>
        <v>7.5885232572669992E-3</v>
      </c>
    </row>
    <row r="212" spans="1:8" ht="15">
      <c r="A212" s="25">
        <f>'Price Data'!A212</f>
        <v>45233</v>
      </c>
      <c r="B212" s="27">
        <f>IFERROR('Price Data'!B212/'Price Data'!B211-1,0)</f>
        <v>-2.1554159244552284E-4</v>
      </c>
      <c r="C212" s="27">
        <f>IFERROR('Price Data'!C212/'Price Data'!C211-1,0)</f>
        <v>4.7401518982621571E-3</v>
      </c>
      <c r="D212" s="27">
        <f>IFERROR('Price Data'!D212/'Price Data'!D211-1,0)</f>
        <v>-2.738272788713636E-3</v>
      </c>
      <c r="E212" s="27">
        <f>IFERROR('Price Data'!E212/'Price Data'!E211-1,0)</f>
        <v>1.505517287699254E-2</v>
      </c>
      <c r="F212" s="27">
        <f>IFERROR('Price Data'!F212/'Price Data'!F211-1,0)</f>
        <v>1.3794164902540595E-2</v>
      </c>
      <c r="G212" s="27">
        <f>B212*Portfolio!$D$5+C212*Portfolio!$D$6+D212*Portfolio!$D$7+E212*Portfolio!$D$8+F212*Portfolio!$D$9</f>
        <v>4.9108986856414016E-3</v>
      </c>
      <c r="H212" s="27">
        <f>IFERROR('Price Data'!G212/'Price Data'!G211-1,0)</f>
        <v>5.0879808383312852E-3</v>
      </c>
    </row>
    <row r="213" spans="1:8" ht="15">
      <c r="A213" s="25">
        <f>'Price Data'!A213</f>
        <v>45236</v>
      </c>
      <c r="B213" s="27">
        <f>IFERROR('Price Data'!B213/'Price Data'!B212-1,0)</f>
        <v>8.3200587967438011E-3</v>
      </c>
      <c r="C213" s="27">
        <f>IFERROR('Price Data'!C213/'Price Data'!C212-1,0)</f>
        <v>7.2452156445106386E-3</v>
      </c>
      <c r="D213" s="27">
        <f>IFERROR('Price Data'!D213/'Price Data'!D212-1,0)</f>
        <v>8.7589552021050121E-3</v>
      </c>
      <c r="E213" s="27">
        <f>IFERROR('Price Data'!E213/'Price Data'!E212-1,0)</f>
        <v>1.2475878827159059E-2</v>
      </c>
      <c r="F213" s="27">
        <f>IFERROR('Price Data'!F213/'Price Data'!F212-1,0)</f>
        <v>1.0258783553561246E-2</v>
      </c>
      <c r="G213" s="27">
        <f>B213*Portfolio!$D$5+C213*Portfolio!$D$6+D213*Portfolio!$D$7+E213*Portfolio!$D$8+F213*Portfolio!$D$9</f>
        <v>9.0533090078426578E-3</v>
      </c>
      <c r="H213" s="27">
        <f>IFERROR('Price Data'!G213/'Price Data'!G212-1,0)</f>
        <v>9.4199033989916803E-3</v>
      </c>
    </row>
    <row r="214" spans="1:8" ht="15">
      <c r="A214" s="25">
        <f>'Price Data'!A214</f>
        <v>45237</v>
      </c>
      <c r="B214" s="27">
        <f>IFERROR('Price Data'!B214/'Price Data'!B213-1,0)</f>
        <v>-6.4984673137140625E-3</v>
      </c>
      <c r="C214" s="27">
        <f>IFERROR('Price Data'!C214/'Price Data'!C213-1,0)</f>
        <v>-4.8512160668222615E-3</v>
      </c>
      <c r="D214" s="27">
        <f>IFERROR('Price Data'!D214/'Price Data'!D213-1,0)</f>
        <v>-2.8992002832229913E-3</v>
      </c>
      <c r="E214" s="27">
        <f>IFERROR('Price Data'!E214/'Price Data'!E213-1,0)</f>
        <v>2.8028714652763576E-3</v>
      </c>
      <c r="F214" s="27">
        <f>IFERROR('Price Data'!F214/'Price Data'!F213-1,0)</f>
        <v>7.1257934276935941E-4</v>
      </c>
      <c r="G214" s="27">
        <f>B214*Portfolio!$D$5+C214*Portfolio!$D$6+D214*Portfolio!$D$7+E214*Portfolio!$D$8+F214*Portfolio!$D$9</f>
        <v>-2.8899432805718217E-3</v>
      </c>
      <c r="H214" s="27">
        <f>IFERROR('Price Data'!G214/'Price Data'!G213-1,0)</f>
        <v>-2.6019195847870602E-4</v>
      </c>
    </row>
    <row r="215" spans="1:8" ht="15">
      <c r="A215" s="25">
        <f>'Price Data'!A215</f>
        <v>45238</v>
      </c>
      <c r="B215" s="27">
        <f>IFERROR('Price Data'!B215/'Price Data'!B214-1,0)</f>
        <v>5.2069837442711986E-3</v>
      </c>
      <c r="C215" s="27">
        <f>IFERROR('Price Data'!C215/'Price Data'!C214-1,0)</f>
        <v>2.8914376261821584E-3</v>
      </c>
      <c r="D215" s="27">
        <f>IFERROR('Price Data'!D215/'Price Data'!D214-1,0)</f>
        <v>3.2934326455658081E-3</v>
      </c>
      <c r="E215" s="27">
        <f>IFERROR('Price Data'!E215/'Price Data'!E214-1,0)</f>
        <v>-1.3026037352617981E-2</v>
      </c>
      <c r="F215" s="27">
        <f>IFERROR('Price Data'!F215/'Price Data'!F214-1,0)</f>
        <v>-9.4708680137078893E-3</v>
      </c>
      <c r="G215" s="27">
        <f>B215*Portfolio!$D$5+C215*Portfolio!$D$6+D215*Portfolio!$D$7+E215*Portfolio!$D$8+F215*Portfolio!$D$9</f>
        <v>-6.9124393322237939E-4</v>
      </c>
      <c r="H215" s="27">
        <f>IFERROR('Price Data'!G215/'Price Data'!G214-1,0)</f>
        <v>1.8962926582819506E-3</v>
      </c>
    </row>
    <row r="216" spans="1:8" ht="15">
      <c r="A216" s="25">
        <f>'Price Data'!A216</f>
        <v>45239</v>
      </c>
      <c r="B216" s="27">
        <f>IFERROR('Price Data'!B216/'Price Data'!B215-1,0)</f>
        <v>-1.0852309749265876E-2</v>
      </c>
      <c r="C216" s="27">
        <f>IFERROR('Price Data'!C216/'Price Data'!C215-1,0)</f>
        <v>-3.9556744967329527E-3</v>
      </c>
      <c r="D216" s="27">
        <f>IFERROR('Price Data'!D216/'Price Data'!D215-1,0)</f>
        <v>-1.0084290725333012E-2</v>
      </c>
      <c r="E216" s="27">
        <f>IFERROR('Price Data'!E216/'Price Data'!E215-1,0)</f>
        <v>1.7098159118753564E-3</v>
      </c>
      <c r="F216" s="27">
        <f>IFERROR('Price Data'!F216/'Price Data'!F215-1,0)</f>
        <v>-1.1646356955474557E-2</v>
      </c>
      <c r="G216" s="27">
        <f>B216*Portfolio!$D$5+C216*Portfolio!$D$6+D216*Portfolio!$D$7+E216*Portfolio!$D$8+F216*Portfolio!$D$9</f>
        <v>-7.20933536310619E-3</v>
      </c>
      <c r="H216" s="27">
        <f>IFERROR('Price Data'!G216/'Price Data'!G215-1,0)</f>
        <v>-2.4789373698150818E-3</v>
      </c>
    </row>
    <row r="217" spans="1:8" ht="15">
      <c r="A217" s="25">
        <f>'Price Data'!A217</f>
        <v>45240</v>
      </c>
      <c r="B217" s="27">
        <f>IFERROR('Price Data'!B217/'Price Data'!B216-1,0)</f>
        <v>1.8826372191764751E-3</v>
      </c>
      <c r="C217" s="27">
        <f>IFERROR('Price Data'!C217/'Price Data'!C216-1,0)</f>
        <v>3.9375747621768209E-3</v>
      </c>
      <c r="D217" s="27">
        <f>IFERROR('Price Data'!D217/'Price Data'!D216-1,0)</f>
        <v>-4.1821841653252312E-3</v>
      </c>
      <c r="E217" s="27">
        <f>IFERROR('Price Data'!E217/'Price Data'!E216-1,0)</f>
        <v>1.3336315048619873E-3</v>
      </c>
      <c r="F217" s="27">
        <f>IFERROR('Price Data'!F217/'Price Data'!F216-1,0)</f>
        <v>-4.3279765883242893E-3</v>
      </c>
      <c r="G217" s="27">
        <f>B217*Portfolio!$D$5+C217*Portfolio!$D$6+D217*Portfolio!$D$7+E217*Portfolio!$D$8+F217*Portfolio!$D$9</f>
        <v>1.6946439975393246E-4</v>
      </c>
      <c r="H217" s="27">
        <f>IFERROR('Price Data'!G217/'Price Data'!G216-1,0)</f>
        <v>1.549283945833313E-3</v>
      </c>
    </row>
    <row r="218" spans="1:8" ht="15">
      <c r="A218" s="25">
        <f>'Price Data'!A218</f>
        <v>45243</v>
      </c>
      <c r="B218" s="27">
        <f>IFERROR('Price Data'!B218/'Price Data'!B217-1,0)</f>
        <v>-1.2957835055293909E-4</v>
      </c>
      <c r="C218" s="27">
        <f>IFERROR('Price Data'!C218/'Price Data'!C217-1,0)</f>
        <v>-1.8102472181092955E-3</v>
      </c>
      <c r="D218" s="27">
        <f>IFERROR('Price Data'!D218/'Price Data'!D217-1,0)</f>
        <v>-5.699829188450245E-4</v>
      </c>
      <c r="E218" s="27">
        <f>IFERROR('Price Data'!E218/'Price Data'!E217-1,0)</f>
        <v>-4.4214740732035906E-3</v>
      </c>
      <c r="F218" s="27">
        <f>IFERROR('Price Data'!F218/'Price Data'!F217-1,0)</f>
        <v>3.4335755732093354E-3</v>
      </c>
      <c r="G218" s="27">
        <f>B218*Portfolio!$D$5+C218*Portfolio!$D$6+D218*Portfolio!$D$7+E218*Portfolio!$D$8+F218*Portfolio!$D$9</f>
        <v>-7.4713775093370176E-4</v>
      </c>
      <c r="H218" s="27">
        <f>IFERROR('Price Data'!G218/'Price Data'!G217-1,0)</f>
        <v>9.3698040143452843E-4</v>
      </c>
    </row>
    <row r="219" spans="1:8" ht="15">
      <c r="A219" s="25">
        <f>'Price Data'!A219</f>
        <v>45245</v>
      </c>
      <c r="B219" s="27">
        <f>IFERROR('Price Data'!B219/'Price Data'!B218-1,0)</f>
        <v>1.8080870998923526E-2</v>
      </c>
      <c r="C219" s="27">
        <f>IFERROR('Price Data'!C219/'Price Data'!C218-1,0)</f>
        <v>1.0478297920729851E-2</v>
      </c>
      <c r="D219" s="27">
        <f>IFERROR('Price Data'!D219/'Price Data'!D218-1,0)</f>
        <v>2.1836790471589929E-2</v>
      </c>
      <c r="E219" s="27">
        <f>IFERROR('Price Data'!E219/'Price Data'!E218-1,0)</f>
        <v>7.1164515995187916E-3</v>
      </c>
      <c r="F219" s="27">
        <f>IFERROR('Price Data'!F219/'Price Data'!F218-1,0)</f>
        <v>2.6901099358916269E-2</v>
      </c>
      <c r="G219" s="27">
        <f>B219*Portfolio!$D$5+C219*Portfolio!$D$6+D219*Portfolio!$D$7+E219*Portfolio!$D$8+F219*Portfolio!$D$9</f>
        <v>1.6609782967996589E-2</v>
      </c>
      <c r="H219" s="27">
        <f>IFERROR('Price Data'!G219/'Price Data'!G218-1,0)</f>
        <v>1.1926753508604282E-2</v>
      </c>
    </row>
    <row r="220" spans="1:8" ht="15">
      <c r="A220" s="25">
        <f>'Price Data'!A220</f>
        <v>45246</v>
      </c>
      <c r="B220" s="27">
        <f>IFERROR('Price Data'!B220/'Price Data'!B219-1,0)</f>
        <v>1.8035002584666504E-3</v>
      </c>
      <c r="C220" s="27">
        <f>IFERROR('Price Data'!C220/'Price Data'!C219-1,0)</f>
        <v>2.625522882250042E-3</v>
      </c>
      <c r="D220" s="27">
        <f>IFERROR('Price Data'!D220/'Price Data'!D219-1,0)</f>
        <v>2.7479957888483231E-2</v>
      </c>
      <c r="E220" s="27">
        <f>IFERROR('Price Data'!E220/'Price Data'!E219-1,0)</f>
        <v>-5.4191997651202861E-3</v>
      </c>
      <c r="F220" s="27">
        <f>IFERROR('Price Data'!F220/'Price Data'!F219-1,0)</f>
        <v>2.438848706014185E-2</v>
      </c>
      <c r="G220" s="27">
        <f>B220*Portfolio!$D$5+C220*Portfolio!$D$6+D220*Portfolio!$D$7+E220*Portfolio!$D$8+F220*Portfolio!$D$9</f>
        <v>9.4486404571290546E-3</v>
      </c>
      <c r="H220" s="27">
        <f>IFERROR('Price Data'!G220/'Price Data'!G219-1,0)</f>
        <v>4.561522280999375E-3</v>
      </c>
    </row>
    <row r="221" spans="1:8" ht="15">
      <c r="A221" s="25">
        <f>'Price Data'!A221</f>
        <v>45247</v>
      </c>
      <c r="B221" s="27">
        <f>IFERROR('Price Data'!B221/'Price Data'!B220-1,0)</f>
        <v>-2.181551378920954E-3</v>
      </c>
      <c r="C221" s="27">
        <f>IFERROR('Price Data'!C221/'Price Data'!C220-1,0)</f>
        <v>-2.1546390706983498E-3</v>
      </c>
      <c r="D221" s="27">
        <f>IFERROR('Price Data'!D221/'Price Data'!D220-1,0)</f>
        <v>1.3148761486936333E-3</v>
      </c>
      <c r="E221" s="27">
        <f>IFERROR('Price Data'!E221/'Price Data'!E220-1,0)</f>
        <v>-1.5117532944815437E-2</v>
      </c>
      <c r="F221" s="27">
        <f>IFERROR('Price Data'!F221/'Price Data'!F220-1,0)</f>
        <v>-5.0868370676562247E-3</v>
      </c>
      <c r="G221" s="27">
        <f>B221*Portfolio!$D$5+C221*Portfolio!$D$6+D221*Portfolio!$D$7+E221*Portfolio!$D$8+F221*Portfolio!$D$9</f>
        <v>-3.8517278845368484E-3</v>
      </c>
      <c r="H221" s="27">
        <f>IFERROR('Price Data'!G221/'Price Data'!G220-1,0)</f>
        <v>-1.6897597201204206E-3</v>
      </c>
    </row>
    <row r="222" spans="1:8" ht="15">
      <c r="A222" s="25">
        <f>'Price Data'!A222</f>
        <v>45250</v>
      </c>
      <c r="B222" s="27">
        <f>IFERROR('Price Data'!B222/'Price Data'!B221-1,0)</f>
        <v>-2.6320186771368048E-3</v>
      </c>
      <c r="C222" s="27">
        <f>IFERROR('Price Data'!C222/'Price Data'!C221-1,0)</f>
        <v>6.649056126240005E-5</v>
      </c>
      <c r="D222" s="27">
        <f>IFERROR('Price Data'!D222/'Price Data'!D221-1,0)</f>
        <v>4.8967353176077033E-3</v>
      </c>
      <c r="E222" s="27">
        <f>IFERROR('Price Data'!E222/'Price Data'!E221-1,0)</f>
        <v>-4.3384882182151419E-4</v>
      </c>
      <c r="F222" s="27">
        <f>IFERROR('Price Data'!F222/'Price Data'!F221-1,0)</f>
        <v>-6.6077123456687037E-4</v>
      </c>
      <c r="G222" s="27">
        <f>B222*Portfolio!$D$5+C222*Portfolio!$D$6+D222*Portfolio!$D$7+E222*Portfolio!$D$8+F222*Portfolio!$D$9</f>
        <v>1.737720260946818E-4</v>
      </c>
      <c r="H222" s="27">
        <f>IFERROR('Price Data'!G222/'Price Data'!G221-1,0)</f>
        <v>-1.9157289123818977E-3</v>
      </c>
    </row>
    <row r="223" spans="1:8" ht="15">
      <c r="A223" s="25">
        <f>'Price Data'!A223</f>
        <v>45251</v>
      </c>
      <c r="B223" s="27">
        <f>IFERROR('Price Data'!B223/'Price Data'!B222-1,0)</f>
        <v>1.257788610447208E-2</v>
      </c>
      <c r="C223" s="27">
        <f>IFERROR('Price Data'!C223/'Price Data'!C222-1,0)</f>
        <v>8.4706730904418048E-3</v>
      </c>
      <c r="D223" s="27">
        <f>IFERROR('Price Data'!D223/'Price Data'!D222-1,0)</f>
        <v>-2.6708746404831007E-3</v>
      </c>
      <c r="E223" s="27">
        <f>IFERROR('Price Data'!E223/'Price Data'!E222-1,0)</f>
        <v>5.0463296091551868E-3</v>
      </c>
      <c r="F223" s="27">
        <f>IFERROR('Price Data'!F223/'Price Data'!F222-1,0)</f>
        <v>1.6704933630691254E-3</v>
      </c>
      <c r="G223" s="27">
        <f>B223*Portfolio!$D$5+C223*Portfolio!$D$6+D223*Portfolio!$D$7+E223*Portfolio!$D$8+F223*Portfolio!$D$9</f>
        <v>5.7354883164654974E-3</v>
      </c>
      <c r="H223" s="27">
        <f>IFERROR('Price Data'!G223/'Price Data'!G222-1,0)</f>
        <v>4.5394734754240496E-3</v>
      </c>
    </row>
    <row r="224" spans="1:8" ht="15">
      <c r="A224" s="25">
        <f>'Price Data'!A224</f>
        <v>45252</v>
      </c>
      <c r="B224" s="27">
        <f>IFERROR('Price Data'!B224/'Price Data'!B223-1,0)</f>
        <v>3.9093801546323803E-3</v>
      </c>
      <c r="C224" s="27">
        <f>IFERROR('Price Data'!C224/'Price Data'!C223-1,0)</f>
        <v>-3.5574916740047646E-3</v>
      </c>
      <c r="D224" s="27">
        <f>IFERROR('Price Data'!D224/'Price Data'!D223-1,0)</f>
        <v>5.6834279536850385E-3</v>
      </c>
      <c r="E224" s="27">
        <f>IFERROR('Price Data'!E224/'Price Data'!E223-1,0)</f>
        <v>-3.6173033583226655E-3</v>
      </c>
      <c r="F224" s="27">
        <f>IFERROR('Price Data'!F224/'Price Data'!F223-1,0)</f>
        <v>1.3064675052488095E-2</v>
      </c>
      <c r="G224" s="27">
        <f>B224*Portfolio!$D$5+C224*Portfolio!$D$6+D224*Portfolio!$D$7+E224*Portfolio!$D$8+F224*Portfolio!$D$9</f>
        <v>2.6417634650187259E-3</v>
      </c>
      <c r="H224" s="27">
        <f>IFERROR('Price Data'!G224/'Price Data'!G223-1,0)</f>
        <v>1.4380348265852216E-3</v>
      </c>
    </row>
    <row r="225" spans="1:8" ht="15">
      <c r="A225" s="25">
        <f>'Price Data'!A225</f>
        <v>45253</v>
      </c>
      <c r="B225" s="27">
        <f>IFERROR('Price Data'!B225/'Price Data'!B224-1,0)</f>
        <v>3.0566422375315483E-3</v>
      </c>
      <c r="C225" s="27">
        <f>IFERROR('Price Data'!C225/'Price Data'!C224-1,0)</f>
        <v>5.7849273967842674E-3</v>
      </c>
      <c r="D225" s="27">
        <f>IFERROR('Price Data'!D225/'Price Data'!D224-1,0)</f>
        <v>-6.2037578251645797E-3</v>
      </c>
      <c r="E225" s="27">
        <f>IFERROR('Price Data'!E225/'Price Data'!E224-1,0)</f>
        <v>2.709330578196667E-4</v>
      </c>
      <c r="F225" s="27">
        <f>IFERROR('Price Data'!F225/'Price Data'!F224-1,0)</f>
        <v>-5.8648785412684923E-3</v>
      </c>
      <c r="G225" s="27">
        <f>B225*Portfolio!$D$5+C225*Portfolio!$D$6+D225*Portfolio!$D$7+E225*Portfolio!$D$8+F225*Portfolio!$D$9</f>
        <v>1.3054902102871391E-4</v>
      </c>
      <c r="H225" s="27">
        <f>IFERROR('Price Data'!G225/'Price Data'!G224-1,0)</f>
        <v>-4.9715748752399147E-4</v>
      </c>
    </row>
    <row r="226" spans="1:8" ht="15">
      <c r="A226" s="25">
        <f>'Price Data'!A226</f>
        <v>45254</v>
      </c>
      <c r="B226" s="27">
        <f>IFERROR('Price Data'!B226/'Price Data'!B225-1,0)</f>
        <v>-6.6796959933790312E-4</v>
      </c>
      <c r="C226" s="27">
        <f>IFERROR('Price Data'!C226/'Price Data'!C225-1,0)</f>
        <v>7.0991485815026234E-3</v>
      </c>
      <c r="D226" s="27">
        <f>IFERROR('Price Data'!D226/'Price Data'!D225-1,0)</f>
        <v>-1.4579808642567582E-2</v>
      </c>
      <c r="E226" s="27">
        <f>IFERROR('Price Data'!E226/'Price Data'!E225-1,0)</f>
        <v>6.9339404174586505E-3</v>
      </c>
      <c r="F226" s="27">
        <f>IFERROR('Price Data'!F226/'Price Data'!F225-1,0)</f>
        <v>-8.1766430565668458E-3</v>
      </c>
      <c r="G226" s="27">
        <f>B226*Portfolio!$D$5+C226*Portfolio!$D$6+D226*Portfolio!$D$7+E226*Portfolio!$D$8+F226*Portfolio!$D$9</f>
        <v>-1.494572378838566E-3</v>
      </c>
      <c r="H226" s="27">
        <f>IFERROR('Price Data'!G226/'Price Data'!G225-1,0)</f>
        <v>-3.6868908443588033E-4</v>
      </c>
    </row>
    <row r="227" spans="1:8" ht="15">
      <c r="A227" s="25">
        <f>'Price Data'!A227</f>
        <v>45258</v>
      </c>
      <c r="B227" s="27">
        <f>IFERROR('Price Data'!B227/'Price Data'!B226-1,0)</f>
        <v>2.0890582888544174E-4</v>
      </c>
      <c r="C227" s="27">
        <f>IFERROR('Price Data'!C227/'Price Data'!C226-1,0)</f>
        <v>-2.2517098966231552E-3</v>
      </c>
      <c r="D227" s="27">
        <f>IFERROR('Price Data'!D227/'Price Data'!D226-1,0)</f>
        <v>3.7747763167390591E-3</v>
      </c>
      <c r="E227" s="27">
        <f>IFERROR('Price Data'!E227/'Price Data'!E226-1,0)</f>
        <v>-4.1962471598722129E-3</v>
      </c>
      <c r="F227" s="27">
        <f>IFERROR('Price Data'!F227/'Price Data'!F226-1,0)</f>
        <v>3.6871025778477673E-3</v>
      </c>
      <c r="G227" s="27">
        <f>B227*Portfolio!$D$5+C227*Portfolio!$D$6+D227*Portfolio!$D$7+E227*Portfolio!$D$8+F227*Portfolio!$D$9</f>
        <v>1.6788255910971659E-4</v>
      </c>
      <c r="H227" s="27">
        <f>IFERROR('Price Data'!G227/'Price Data'!G226-1,0)</f>
        <v>4.7992646389904969E-3</v>
      </c>
    </row>
    <row r="228" spans="1:8" ht="15">
      <c r="A228" s="25">
        <f>'Price Data'!A228</f>
        <v>45259</v>
      </c>
      <c r="B228" s="27">
        <f>IFERROR('Price Data'!B228/'Price Data'!B227-1,0)</f>
        <v>2.6312096258229722E-3</v>
      </c>
      <c r="C228" s="27">
        <f>IFERROR('Price Data'!C228/'Price Data'!C227-1,0)</f>
        <v>1.9952268871513246E-2</v>
      </c>
      <c r="D228" s="27">
        <f>IFERROR('Price Data'!D228/'Price Data'!D227-1,0)</f>
        <v>1.2564237675148693E-2</v>
      </c>
      <c r="E228" s="27">
        <f>IFERROR('Price Data'!E228/'Price Data'!E227-1,0)</f>
        <v>1.5234951373272354E-2</v>
      </c>
      <c r="F228" s="27">
        <f>IFERROR('Price Data'!F228/'Price Data'!F227-1,0)</f>
        <v>1.1714159559114368E-2</v>
      </c>
      <c r="G228" s="27">
        <f>B228*Portfolio!$D$5+C228*Portfolio!$D$6+D228*Portfolio!$D$7+E228*Portfolio!$D$8+F228*Portfolio!$D$9</f>
        <v>1.22010837992218E-2</v>
      </c>
      <c r="H228" s="27">
        <f>IFERROR('Price Data'!G228/'Price Data'!G227-1,0)</f>
        <v>1.0402389113554511E-2</v>
      </c>
    </row>
    <row r="229" spans="1:8" ht="15">
      <c r="A229" s="25">
        <f>'Price Data'!A229</f>
        <v>45260</v>
      </c>
      <c r="B229" s="27">
        <f>IFERROR('Price Data'!B229/'Price Data'!B228-1,0)</f>
        <v>-9.6846491256057377E-3</v>
      </c>
      <c r="C229" s="27">
        <f>IFERROR('Price Data'!C229/'Price Data'!C228-1,0)</f>
        <v>-2.2452685217688728E-4</v>
      </c>
      <c r="D229" s="27">
        <f>IFERROR('Price Data'!D229/'Price Data'!D228-1,0)</f>
        <v>-7.4421283947304628E-3</v>
      </c>
      <c r="E229" s="27">
        <f>IFERROR('Price Data'!E229/'Price Data'!E228-1,0)</f>
        <v>-4.9488513278729274E-3</v>
      </c>
      <c r="F229" s="27">
        <f>IFERROR('Price Data'!F229/'Price Data'!F228-1,0)</f>
        <v>-3.0487528192387758E-3</v>
      </c>
      <c r="G229" s="27">
        <f>B229*Portfolio!$D$5+C229*Portfolio!$D$6+D229*Portfolio!$D$7+E229*Portfolio!$D$8+F229*Portfolio!$D$9</f>
        <v>-5.1653602954585039E-3</v>
      </c>
      <c r="H229" s="27">
        <f>IFERROR('Price Data'!G229/'Price Data'!G228-1,0)</f>
        <v>1.8187545137213768E-3</v>
      </c>
    </row>
    <row r="230" spans="1:8" ht="15">
      <c r="A230" s="25">
        <f>'Price Data'!A230</f>
        <v>45261</v>
      </c>
      <c r="B230" s="27">
        <f>IFERROR('Price Data'!B230/'Price Data'!B229-1,0)</f>
        <v>7.0875070580433963E-3</v>
      </c>
      <c r="C230" s="27">
        <f>IFERROR('Price Data'!C230/'Price Data'!C229-1,0)</f>
        <v>-2.1812456383878409E-3</v>
      </c>
      <c r="D230" s="27">
        <f>IFERROR('Price Data'!D230/'Price Data'!D229-1,0)</f>
        <v>6.8959249157294344E-3</v>
      </c>
      <c r="E230" s="27">
        <f>IFERROR('Price Data'!E230/'Price Data'!E229-1,0)</f>
        <v>1.2567492204494934E-2</v>
      </c>
      <c r="F230" s="27">
        <f>IFERROR('Price Data'!F230/'Price Data'!F229-1,0)</f>
        <v>-1.9585196195146537E-3</v>
      </c>
      <c r="G230" s="27">
        <f>B230*Portfolio!$D$5+C230*Portfolio!$D$6+D230*Portfolio!$D$7+E230*Portfolio!$D$8+F230*Portfolio!$D$9</f>
        <v>4.1970962258068177E-3</v>
      </c>
      <c r="H230" s="27">
        <f>IFERROR('Price Data'!G230/'Price Data'!G229-1,0)</f>
        <v>6.6929416105065975E-3</v>
      </c>
    </row>
    <row r="231" spans="1:8" ht="15">
      <c r="A231" s="25">
        <f>'Price Data'!A231</f>
        <v>45264</v>
      </c>
      <c r="B231" s="27">
        <f>IFERROR('Price Data'!B231/'Price Data'!B230-1,0)</f>
        <v>1.0817323940885748E-2</v>
      </c>
      <c r="C231" s="27">
        <f>IFERROR('Price Data'!C231/'Price Data'!C230-1,0)</f>
        <v>3.4717795124986628E-2</v>
      </c>
      <c r="D231" s="27">
        <f>IFERROR('Price Data'!D231/'Price Data'!D230-1,0)</f>
        <v>2.2789392944888576E-4</v>
      </c>
      <c r="E231" s="27">
        <f>IFERROR('Price Data'!E231/'Price Data'!E230-1,0)</f>
        <v>4.7005384850076659E-2</v>
      </c>
      <c r="F231" s="27">
        <f>IFERROR('Price Data'!F231/'Price Data'!F230-1,0)</f>
        <v>8.2971058544085707E-3</v>
      </c>
      <c r="G231" s="27">
        <f>B231*Portfolio!$D$5+C231*Portfolio!$D$6+D231*Portfolio!$D$7+E231*Portfolio!$D$8+F231*Portfolio!$D$9</f>
        <v>1.9724732158030656E-2</v>
      </c>
      <c r="H231" s="27">
        <f>IFERROR('Price Data'!G231/'Price Data'!G230-1,0)</f>
        <v>2.0668169003769332E-2</v>
      </c>
    </row>
    <row r="232" spans="1:8" ht="15">
      <c r="A232" s="25">
        <f>'Price Data'!A232</f>
        <v>45265</v>
      </c>
      <c r="B232" s="27">
        <f>IFERROR('Price Data'!B232/'Price Data'!B231-1,0)</f>
        <v>7.2514407577974893E-3</v>
      </c>
      <c r="C232" s="27">
        <f>IFERROR('Price Data'!C232/'Price Data'!C231-1,0)</f>
        <v>8.8853039238758758E-3</v>
      </c>
      <c r="D232" s="27">
        <f>IFERROR('Price Data'!D232/'Price Data'!D231-1,0)</f>
        <v>5.4519445127558797E-3</v>
      </c>
      <c r="E232" s="27">
        <f>IFERROR('Price Data'!E232/'Price Data'!E231-1,0)</f>
        <v>2.2447599881886937E-2</v>
      </c>
      <c r="F232" s="27">
        <f>IFERROR('Price Data'!F232/'Price Data'!F231-1,0)</f>
        <v>-7.1022600065437924E-3</v>
      </c>
      <c r="G232" s="27">
        <f>B232*Portfolio!$D$5+C232*Portfolio!$D$6+D232*Portfolio!$D$7+E232*Portfolio!$D$8+F232*Portfolio!$D$9</f>
        <v>7.4263760542709872E-3</v>
      </c>
      <c r="H232" s="27">
        <f>IFERROR('Price Data'!G232/'Price Data'!G231-1,0)</f>
        <v>8.1355657602475429E-3</v>
      </c>
    </row>
    <row r="233" spans="1:8" ht="15">
      <c r="A233" s="25">
        <f>'Price Data'!A233</f>
        <v>45266</v>
      </c>
      <c r="B233" s="27">
        <f>IFERROR('Price Data'!B233/'Price Data'!B232-1,0)</f>
        <v>9.5786083321922622E-3</v>
      </c>
      <c r="C233" s="27">
        <f>IFERROR('Price Data'!C233/'Price Data'!C232-1,0)</f>
        <v>2.525183527656738E-3</v>
      </c>
      <c r="D233" s="27">
        <f>IFERROR('Price Data'!D233/'Price Data'!D232-1,0)</f>
        <v>2.0528884060500685E-2</v>
      </c>
      <c r="E233" s="27">
        <f>IFERROR('Price Data'!E233/'Price Data'!E232-1,0)</f>
        <v>-1.0064708738446448E-2</v>
      </c>
      <c r="F233" s="27">
        <f>IFERROR('Price Data'!F233/'Price Data'!F232-1,0)</f>
        <v>1.3996549103124867E-2</v>
      </c>
      <c r="G233" s="27">
        <f>B233*Portfolio!$D$5+C233*Portfolio!$D$6+D233*Portfolio!$D$7+E233*Portfolio!$D$8+F233*Portfolio!$D$9</f>
        <v>7.7215008317641498E-3</v>
      </c>
      <c r="H233" s="27">
        <f>IFERROR('Price Data'!G233/'Price Data'!G232-1,0)</f>
        <v>3.9606432442005346E-3</v>
      </c>
    </row>
    <row r="234" spans="1:8" ht="15">
      <c r="A234" s="25">
        <f>'Price Data'!A234</f>
        <v>45267</v>
      </c>
      <c r="B234" s="27">
        <f>IFERROR('Price Data'!B234/'Price Data'!B233-1,0)</f>
        <v>-1.6456922559496823E-3</v>
      </c>
      <c r="C234" s="27">
        <f>IFERROR('Price Data'!C234/'Price Data'!C233-1,0)</f>
        <v>1.6278134701976921E-3</v>
      </c>
      <c r="D234" s="27">
        <f>IFERROR('Price Data'!D234/'Price Data'!D233-1,0)</f>
        <v>2.9966180414129351E-3</v>
      </c>
      <c r="E234" s="27">
        <f>IFERROR('Price Data'!E234/'Price Data'!E233-1,0)</f>
        <v>-4.2362293483896307E-3</v>
      </c>
      <c r="F234" s="27">
        <f>IFERROR('Price Data'!F234/'Price Data'!F233-1,0)</f>
        <v>-5.6976217321492717E-3</v>
      </c>
      <c r="G234" s="27">
        <f>B234*Portfolio!$D$5+C234*Portfolio!$D$6+D234*Portfolio!$D$7+E234*Portfolio!$D$8+F234*Portfolio!$D$9</f>
        <v>-8.9522375023624574E-4</v>
      </c>
      <c r="H234" s="27">
        <f>IFERROR('Price Data'!G234/'Price Data'!G233-1,0)</f>
        <v>-1.7455990623970186E-3</v>
      </c>
    </row>
    <row r="235" spans="1:8" ht="15">
      <c r="A235" s="25">
        <f>'Price Data'!A235</f>
        <v>45268</v>
      </c>
      <c r="B235" s="27">
        <f>IFERROR('Price Data'!B235/'Price Data'!B234-1,0)</f>
        <v>-5.2915490683069777E-4</v>
      </c>
      <c r="C235" s="27">
        <f>IFERROR('Price Data'!C235/'Price Data'!C234-1,0)</f>
        <v>1.3953300717380435E-2</v>
      </c>
      <c r="D235" s="27">
        <f>IFERROR('Price Data'!D235/'Price Data'!D234-1,0)</f>
        <v>3.2642490893053377E-3</v>
      </c>
      <c r="E235" s="27">
        <f>IFERROR('Price Data'!E235/'Price Data'!E234-1,0)</f>
        <v>1.18618405658939E-2</v>
      </c>
      <c r="F235" s="27">
        <f>IFERROR('Price Data'!F235/'Price Data'!F234-1,0)</f>
        <v>1.7224878739813931E-2</v>
      </c>
      <c r="G235" s="27">
        <f>B235*Portfolio!$D$5+C235*Portfolio!$D$6+D235*Portfolio!$D$7+E235*Portfolio!$D$8+F235*Portfolio!$D$9</f>
        <v>8.3718941663546761E-3</v>
      </c>
      <c r="H235" s="27">
        <f>IFERROR('Price Data'!G235/'Price Data'!G234-1,0)</f>
        <v>3.2653705047074322E-3</v>
      </c>
    </row>
    <row r="236" spans="1:8" ht="15">
      <c r="A236" s="25">
        <f>'Price Data'!A236</f>
        <v>45271</v>
      </c>
      <c r="B236" s="27">
        <f>IFERROR('Price Data'!B236/'Price Data'!B235-1,0)</f>
        <v>1.4660582020378232E-3</v>
      </c>
      <c r="C236" s="27">
        <f>IFERROR('Price Data'!C236/'Price Data'!C235-1,0)</f>
        <v>-1.3306701423252409E-3</v>
      </c>
      <c r="D236" s="27">
        <f>IFERROR('Price Data'!D236/'Price Data'!D235-1,0)</f>
        <v>4.4668433349812631E-3</v>
      </c>
      <c r="E236" s="27">
        <f>IFERROR('Price Data'!E236/'Price Data'!E235-1,0)</f>
        <v>6.1829401322823774E-3</v>
      </c>
      <c r="F236" s="27">
        <f>IFERROR('Price Data'!F236/'Price Data'!F235-1,0)</f>
        <v>-1.7770987798646498E-3</v>
      </c>
      <c r="G236" s="27">
        <f>B236*Portfolio!$D$5+C236*Portfolio!$D$6+D236*Portfolio!$D$7+E236*Portfolio!$D$8+F236*Portfolio!$D$9</f>
        <v>1.5880918847870574E-3</v>
      </c>
      <c r="H236" s="27">
        <f>IFERROR('Price Data'!G236/'Price Data'!G235-1,0)</f>
        <v>1.320935183362959E-3</v>
      </c>
    </row>
    <row r="237" spans="1:8" ht="15">
      <c r="A237" s="25">
        <f>'Price Data'!A237</f>
        <v>45272</v>
      </c>
      <c r="B237" s="27">
        <f>IFERROR('Price Data'!B237/'Price Data'!B236-1,0)</f>
        <v>-1.4353491100136284E-2</v>
      </c>
      <c r="C237" s="27">
        <f>IFERROR('Price Data'!C237/'Price Data'!C236-1,0)</f>
        <v>-9.9334813105076414E-3</v>
      </c>
      <c r="D237" s="27">
        <f>IFERROR('Price Data'!D237/'Price Data'!D236-1,0)</f>
        <v>8.0156637301427303E-3</v>
      </c>
      <c r="E237" s="27">
        <f>IFERROR('Price Data'!E237/'Price Data'!E236-1,0)</f>
        <v>-1.3764816329239205E-3</v>
      </c>
      <c r="F237" s="27">
        <f>IFERROR('Price Data'!F237/'Price Data'!F236-1,0)</f>
        <v>-8.364163480867437E-3</v>
      </c>
      <c r="G237" s="27">
        <f>B237*Portfolio!$D$5+C237*Portfolio!$D$6+D237*Portfolio!$D$7+E237*Portfolio!$D$8+F237*Portfolio!$D$9</f>
        <v>-5.9297071237011381E-3</v>
      </c>
      <c r="H237" s="27">
        <f>IFERROR('Price Data'!G237/'Price Data'!G236-1,0)</f>
        <v>-4.3196070141755527E-3</v>
      </c>
    </row>
    <row r="238" spans="1:8" ht="15">
      <c r="A238" s="25">
        <f>'Price Data'!A238</f>
        <v>45273</v>
      </c>
      <c r="B238" s="27">
        <f>IFERROR('Price Data'!B238/'Price Data'!B237-1,0)</f>
        <v>4.0840519438158918E-3</v>
      </c>
      <c r="C238" s="27">
        <f>IFERROR('Price Data'!C238/'Price Data'!C237-1,0)</f>
        <v>-2.2635312538191732E-3</v>
      </c>
      <c r="D238" s="27">
        <f>IFERROR('Price Data'!D238/'Price Data'!D237-1,0)</f>
        <v>-2.1390964400488932E-2</v>
      </c>
      <c r="E238" s="27">
        <f>IFERROR('Price Data'!E238/'Price Data'!E237-1,0)</f>
        <v>-1.7721404255922613E-3</v>
      </c>
      <c r="F238" s="27">
        <f>IFERROR('Price Data'!F238/'Price Data'!F237-1,0)</f>
        <v>-1.8325840218150757E-2</v>
      </c>
      <c r="G238" s="27">
        <f>B238*Portfolio!$D$5+C238*Portfolio!$D$6+D238*Portfolio!$D$7+E238*Portfolio!$D$8+F238*Portfolio!$D$9</f>
        <v>-6.8377598041600594E-3</v>
      </c>
      <c r="H238" s="27">
        <f>IFERROR('Price Data'!G238/'Price Data'!G237-1,0)</f>
        <v>9.5421585625743433E-4</v>
      </c>
    </row>
    <row r="239" spans="1:8" ht="15">
      <c r="A239" s="25">
        <f>'Price Data'!A239</f>
        <v>45274</v>
      </c>
      <c r="B239" s="27">
        <f>IFERROR('Price Data'!B239/'Price Data'!B238-1,0)</f>
        <v>1.240778923904351E-2</v>
      </c>
      <c r="C239" s="27">
        <f>IFERROR('Price Data'!C239/'Price Data'!C238-1,0)</f>
        <v>1.1803272076290616E-2</v>
      </c>
      <c r="D239" s="27">
        <f>IFERROR('Price Data'!D239/'Price Data'!D238-1,0)</f>
        <v>2.0508734986972144E-2</v>
      </c>
      <c r="E239" s="27">
        <f>IFERROR('Price Data'!E239/'Price Data'!E238-1,0)</f>
        <v>1.9479203205660101E-2</v>
      </c>
      <c r="F239" s="27">
        <f>IFERROR('Price Data'!F239/'Price Data'!F238-1,0)</f>
        <v>3.6197204639474734E-2</v>
      </c>
      <c r="G239" s="27">
        <f>B239*Portfolio!$D$5+C239*Portfolio!$D$6+D239*Portfolio!$D$7+E239*Portfolio!$D$8+F239*Portfolio!$D$9</f>
        <v>1.8505973502998187E-2</v>
      </c>
      <c r="H239" s="27">
        <f>IFERROR('Price Data'!G239/'Price Data'!G238-1,0)</f>
        <v>1.2250087289956912E-2</v>
      </c>
    </row>
    <row r="240" spans="1:8" ht="15">
      <c r="A240" s="25">
        <f>'Price Data'!A240</f>
        <v>45275</v>
      </c>
      <c r="B240" s="27">
        <f>IFERROR('Price Data'!B240/'Price Data'!B239-1,0)</f>
        <v>1.2763098206618473E-2</v>
      </c>
      <c r="C240" s="27">
        <f>IFERROR('Price Data'!C240/'Price Data'!C239-1,0)</f>
        <v>3.8785606618430002E-3</v>
      </c>
      <c r="D240" s="27">
        <f>IFERROR('Price Data'!D240/'Price Data'!D239-1,0)</f>
        <v>5.2832647662538035E-2</v>
      </c>
      <c r="E240" s="27">
        <f>IFERROR('Price Data'!E240/'Price Data'!E239-1,0)</f>
        <v>3.6279709901558821E-3</v>
      </c>
      <c r="F240" s="27">
        <f>IFERROR('Price Data'!F240/'Price Data'!F239-1,0)</f>
        <v>5.1250526141943142E-2</v>
      </c>
      <c r="G240" s="27">
        <f>B240*Portfolio!$D$5+C240*Portfolio!$D$6+D240*Portfolio!$D$7+E240*Portfolio!$D$8+F240*Portfolio!$D$9</f>
        <v>2.2958718819437826E-2</v>
      </c>
      <c r="H240" s="27">
        <f>IFERROR('Price Data'!G240/'Price Data'!G239-1,0)</f>
        <v>1.2932779200891975E-2</v>
      </c>
    </row>
    <row r="241" spans="1:8" ht="15">
      <c r="A241" s="25">
        <f>'Price Data'!A241</f>
        <v>45278</v>
      </c>
      <c r="B241" s="27">
        <f>IFERROR('Price Data'!B241/'Price Data'!B240-1,0)</f>
        <v>1.0177841437828183E-2</v>
      </c>
      <c r="C241" s="27">
        <f>IFERROR('Price Data'!C241/'Price Data'!C240-1,0)</f>
        <v>-5.1315277199848186E-4</v>
      </c>
      <c r="D241" s="27">
        <f>IFERROR('Price Data'!D241/'Price Data'!D240-1,0)</f>
        <v>-4.661593691117627E-4</v>
      </c>
      <c r="E241" s="27">
        <f>IFERROR('Price Data'!E241/'Price Data'!E240-1,0)</f>
        <v>-1.5375009807054529E-2</v>
      </c>
      <c r="F241" s="27">
        <f>IFERROR('Price Data'!F241/'Price Data'!F240-1,0)</f>
        <v>-8.9014682790150568E-3</v>
      </c>
      <c r="G241" s="27">
        <f>B241*Portfolio!$D$5+C241*Portfolio!$D$6+D241*Portfolio!$D$7+E241*Portfolio!$D$8+F241*Portfolio!$D$9</f>
        <v>-1.3185314202753652E-3</v>
      </c>
      <c r="H241" s="27">
        <f>IFERROR('Price Data'!G241/'Price Data'!G240-1,0)</f>
        <v>-1.7710126840955187E-3</v>
      </c>
    </row>
    <row r="242" spans="1:8" ht="15">
      <c r="A242" s="25">
        <f>'Price Data'!A242</f>
        <v>45279</v>
      </c>
      <c r="B242" s="27">
        <f>IFERROR('Price Data'!B242/'Price Data'!B241-1,0)</f>
        <v>1.4716492003557846E-2</v>
      </c>
      <c r="C242" s="27">
        <f>IFERROR('Price Data'!C242/'Price Data'!C241-1,0)</f>
        <v>-1.6911628885376562E-3</v>
      </c>
      <c r="D242" s="27">
        <f>IFERROR('Price Data'!D242/'Price Data'!D241-1,0)</f>
        <v>-1.1142232730272483E-2</v>
      </c>
      <c r="E242" s="27">
        <f>IFERROR('Price Data'!E242/'Price Data'!E241-1,0)</f>
        <v>-5.8739628721673487E-3</v>
      </c>
      <c r="F242" s="27">
        <f>IFERROR('Price Data'!F242/'Price Data'!F241-1,0)</f>
        <v>-3.8674078528032618E-3</v>
      </c>
      <c r="G242" s="27">
        <f>B242*Portfolio!$D$5+C242*Portfolio!$D$6+D242*Portfolio!$D$7+E242*Portfolio!$D$8+F242*Portfolio!$D$9</f>
        <v>-4.3331987604504059E-4</v>
      </c>
      <c r="H242" s="27">
        <f>IFERROR('Price Data'!G242/'Price Data'!G241-1,0)</f>
        <v>1.6083748565725031E-3</v>
      </c>
    </row>
    <row r="243" spans="1:8" ht="15">
      <c r="A243" s="25">
        <f>'Price Data'!A243</f>
        <v>45280</v>
      </c>
      <c r="B243" s="27">
        <f>IFERROR('Price Data'!B243/'Price Data'!B242-1,0)</f>
        <v>-1.2098856702907224E-2</v>
      </c>
      <c r="C243" s="27">
        <f>IFERROR('Price Data'!C243/'Price Data'!C242-1,0)</f>
        <v>2.4805737111479598E-3</v>
      </c>
      <c r="D243" s="27">
        <f>IFERROR('Price Data'!D243/'Price Data'!D242-1,0)</f>
        <v>-9.4727394518334673E-3</v>
      </c>
      <c r="E243" s="27">
        <f>IFERROR('Price Data'!E243/'Price Data'!E242-1,0)</f>
        <v>-8.6661066183911784E-3</v>
      </c>
      <c r="F243" s="27">
        <f>IFERROR('Price Data'!F243/'Price Data'!F242-1,0)</f>
        <v>-1.405375327502123E-2</v>
      </c>
      <c r="G243" s="27">
        <f>B243*Portfolio!$D$5+C243*Portfolio!$D$6+D243*Portfolio!$D$7+E243*Portfolio!$D$8+F243*Portfolio!$D$9</f>
        <v>-7.7070976223183709E-3</v>
      </c>
      <c r="H243" s="27">
        <f>IFERROR('Price Data'!G243/'Price Data'!G242-1,0)</f>
        <v>-1.412146609423337E-2</v>
      </c>
    </row>
    <row r="244" spans="1:8" ht="15">
      <c r="A244" s="25">
        <f>'Price Data'!A244</f>
        <v>45281</v>
      </c>
      <c r="B244" s="27">
        <f>IFERROR('Price Data'!B244/'Price Data'!B243-1,0)</f>
        <v>1.4007907416855092E-2</v>
      </c>
      <c r="C244" s="27">
        <f>IFERROR('Price Data'!C244/'Price Data'!C243-1,0)</f>
        <v>1.7923771347124084E-2</v>
      </c>
      <c r="D244" s="27">
        <f>IFERROR('Price Data'!D244/'Price Data'!D243-1,0)</f>
        <v>1.9707815711469401E-3</v>
      </c>
      <c r="E244" s="27">
        <f>IFERROR('Price Data'!E244/'Price Data'!E243-1,0)</f>
        <v>-2.2351673352756229E-3</v>
      </c>
      <c r="F244" s="27">
        <f>IFERROR('Price Data'!F244/'Price Data'!F243-1,0)</f>
        <v>-2.6037362580710877E-4</v>
      </c>
      <c r="G244" s="27">
        <f>B244*Portfolio!$D$5+C244*Portfolio!$D$6+D244*Portfolio!$D$7+E244*Portfolio!$D$8+F244*Portfolio!$D$9</f>
        <v>8.0027448610617731E-3</v>
      </c>
      <c r="H244" s="27">
        <f>IFERROR('Price Data'!G244/'Price Data'!G243-1,0)</f>
        <v>4.9597940765233606E-3</v>
      </c>
    </row>
    <row r="245" spans="1:8" ht="15">
      <c r="A245" s="25">
        <f>'Price Data'!A245</f>
        <v>45282</v>
      </c>
      <c r="B245" s="27">
        <f>IFERROR('Price Data'!B245/'Price Data'!B244-1,0)</f>
        <v>9.7559216506337698E-4</v>
      </c>
      <c r="C245" s="27">
        <f>IFERROR('Price Data'!C245/'Price Data'!C244-1,0)</f>
        <v>-9.3970233878397647E-3</v>
      </c>
      <c r="D245" s="27">
        <f>IFERROR('Price Data'!D245/'Price Data'!D244-1,0)</f>
        <v>9.6371200853939687E-3</v>
      </c>
      <c r="E245" s="27">
        <f>IFERROR('Price Data'!E245/'Price Data'!E244-1,0)</f>
        <v>-1.0055770895185945E-2</v>
      </c>
      <c r="F245" s="27">
        <f>IFERROR('Price Data'!F245/'Price Data'!F244-1,0)</f>
        <v>1.7513048159157663E-2</v>
      </c>
      <c r="G245" s="27">
        <f>B245*Portfolio!$D$5+C245*Portfolio!$D$6+D245*Portfolio!$D$7+E245*Portfolio!$D$8+F245*Portfolio!$D$9</f>
        <v>9.406578009804544E-4</v>
      </c>
      <c r="H245" s="27">
        <f>IFERROR('Price Data'!G245/'Price Data'!G244-1,0)</f>
        <v>4.4389265566107117E-3</v>
      </c>
    </row>
    <row r="246" spans="1:8" ht="15">
      <c r="A246" s="25">
        <f>'Price Data'!A246</f>
        <v>45286</v>
      </c>
      <c r="B246" s="27">
        <f>IFERROR('Price Data'!B246/'Price Data'!B245-1,0)</f>
        <v>5.0681733566895204E-3</v>
      </c>
      <c r="C246" s="27">
        <f>IFERROR('Price Data'!C246/'Price Data'!C245-1,0)</f>
        <v>6.9425888977481254E-3</v>
      </c>
      <c r="D246" s="27">
        <f>IFERROR('Price Data'!D246/'Price Data'!D245-1,0)</f>
        <v>-7.4398337939629577E-3</v>
      </c>
      <c r="E246" s="27">
        <f>IFERROR('Price Data'!E246/'Price Data'!E245-1,0)</f>
        <v>8.0459733540760858E-4</v>
      </c>
      <c r="F246" s="27">
        <f>IFERROR('Price Data'!F246/'Price Data'!F245-1,0)</f>
        <v>-1.2124904852394369E-2</v>
      </c>
      <c r="G246" s="27">
        <f>B246*Portfolio!$D$5+C246*Portfolio!$D$6+D246*Portfolio!$D$7+E246*Portfolio!$D$8+F246*Portfolio!$D$9</f>
        <v>-1.8332232273119407E-4</v>
      </c>
      <c r="H246" s="27">
        <f>IFERROR('Price Data'!G246/'Price Data'!G245-1,0)</f>
        <v>4.3068759341071683E-3</v>
      </c>
    </row>
    <row r="247" spans="1:8" ht="15">
      <c r="A247" s="25">
        <f>'Price Data'!A247</f>
        <v>45287</v>
      </c>
      <c r="B247" s="27">
        <f>IFERROR('Price Data'!B247/'Price Data'!B246-1,0)</f>
        <v>3.4134030243240243E-3</v>
      </c>
      <c r="C247" s="27">
        <f>IFERROR('Price Data'!C247/'Price Data'!C246-1,0)</f>
        <v>1.239279848927155E-2</v>
      </c>
      <c r="D247" s="27">
        <f>IFERROR('Price Data'!D247/'Price Data'!D246-1,0)</f>
        <v>4.1230839147226028E-3</v>
      </c>
      <c r="E247" s="27">
        <f>IFERROR('Price Data'!E247/'Price Data'!E246-1,0)</f>
        <v>7.1852450649403377E-3</v>
      </c>
      <c r="F247" s="27">
        <f>IFERROR('Price Data'!F247/'Price Data'!F246-1,0)</f>
        <v>1.4994019242407619E-2</v>
      </c>
      <c r="G247" s="27">
        <f>B247*Portfolio!$D$5+C247*Portfolio!$D$6+D247*Portfolio!$D$7+E247*Portfolio!$D$8+F247*Portfolio!$D$9</f>
        <v>8.1030568074456077E-3</v>
      </c>
      <c r="H247" s="27">
        <f>IFERROR('Price Data'!G247/'Price Data'!G246-1,0)</f>
        <v>9.9527499207276993E-3</v>
      </c>
    </row>
    <row r="248" spans="1:8" ht="15">
      <c r="A248" s="25">
        <f>'Price Data'!A248</f>
        <v>45288</v>
      </c>
      <c r="B248" s="27">
        <f>IFERROR('Price Data'!B248/'Price Data'!B247-1,0)</f>
        <v>7.2289140515424677E-3</v>
      </c>
      <c r="C248" s="27">
        <f>IFERROR('Price Data'!C248/'Price Data'!C247-1,0)</f>
        <v>1.1446838811834947E-3</v>
      </c>
      <c r="D248" s="27">
        <f>IFERROR('Price Data'!D248/'Price Data'!D247-1,0)</f>
        <v>-2.9649165369964869E-3</v>
      </c>
      <c r="E248" s="27">
        <f>IFERROR('Price Data'!E248/'Price Data'!E247-1,0)</f>
        <v>3.6417945331426171E-3</v>
      </c>
      <c r="F248" s="27">
        <f>IFERROR('Price Data'!F248/'Price Data'!F247-1,0)</f>
        <v>-2.8396988118825073E-3</v>
      </c>
      <c r="G248" s="27">
        <f>B248*Portfolio!$D$5+C248*Portfolio!$D$6+D248*Portfolio!$D$7+E248*Portfolio!$D$8+F248*Portfolio!$D$9</f>
        <v>1.6207305339712096E-3</v>
      </c>
      <c r="H248" s="27">
        <f>IFERROR('Price Data'!G248/'Price Data'!G247-1,0)</f>
        <v>5.7238813077962192E-3</v>
      </c>
    </row>
    <row r="249" spans="1:8" ht="15">
      <c r="A249" s="25">
        <f>'Price Data'!A249</f>
        <v>45289</v>
      </c>
      <c r="B249" s="27">
        <f>IFERROR('Price Data'!B249/'Price Data'!B248-1,0)</f>
        <v>-7.9062759271617544E-3</v>
      </c>
      <c r="C249" s="27">
        <f>IFERROR('Price Data'!C249/'Price Data'!C248-1,0)</f>
        <v>2.3457355713003558E-3</v>
      </c>
      <c r="D249" s="27">
        <f>IFERROR('Price Data'!D249/'Price Data'!D248-1,0)</f>
        <v>-1.710653620715652E-3</v>
      </c>
      <c r="E249" s="27">
        <f>IFERROR('Price Data'!E249/'Price Data'!E248-1,0)</f>
        <v>-9.2455184536329726E-3</v>
      </c>
      <c r="F249" s="27">
        <f>IFERROR('Price Data'!F249/'Price Data'!F248-1,0)</f>
        <v>-1.2638760147276162E-2</v>
      </c>
      <c r="G249" s="27">
        <f>B249*Portfolio!$D$5+C249*Portfolio!$D$6+D249*Portfolio!$D$7+E249*Portfolio!$D$8+F249*Portfolio!$D$9</f>
        <v>-5.0149076032448498E-3</v>
      </c>
      <c r="H249" s="27">
        <f>IFERROR('Price Data'!G249/'Price Data'!G248-1,0)</f>
        <v>-2.1717930740454694E-3</v>
      </c>
    </row>
    <row r="250" spans="1:8" ht="15">
      <c r="A250" s="25">
        <f>'Price Data'!A250</f>
        <v>45292</v>
      </c>
      <c r="B250" s="27">
        <f>IFERROR('Price Data'!B250/'Price Data'!B249-1,0)</f>
        <v>2.0503175650370409E-3</v>
      </c>
      <c r="C250" s="27">
        <f>IFERROR('Price Data'!C250/'Price Data'!C249-1,0)</f>
        <v>-6.5233321635956854E-3</v>
      </c>
      <c r="D250" s="27">
        <f>IFERROR('Price Data'!D250/'Price Data'!D249-1,0)</f>
        <v>4.6660782179219762E-3</v>
      </c>
      <c r="E250" s="27">
        <f>IFERROR('Price Data'!E250/'Price Data'!E249-1,0)</f>
        <v>2.8095916530925802E-3</v>
      </c>
      <c r="F250" s="27">
        <f>IFERROR('Price Data'!F250/'Price Data'!F249-1,0)</f>
        <v>5.4767485016682382E-3</v>
      </c>
      <c r="G250" s="27">
        <f>B250*Portfolio!$D$5+C250*Portfolio!$D$6+D250*Portfolio!$D$7+E250*Portfolio!$D$8+F250*Portfolio!$D$9</f>
        <v>1.057913017158857E-3</v>
      </c>
      <c r="H250" s="27">
        <f>IFERROR('Price Data'!G250/'Price Data'!G249-1,0)</f>
        <v>4.8317180721269004E-4</v>
      </c>
    </row>
    <row r="251" spans="1:8" ht="15">
      <c r="A251" s="25">
        <f>'Price Data'!A251</f>
        <v>45293</v>
      </c>
      <c r="B251" s="27">
        <f>IFERROR('Price Data'!B251/'Price Data'!B250-1,0)</f>
        <v>8.281024461512132E-3</v>
      </c>
      <c r="C251" s="27">
        <f>IFERROR('Price Data'!C251/'Price Data'!C250-1,0)</f>
        <v>5.8888433520376537E-4</v>
      </c>
      <c r="D251" s="27">
        <f>IFERROR('Price Data'!D251/'Price Data'!D250-1,0)</f>
        <v>-7.3207032158499885E-3</v>
      </c>
      <c r="E251" s="27">
        <f>IFERROR('Price Data'!E251/'Price Data'!E250-1,0)</f>
        <v>-1.7160286488529186E-2</v>
      </c>
      <c r="F251" s="27">
        <f>IFERROR('Price Data'!F251/'Price Data'!F250-1,0)</f>
        <v>-1.0926024577898485E-2</v>
      </c>
      <c r="G251" s="27">
        <f>B251*Portfolio!$D$5+C251*Portfolio!$D$6+D251*Portfolio!$D$7+E251*Portfolio!$D$8+F251*Portfolio!$D$9</f>
        <v>-3.4596101039551744E-3</v>
      </c>
      <c r="H251" s="27">
        <f>IFERROR('Price Data'!G251/'Price Data'!G250-1,0)</f>
        <v>-3.5001360510240609E-3</v>
      </c>
    </row>
    <row r="252" spans="1:8" ht="15">
      <c r="A252" s="25">
        <f>'Price Data'!A252</f>
        <v>45294</v>
      </c>
      <c r="B252" s="27">
        <f>IFERROR('Price Data'!B252/'Price Data'!B251-1,0)</f>
        <v>-1.0874019967349269E-2</v>
      </c>
      <c r="C252" s="27">
        <f>IFERROR('Price Data'!C252/'Price Data'!C251-1,0)</f>
        <v>-1.541992926592517E-2</v>
      </c>
      <c r="D252" s="27">
        <f>IFERROR('Price Data'!D252/'Price Data'!D251-1,0)</f>
        <v>-2.4172715791851207E-2</v>
      </c>
      <c r="E252" s="27">
        <f>IFERROR('Price Data'!E252/'Price Data'!E251-1,0)</f>
        <v>1.8324896659962508E-3</v>
      </c>
      <c r="F252" s="27">
        <f>IFERROR('Price Data'!F252/'Price Data'!F251-1,0)</f>
        <v>-2.8936296069155598E-2</v>
      </c>
      <c r="G252" s="27">
        <f>B252*Portfolio!$D$5+C252*Portfolio!$D$6+D252*Portfolio!$D$7+E252*Portfolio!$D$8+F252*Portfolio!$D$9</f>
        <v>-1.5473601427162753E-2</v>
      </c>
      <c r="H252" s="27">
        <f>IFERROR('Price Data'!G252/'Price Data'!G251-1,0)</f>
        <v>-6.8518663756694798E-3</v>
      </c>
    </row>
    <row r="253" spans="1:8" ht="15">
      <c r="A253" s="25">
        <f>'Price Data'!A253</f>
        <v>45295</v>
      </c>
      <c r="B253" s="27">
        <f>IFERROR('Price Data'!B253/'Price Data'!B252-1,0)</f>
        <v>5.1676131410103299E-3</v>
      </c>
      <c r="C253" s="27">
        <f>IFERROR('Price Data'!C253/'Price Data'!C252-1,0)</f>
        <v>1.0729871622110254E-2</v>
      </c>
      <c r="D253" s="27">
        <f>IFERROR('Price Data'!D253/'Price Data'!D252-1,0)</f>
        <v>-6.7582807885991913E-3</v>
      </c>
      <c r="E253" s="27">
        <f>IFERROR('Price Data'!E253/'Price Data'!E252-1,0)</f>
        <v>3.1502903200690824E-3</v>
      </c>
      <c r="F253" s="27">
        <f>IFERROR('Price Data'!F253/'Price Data'!F252-1,0)</f>
        <v>1.5234835862886209E-2</v>
      </c>
      <c r="G253" s="27">
        <f>B253*Portfolio!$D$5+C253*Portfolio!$D$6+D253*Portfolio!$D$7+E253*Portfolio!$D$8+F253*Portfolio!$D$9</f>
        <v>5.3804839605036013E-3</v>
      </c>
      <c r="H253" s="27">
        <f>IFERROR('Price Data'!G253/'Price Data'!G252-1,0)</f>
        <v>6.5644701863494248E-3</v>
      </c>
    </row>
    <row r="254" spans="1:8" ht="15">
      <c r="A254" s="25">
        <f>'Price Data'!A254</f>
        <v>45296</v>
      </c>
      <c r="B254" s="27">
        <f>IFERROR('Price Data'!B254/'Price Data'!B253-1,0)</f>
        <v>4.2555317297459094E-3</v>
      </c>
      <c r="C254" s="27">
        <f>IFERROR('Price Data'!C254/'Price Data'!C253-1,0)</f>
        <v>-5.1157964276130619E-3</v>
      </c>
      <c r="D254" s="27">
        <f>IFERROR('Price Data'!D254/'Price Data'!D253-1,0)</f>
        <v>1.9390234067240719E-2</v>
      </c>
      <c r="E254" s="27">
        <f>IFERROR('Price Data'!E254/'Price Data'!E253-1,0)</f>
        <v>6.6352295977090137E-3</v>
      </c>
      <c r="F254" s="27">
        <f>IFERROR('Price Data'!F254/'Price Data'!F253-1,0)</f>
        <v>1.3122297511541037E-2</v>
      </c>
      <c r="G254" s="27">
        <f>B254*Portfolio!$D$5+C254*Portfolio!$D$6+D254*Portfolio!$D$7+E254*Portfolio!$D$8+F254*Portfolio!$D$9</f>
        <v>6.6266097053688626E-3</v>
      </c>
      <c r="H254" s="27">
        <f>IFERROR('Price Data'!G254/'Price Data'!G253-1,0)</f>
        <v>2.4101822286055619E-3</v>
      </c>
    </row>
    <row r="255" spans="1:8" ht="15">
      <c r="A255" s="25">
        <f>'Price Data'!A255</f>
        <v>45299</v>
      </c>
      <c r="B255" s="27">
        <f>IFERROR('Price Data'!B255/'Price Data'!B254-1,0)</f>
        <v>-7.8036799213028196E-3</v>
      </c>
      <c r="C255" s="27">
        <f>IFERROR('Price Data'!C255/'Price Data'!C254-1,0)</f>
        <v>-1.1146097259336463E-2</v>
      </c>
      <c r="D255" s="27">
        <f>IFERROR('Price Data'!D255/'Price Data'!D254-1,0)</f>
        <v>-1.5944750303592437E-2</v>
      </c>
      <c r="E255" s="27">
        <f>IFERROR('Price Data'!E255/'Price Data'!E254-1,0)</f>
        <v>-1.1774153946308985E-2</v>
      </c>
      <c r="F255" s="27">
        <f>IFERROR('Price Data'!F255/'Price Data'!F254-1,0)</f>
        <v>-6.3619021244629703E-3</v>
      </c>
      <c r="G255" s="27">
        <f>B255*Portfolio!$D$5+C255*Portfolio!$D$6+D255*Portfolio!$D$7+E255*Portfolio!$D$8+F255*Portfolio!$D$9</f>
        <v>-1.0646802766494101E-2</v>
      </c>
      <c r="H255" s="27">
        <f>IFERROR('Price Data'!G255/'Price Data'!G254-1,0)</f>
        <v>-9.1107086856430097E-3</v>
      </c>
    </row>
    <row r="256" spans="1:8" ht="15">
      <c r="A256" s="25">
        <f>'Price Data'!A256</f>
        <v>45300</v>
      </c>
      <c r="B256" s="27">
        <f>IFERROR('Price Data'!B256/'Price Data'!B255-1,0)</f>
        <v>-2.6475651835438097E-3</v>
      </c>
      <c r="C256" s="27">
        <f>IFERROR('Price Data'!C256/'Price Data'!C255-1,0)</f>
        <v>-7.7849964255890525E-3</v>
      </c>
      <c r="D256" s="27">
        <f>IFERROR('Price Data'!D256/'Price Data'!D255-1,0)</f>
        <v>3.1535211562645493E-3</v>
      </c>
      <c r="E256" s="27">
        <f>IFERROR('Price Data'!E256/'Price Data'!E255-1,0)</f>
        <v>-2.291274206203342E-3</v>
      </c>
      <c r="F256" s="27">
        <f>IFERROR('Price Data'!F256/'Price Data'!F255-1,0)</f>
        <v>4.2683363882962677E-3</v>
      </c>
      <c r="G256" s="27">
        <f>B256*Portfolio!$D$5+C256*Portfolio!$D$6+D256*Portfolio!$D$7+E256*Portfolio!$D$8+F256*Portfolio!$D$9</f>
        <v>-1.6808768437163672E-3</v>
      </c>
      <c r="H256" s="27">
        <f>IFERROR('Price Data'!G256/'Price Data'!G255-1,0)</f>
        <v>1.4804820050666745E-3</v>
      </c>
    </row>
    <row r="257" spans="1:8" ht="15">
      <c r="A257" s="25">
        <f>'Price Data'!A257</f>
        <v>45301</v>
      </c>
      <c r="B257" s="27">
        <f>IFERROR('Price Data'!B257/'Price Data'!B256-1,0)</f>
        <v>2.6971545945415842E-2</v>
      </c>
      <c r="C257" s="27">
        <f>IFERROR('Price Data'!C257/'Price Data'!C256-1,0)</f>
        <v>3.3019938713449992E-3</v>
      </c>
      <c r="D257" s="27">
        <f>IFERROR('Price Data'!D257/'Price Data'!D256-1,0)</f>
        <v>6.273822151600994E-3</v>
      </c>
      <c r="E257" s="27">
        <f>IFERROR('Price Data'!E257/'Price Data'!E256-1,0)</f>
        <v>1.3574890697667152E-2</v>
      </c>
      <c r="F257" s="27">
        <f>IFERROR('Price Data'!F257/'Price Data'!F256-1,0)</f>
        <v>-6.1466678943140618E-3</v>
      </c>
      <c r="G257" s="27">
        <f>B257*Portfolio!$D$5+C257*Portfolio!$D$6+D257*Portfolio!$D$7+E257*Portfolio!$D$8+F257*Portfolio!$D$9</f>
        <v>9.9373828050133717E-3</v>
      </c>
      <c r="H257" s="27">
        <f>IFERROR('Price Data'!G257/'Price Data'!G256-1,0)</f>
        <v>3.4277152411805734E-3</v>
      </c>
    </row>
    <row r="258" spans="1:8" ht="15">
      <c r="A258" s="25">
        <f>'Price Data'!A258</f>
        <v>45302</v>
      </c>
      <c r="B258" s="27">
        <f>IFERROR('Price Data'!B258/'Price Data'!B257-1,0)</f>
        <v>2.6300947772074146E-2</v>
      </c>
      <c r="C258" s="27">
        <f>IFERROR('Price Data'!C258/'Price Data'!C257-1,0)</f>
        <v>-4.1969370119943061E-3</v>
      </c>
      <c r="D258" s="27">
        <f>IFERROR('Price Data'!D258/'Price Data'!D257-1,0)</f>
        <v>6.0598189224436716E-3</v>
      </c>
      <c r="E258" s="27">
        <f>IFERROR('Price Data'!E258/'Price Data'!E257-1,0)</f>
        <v>-1.9132616009639447E-3</v>
      </c>
      <c r="F258" s="27">
        <f>IFERROR('Price Data'!F258/'Price Data'!F257-1,0)</f>
        <v>-1.690896051325097E-2</v>
      </c>
      <c r="G258" s="27">
        <f>B258*Portfolio!$D$5+C258*Portfolio!$D$6+D258*Portfolio!$D$7+E258*Portfolio!$D$8+F258*Portfolio!$D$9</f>
        <v>3.914633157376458E-3</v>
      </c>
      <c r="H258" s="27">
        <f>IFERROR('Price Data'!G258/'Price Data'!G257-1,0)</f>
        <v>1.3183031833516878E-3</v>
      </c>
    </row>
    <row r="259" spans="1:8" ht="15">
      <c r="A259" s="25">
        <f>'Price Data'!A259</f>
        <v>45303</v>
      </c>
      <c r="B259" s="27">
        <f>IFERROR('Price Data'!B259/'Price Data'!B258-1,0)</f>
        <v>7.9600754354349768E-3</v>
      </c>
      <c r="C259" s="27">
        <f>IFERROR('Price Data'!C259/'Price Data'!C258-1,0)</f>
        <v>-4.7302051332679396E-3</v>
      </c>
      <c r="D259" s="27">
        <f>IFERROR('Price Data'!D259/'Price Data'!D258-1,0)</f>
        <v>3.941865343932105E-2</v>
      </c>
      <c r="E259" s="27">
        <f>IFERROR('Price Data'!E259/'Price Data'!E258-1,0)</f>
        <v>1.2460258785127465E-2</v>
      </c>
      <c r="F259" s="27">
        <f>IFERROR('Price Data'!F259/'Price Data'!F258-1,0)</f>
        <v>7.9340171134446358E-2</v>
      </c>
      <c r="G259" s="27">
        <f>B259*Portfolio!$D$5+C259*Portfolio!$D$6+D259*Portfolio!$D$7+E259*Portfolio!$D$8+F259*Portfolio!$D$9</f>
        <v>2.2461262751342043E-2</v>
      </c>
      <c r="H259" s="27">
        <f>IFERROR('Price Data'!G259/'Price Data'!G258-1,0)</f>
        <v>1.1426492637705898E-2</v>
      </c>
    </row>
    <row r="260" spans="1:8" ht="15">
      <c r="A260" s="25">
        <f>'Price Data'!A260</f>
        <v>45306</v>
      </c>
      <c r="B260" s="27">
        <f>IFERROR('Price Data'!B260/'Price Data'!B259-1,0)</f>
        <v>1.7071106552575044E-2</v>
      </c>
      <c r="C260" s="27">
        <f>IFERROR('Price Data'!C260/'Price Data'!C259-1,0)</f>
        <v>1.9254263629960189E-2</v>
      </c>
      <c r="D260" s="27">
        <f>IFERROR('Price Data'!D260/'Price Data'!D259-1,0)</f>
        <v>5.4083330824248321E-3</v>
      </c>
      <c r="E260" s="27">
        <f>IFERROR('Price Data'!E260/'Price Data'!E259-1,0)</f>
        <v>6.3278168938987189E-3</v>
      </c>
      <c r="F260" s="27">
        <f>IFERROR('Price Data'!F260/'Price Data'!F259-1,0)</f>
        <v>2.4399296761711708E-2</v>
      </c>
      <c r="G260" s="27">
        <f>B260*Portfolio!$D$5+C260*Portfolio!$D$6+D260*Portfolio!$D$7+E260*Portfolio!$D$8+F260*Portfolio!$D$9</f>
        <v>1.4772076210460337E-2</v>
      </c>
      <c r="H260" s="27">
        <f>IFERROR('Price Data'!G260/'Price Data'!G259-1,0)</f>
        <v>9.2670746948486649E-3</v>
      </c>
    </row>
    <row r="261" spans="1:8" ht="15">
      <c r="A261" s="25">
        <f>'Price Data'!A261</f>
        <v>45307</v>
      </c>
      <c r="B261" s="27">
        <f>IFERROR('Price Data'!B261/'Price Data'!B260-1,0)</f>
        <v>-1.3987131296874233E-2</v>
      </c>
      <c r="C261" s="27">
        <f>IFERROR('Price Data'!C261/'Price Data'!C260-1,0)</f>
        <v>3.7960173749529424E-3</v>
      </c>
      <c r="D261" s="27">
        <f>IFERROR('Price Data'!D261/'Price Data'!D260-1,0)</f>
        <v>-1.088677663816362E-2</v>
      </c>
      <c r="E261" s="27">
        <f>IFERROR('Price Data'!E261/'Price Data'!E260-1,0)</f>
        <v>-7.9214647737468891E-4</v>
      </c>
      <c r="F261" s="27">
        <f>IFERROR('Price Data'!F261/'Price Data'!F260-1,0)</f>
        <v>-1.2438734593798406E-2</v>
      </c>
      <c r="G261" s="27">
        <f>B261*Portfolio!$D$5+C261*Portfolio!$D$6+D261*Portfolio!$D$7+E261*Portfolio!$D$8+F261*Portfolio!$D$9</f>
        <v>-6.7097659687890103E-3</v>
      </c>
      <c r="H261" s="27">
        <f>IFERROR('Price Data'!G261/'Price Data'!G260-1,0)</f>
        <v>-2.9482333845447517E-3</v>
      </c>
    </row>
    <row r="262" spans="1:8" ht="15">
      <c r="A262" s="25">
        <f>'Price Data'!A262</f>
        <v>45308</v>
      </c>
      <c r="B262" s="27">
        <f>IFERROR('Price Data'!B262/'Price Data'!B261-1,0)</f>
        <v>-9.4935195800246452E-3</v>
      </c>
      <c r="C262" s="27">
        <f>IFERROR('Price Data'!C262/'Price Data'!C261-1,0)</f>
        <v>-8.4358169335404631E-2</v>
      </c>
      <c r="D262" s="27">
        <f>IFERROR('Price Data'!D262/'Price Data'!D261-1,0)</f>
        <v>6.034141078290034E-3</v>
      </c>
      <c r="E262" s="27">
        <f>IFERROR('Price Data'!E262/'Price Data'!E261-1,0)</f>
        <v>-2.7055157921658246E-2</v>
      </c>
      <c r="F262" s="27">
        <f>IFERROR('Price Data'!F262/'Price Data'!F261-1,0)</f>
        <v>5.3016834982391181E-3</v>
      </c>
      <c r="G262" s="27">
        <f>B262*Portfolio!$D$5+C262*Portfolio!$D$6+D262*Portfolio!$D$7+E262*Portfolio!$D$8+F262*Portfolio!$D$9</f>
        <v>-2.5519115176712182E-2</v>
      </c>
      <c r="H262" s="27">
        <f>IFERROR('Price Data'!G262/'Price Data'!G261-1,0)</f>
        <v>-2.0894393512082443E-2</v>
      </c>
    </row>
    <row r="263" spans="1:8" ht="15">
      <c r="A263" s="25">
        <f>'Price Data'!A263</f>
        <v>45309</v>
      </c>
      <c r="B263" s="27">
        <f>IFERROR('Price Data'!B263/'Price Data'!B262-1,0)</f>
        <v>4.6820122390509589E-3</v>
      </c>
      <c r="C263" s="27">
        <f>IFERROR('Price Data'!C263/'Price Data'!C262-1,0)</f>
        <v>-3.3398403377948749E-2</v>
      </c>
      <c r="D263" s="27">
        <f>IFERROR('Price Data'!D263/'Price Data'!D262-1,0)</f>
        <v>4.6338892988202485E-3</v>
      </c>
      <c r="E263" s="27">
        <f>IFERROR('Price Data'!E263/'Price Data'!E262-1,0)</f>
        <v>4.685449326059965E-3</v>
      </c>
      <c r="F263" s="27">
        <f>IFERROR('Price Data'!F263/'Price Data'!F262-1,0)</f>
        <v>1.4632946362607147E-3</v>
      </c>
      <c r="G263" s="27">
        <f>B263*Portfolio!$D$5+C263*Portfolio!$D$6+D263*Portfolio!$D$7+E263*Portfolio!$D$8+F263*Portfolio!$D$9</f>
        <v>-5.3300083306122951E-3</v>
      </c>
      <c r="H263" s="27">
        <f>IFERROR('Price Data'!G263/'Price Data'!G262-1,0)</f>
        <v>-5.0852715087356115E-3</v>
      </c>
    </row>
    <row r="264" spans="1:8" ht="15">
      <c r="A264" s="25">
        <f>'Price Data'!A264</f>
        <v>45310</v>
      </c>
      <c r="B264" s="27">
        <f>IFERROR('Price Data'!B264/'Price Data'!B263-1,0)</f>
        <v>-3.6549294992371806E-4</v>
      </c>
      <c r="C264" s="27">
        <f>IFERROR('Price Data'!C264/'Price Data'!C263-1,0)</f>
        <v>-1.0429643781651676E-2</v>
      </c>
      <c r="D264" s="27">
        <f>IFERROR('Price Data'!D264/'Price Data'!D263-1,0)</f>
        <v>1.7403703043304297E-2</v>
      </c>
      <c r="E264" s="27">
        <f>IFERROR('Price Data'!E264/'Price Data'!E263-1,0)</f>
        <v>1.3027885990588572E-2</v>
      </c>
      <c r="F264" s="27">
        <f>IFERROR('Price Data'!F264/'Price Data'!F263-1,0)</f>
        <v>1.0105922760389907E-2</v>
      </c>
      <c r="G264" s="27">
        <f>B264*Portfolio!$D$5+C264*Portfolio!$D$6+D264*Portfolio!$D$7+E264*Portfolio!$D$8+F264*Portfolio!$D$9</f>
        <v>4.2520277384137826E-3</v>
      </c>
      <c r="H264" s="27">
        <f>IFERROR('Price Data'!G264/'Price Data'!G263-1,0)</f>
        <v>7.4619571864553702E-3</v>
      </c>
    </row>
    <row r="265" spans="1:8" ht="15">
      <c r="A265" s="25">
        <f>'Price Data'!A265</f>
        <v>45314</v>
      </c>
      <c r="B265" s="27">
        <f>IFERROR('Price Data'!B265/'Price Data'!B264-1,0)</f>
        <v>-2.842879948539434E-2</v>
      </c>
      <c r="C265" s="27">
        <f>IFERROR('Price Data'!C265/'Price Data'!C264-1,0)</f>
        <v>-2.9442724171041879E-2</v>
      </c>
      <c r="D265" s="27">
        <f>IFERROR('Price Data'!D265/'Price Data'!D264-1,0)</f>
        <v>-2.1506175040358122E-2</v>
      </c>
      <c r="E265" s="27">
        <f>IFERROR('Price Data'!E265/'Price Data'!E264-1,0)</f>
        <v>2.9873942066992454E-2</v>
      </c>
      <c r="F265" s="27">
        <f>IFERROR('Price Data'!F265/'Price Data'!F264-1,0)</f>
        <v>-1.0276015787932913E-2</v>
      </c>
      <c r="G265" s="27">
        <f>B265*Portfolio!$D$5+C265*Portfolio!$D$6+D265*Portfolio!$D$7+E265*Portfolio!$D$8+F265*Portfolio!$D$9</f>
        <v>-1.5829426980321748E-2</v>
      </c>
      <c r="H265" s="27">
        <f>IFERROR('Price Data'!G265/'Price Data'!G264-1,0)</f>
        <v>-1.774084294273448E-2</v>
      </c>
    </row>
    <row r="266" spans="1:8" ht="15">
      <c r="A266" s="25">
        <f>'Price Data'!A266</f>
        <v>45315</v>
      </c>
      <c r="B266" s="27">
        <f>IFERROR('Price Data'!B266/'Price Data'!B265-1,0)</f>
        <v>1.151617895516277E-2</v>
      </c>
      <c r="C266" s="27">
        <f>IFERROR('Price Data'!C266/'Price Data'!C265-1,0)</f>
        <v>2.0002131059821737E-2</v>
      </c>
      <c r="D266" s="27">
        <f>IFERROR('Price Data'!D266/'Price Data'!D265-1,0)</f>
        <v>-4.2635487678225337E-3</v>
      </c>
      <c r="E266" s="27">
        <f>IFERROR('Price Data'!E266/'Price Data'!E265-1,0)</f>
        <v>-2.9007377356333963E-2</v>
      </c>
      <c r="F266" s="27">
        <f>IFERROR('Price Data'!F266/'Price Data'!F265-1,0)</f>
        <v>2.0247794355013671E-2</v>
      </c>
      <c r="G266" s="27">
        <f>B266*Portfolio!$D$5+C266*Portfolio!$D$6+D266*Portfolio!$D$7+E266*Portfolio!$D$8+F266*Portfolio!$D$9</f>
        <v>5.7129302999835759E-3</v>
      </c>
      <c r="H266" s="27">
        <f>IFERROR('Price Data'!G266/'Price Data'!G265-1,0)</f>
        <v>1.0129971071150878E-2</v>
      </c>
    </row>
    <row r="267" spans="1:8" ht="15">
      <c r="A267" s="25">
        <f>'Price Data'!A267</f>
        <v>45316</v>
      </c>
      <c r="B267" s="27">
        <f>IFERROR('Price Data'!B267/'Price Data'!B266-1,0)</f>
        <v>6.8457486895843189E-3</v>
      </c>
      <c r="C267" s="27">
        <f>IFERROR('Price Data'!C267/'Price Data'!C266-1,0)</f>
        <v>-1.4424018653870885E-2</v>
      </c>
      <c r="D267" s="27">
        <f>IFERROR('Price Data'!D267/'Price Data'!D266-1,0)</f>
        <v>-8.1993227601983021E-3</v>
      </c>
      <c r="E267" s="27">
        <f>IFERROR('Price Data'!E267/'Price Data'!E266-1,0)</f>
        <v>1.075863233599561E-2</v>
      </c>
      <c r="F267" s="27">
        <f>IFERROR('Price Data'!F267/'Price Data'!F266-1,0)</f>
        <v>-3.7603374491927966E-3</v>
      </c>
      <c r="G267" s="27">
        <f>B267*Portfolio!$D$5+C267*Portfolio!$D$6+D267*Portfolio!$D$7+E267*Portfolio!$D$8+F267*Portfolio!$D$9</f>
        <v>-2.48468781009088E-3</v>
      </c>
      <c r="H267" s="27">
        <f>IFERROR('Price Data'!G267/'Price Data'!G266-1,0)</f>
        <v>-4.7240537554001927E-3</v>
      </c>
    </row>
    <row r="268" spans="1:8" ht="15">
      <c r="A268" s="25">
        <f>'Price Data'!A268</f>
        <v>45320</v>
      </c>
      <c r="B268" s="27">
        <f>IFERROR('Price Data'!B268/'Price Data'!B267-1,0)</f>
        <v>7.0192022452243652E-2</v>
      </c>
      <c r="C268" s="27">
        <f>IFERROR('Price Data'!C268/'Price Data'!C267-1,0)</f>
        <v>1.376389972183456E-2</v>
      </c>
      <c r="D268" s="27">
        <f>IFERROR('Price Data'!D268/'Price Data'!D267-1,0)</f>
        <v>-2.4408263894279969E-3</v>
      </c>
      <c r="E268" s="27">
        <f>IFERROR('Price Data'!E268/'Price Data'!E267-1,0)</f>
        <v>6.3864205823920273E-3</v>
      </c>
      <c r="F268" s="27">
        <f>IFERROR('Price Data'!F268/'Price Data'!F267-1,0)</f>
        <v>-7.4890643280516311E-3</v>
      </c>
      <c r="G268" s="27">
        <f>B268*Portfolio!$D$5+C268*Portfolio!$D$6+D268*Portfolio!$D$7+E268*Portfolio!$D$8+F268*Portfolio!$D$9</f>
        <v>2.0335418703785014E-2</v>
      </c>
      <c r="H268" s="27">
        <f>IFERROR('Price Data'!G268/'Price Data'!G267-1,0)</f>
        <v>1.8030591452244726E-2</v>
      </c>
    </row>
    <row r="269" spans="1:8" ht="15">
      <c r="A269" s="25">
        <f>'Price Data'!A269</f>
        <v>45321</v>
      </c>
      <c r="B269" s="27">
        <f>IFERROR('Price Data'!B269/'Price Data'!B268-1,0)</f>
        <v>-2.7916800826681687E-2</v>
      </c>
      <c r="C269" s="27">
        <f>IFERROR('Price Data'!C269/'Price Data'!C268-1,0)</f>
        <v>-7.1149685494464876E-3</v>
      </c>
      <c r="D269" s="27">
        <f>IFERROR('Price Data'!D269/'Price Data'!D268-1,0)</f>
        <v>-1.1842818996321558E-4</v>
      </c>
      <c r="E269" s="27">
        <f>IFERROR('Price Data'!E269/'Price Data'!E268-1,0)</f>
        <v>4.9200019042805465E-4</v>
      </c>
      <c r="F269" s="27">
        <f>IFERROR('Price Data'!F269/'Price Data'!F268-1,0)</f>
        <v>-3.1088729216208755E-3</v>
      </c>
      <c r="G269" s="27">
        <f>B269*Portfolio!$D$5+C269*Portfolio!$D$6+D269*Portfolio!$D$7+E269*Portfolio!$D$8+F269*Portfolio!$D$9</f>
        <v>-9.1741588917036102E-3</v>
      </c>
      <c r="H269" s="27">
        <f>IFERROR('Price Data'!G269/'Price Data'!G268-1,0)</f>
        <v>-9.9136981024832149E-3</v>
      </c>
    </row>
    <row r="270" spans="1:8" ht="15">
      <c r="A270" s="25">
        <f>'Price Data'!A270</f>
        <v>45322</v>
      </c>
      <c r="B270" s="27">
        <f>IFERROR('Price Data'!B270/'Price Data'!B269-1,0)</f>
        <v>1.3497792627487293E-2</v>
      </c>
      <c r="C270" s="27">
        <f>IFERROR('Price Data'!C270/'Price Data'!C269-1,0)</f>
        <v>1.2635770049004069E-2</v>
      </c>
      <c r="D270" s="27">
        <f>IFERROR('Price Data'!D270/'Price Data'!D269-1,0)</f>
        <v>4.0520984683880545E-3</v>
      </c>
      <c r="E270" s="27">
        <f>IFERROR('Price Data'!E270/'Price Data'!E269-1,0)</f>
        <v>1.1063004900928153E-2</v>
      </c>
      <c r="F270" s="27">
        <f>IFERROR('Price Data'!F270/'Price Data'!F269-1,0)</f>
        <v>5.7222677637267516E-3</v>
      </c>
      <c r="G270" s="27">
        <f>B270*Portfolio!$D$5+C270*Portfolio!$D$6+D270*Portfolio!$D$7+E270*Portfolio!$D$8+F270*Portfolio!$D$9</f>
        <v>9.8616012624986871E-3</v>
      </c>
      <c r="H270" s="27">
        <f>IFERROR('Price Data'!G270/'Price Data'!G269-1,0)</f>
        <v>9.4600254190029265E-3</v>
      </c>
    </row>
    <row r="271" spans="1:8" ht="15">
      <c r="A271" s="25">
        <f>'Price Data'!A271</f>
        <v>45323</v>
      </c>
      <c r="B271" s="27">
        <f>IFERROR('Price Data'!B271/'Price Data'!B270-1,0)</f>
        <v>1.757932671186957E-5</v>
      </c>
      <c r="C271" s="27">
        <f>IFERROR('Price Data'!C271/'Price Data'!C270-1,0)</f>
        <v>2.5982312363042048E-3</v>
      </c>
      <c r="D271" s="27">
        <f>IFERROR('Price Data'!D271/'Price Data'!D270-1,0)</f>
        <v>1.0010570451015388E-2</v>
      </c>
      <c r="E271" s="27">
        <f>IFERROR('Price Data'!E271/'Price Data'!E270-1,0)</f>
        <v>-2.9178423352682614E-3</v>
      </c>
      <c r="F271" s="27">
        <f>IFERROR('Price Data'!F271/'Price Data'!F270-1,0)</f>
        <v>-2.317882194353249E-3</v>
      </c>
      <c r="G271" s="27">
        <f>B271*Portfolio!$D$5+C271*Portfolio!$D$6+D271*Portfolio!$D$7+E271*Portfolio!$D$8+F271*Portfolio!$D$9</f>
        <v>1.8707080515138698E-3</v>
      </c>
      <c r="H271" s="27">
        <f>IFERROR('Price Data'!G271/'Price Data'!G270-1,0)</f>
        <v>-1.3003033741542103E-3</v>
      </c>
    </row>
    <row r="272" spans="1:8" ht="15">
      <c r="A272" s="25">
        <f>'Price Data'!A272</f>
        <v>45324</v>
      </c>
      <c r="B272" s="27">
        <f>IFERROR('Price Data'!B272/'Price Data'!B271-1,0)</f>
        <v>2.1764296027886765E-2</v>
      </c>
      <c r="C272" s="27">
        <f>IFERROR('Price Data'!C272/'Price Data'!C271-1,0)</f>
        <v>-1.3775678938028335E-2</v>
      </c>
      <c r="D272" s="27">
        <f>IFERROR('Price Data'!D272/'Price Data'!D271-1,0)</f>
        <v>2.9098598418570765E-2</v>
      </c>
      <c r="E272" s="27">
        <f>IFERROR('Price Data'!E272/'Price Data'!E271-1,0)</f>
        <v>-1.1218631145458735E-3</v>
      </c>
      <c r="F272" s="27">
        <f>IFERROR('Price Data'!F272/'Price Data'!F271-1,0)</f>
        <v>2.1906404537082036E-2</v>
      </c>
      <c r="G272" s="27">
        <f>B272*Portfolio!$D$5+C272*Portfolio!$D$6+D272*Portfolio!$D$7+E272*Portfolio!$D$8+F272*Portfolio!$D$9</f>
        <v>1.0934555169559185E-2</v>
      </c>
      <c r="H272" s="27">
        <f>IFERROR('Price Data'!G272/'Price Data'!G271-1,0)</f>
        <v>7.2059881750932142E-3</v>
      </c>
    </row>
    <row r="273" spans="1:8" ht="15">
      <c r="A273" s="25">
        <f>'Price Data'!A273</f>
        <v>45327</v>
      </c>
      <c r="B273" s="27">
        <f>IFERROR('Price Data'!B273/'Price Data'!B272-1,0)</f>
        <v>-1.2811219482966152E-2</v>
      </c>
      <c r="C273" s="27">
        <f>IFERROR('Price Data'!C273/'Price Data'!C272-1,0)</f>
        <v>-8.9899510542212901E-4</v>
      </c>
      <c r="D273" s="27">
        <f>IFERROR('Price Data'!D273/'Price Data'!D272-1,0)</f>
        <v>1.764855799592624E-3</v>
      </c>
      <c r="E273" s="27">
        <f>IFERROR('Price Data'!E273/'Price Data'!E272-1,0)</f>
        <v>-4.8822747195831351E-4</v>
      </c>
      <c r="F273" s="27">
        <f>IFERROR('Price Data'!F273/'Price Data'!F272-1,0)</f>
        <v>-3.631847330367699E-3</v>
      </c>
      <c r="G273" s="27">
        <f>B273*Portfolio!$D$5+C273*Portfolio!$D$6+D273*Portfolio!$D$7+E273*Portfolio!$D$8+F273*Portfolio!$D$9</f>
        <v>-3.6925937075274473E-3</v>
      </c>
      <c r="H273" s="27">
        <f>IFERROR('Price Data'!G273/'Price Data'!G272-1,0)</f>
        <v>-3.7568550808078083E-3</v>
      </c>
    </row>
    <row r="274" spans="1:8" ht="15">
      <c r="A274" s="25">
        <f>'Price Data'!A274</f>
        <v>45328</v>
      </c>
      <c r="B274" s="27">
        <f>IFERROR('Price Data'!B274/'Price Data'!B273-1,0)</f>
        <v>-7.8004626878011019E-3</v>
      </c>
      <c r="C274" s="27">
        <f>IFERROR('Price Data'!C274/'Price Data'!C273-1,0)</f>
        <v>-5.1907698353714782E-4</v>
      </c>
      <c r="D274" s="27">
        <f>IFERROR('Price Data'!D274/'Price Data'!D273-1,0)</f>
        <v>4.0948239222990734E-2</v>
      </c>
      <c r="E274" s="27">
        <f>IFERROR('Price Data'!E274/'Price Data'!E273-1,0)</f>
        <v>2.8333934697817309E-3</v>
      </c>
      <c r="F274" s="27">
        <f>IFERROR('Price Data'!F274/'Price Data'!F273-1,0)</f>
        <v>2.5041475137018487E-2</v>
      </c>
      <c r="G274" s="27">
        <f>B274*Portfolio!$D$5+C274*Portfolio!$D$6+D274*Portfolio!$D$7+E274*Portfolio!$D$8+F274*Portfolio!$D$9</f>
        <v>1.0290993217783618E-2</v>
      </c>
      <c r="H274" s="27">
        <f>IFERROR('Price Data'!G274/'Price Data'!G273-1,0)</f>
        <v>7.2434021015312933E-3</v>
      </c>
    </row>
    <row r="275" spans="1:8" ht="15">
      <c r="A275" s="25">
        <f>'Price Data'!A275</f>
        <v>45329</v>
      </c>
      <c r="B275" s="27">
        <f>IFERROR('Price Data'!B275/'Price Data'!B274-1,0)</f>
        <v>1.0050473442150709E-2</v>
      </c>
      <c r="C275" s="27">
        <f>IFERROR('Price Data'!C275/'Price Data'!C274-1,0)</f>
        <v>-9.7984621056215193E-3</v>
      </c>
      <c r="D275" s="27">
        <f>IFERROR('Price Data'!D275/'Price Data'!D274-1,0)</f>
        <v>-1.2717604154140028E-2</v>
      </c>
      <c r="E275" s="27">
        <f>IFERROR('Price Data'!E275/'Price Data'!E274-1,0)</f>
        <v>-4.1406830129430139E-3</v>
      </c>
      <c r="F275" s="27">
        <f>IFERROR('Price Data'!F275/'Price Data'!F274-1,0)</f>
        <v>-2.0642372235642137E-2</v>
      </c>
      <c r="G275" s="27">
        <f>B275*Portfolio!$D$5+C275*Portfolio!$D$6+D275*Portfolio!$D$7+E275*Portfolio!$D$8+F275*Portfolio!$D$9</f>
        <v>-6.1979762839834817E-3</v>
      </c>
      <c r="H275" s="27">
        <f>IFERROR('Price Data'!G275/'Price Data'!G274-1,0)</f>
        <v>5.0143157378279568E-5</v>
      </c>
    </row>
    <row r="276" spans="1:8" ht="15">
      <c r="A276" s="25">
        <f>'Price Data'!A276</f>
        <v>45330</v>
      </c>
      <c r="B276" s="27">
        <f>IFERROR('Price Data'!B276/'Price Data'!B275-1,0)</f>
        <v>5.5298740152973647E-3</v>
      </c>
      <c r="C276" s="27">
        <f>IFERROR('Price Data'!C276/'Price Data'!C275-1,0)</f>
        <v>-1.8811857531741527E-2</v>
      </c>
      <c r="D276" s="27">
        <f>IFERROR('Price Data'!D276/'Price Data'!D275-1,0)</f>
        <v>1.2416047773733396E-2</v>
      </c>
      <c r="E276" s="27">
        <f>IFERROR('Price Data'!E276/'Price Data'!E275-1,0)</f>
        <v>-3.2138162021345229E-2</v>
      </c>
      <c r="F276" s="27">
        <f>IFERROR('Price Data'!F276/'Price Data'!F275-1,0)</f>
        <v>-9.7422324329143883E-4</v>
      </c>
      <c r="G276" s="27">
        <f>B276*Portfolio!$D$5+C276*Portfolio!$D$6+D276*Portfolio!$D$7+E276*Portfolio!$D$8+F276*Portfolio!$D$9</f>
        <v>-5.8041441140598612E-3</v>
      </c>
      <c r="H276" s="27">
        <f>IFERROR('Price Data'!G276/'Price Data'!G275-1,0)</f>
        <v>-9.6920171108729747E-3</v>
      </c>
    </row>
    <row r="277" spans="1:8" ht="15">
      <c r="A277" s="25">
        <f>'Price Data'!A277</f>
        <v>45331</v>
      </c>
      <c r="B277" s="27">
        <f>IFERROR('Price Data'!B277/'Price Data'!B276-1,0)</f>
        <v>7.3269656839050068E-3</v>
      </c>
      <c r="C277" s="27">
        <f>IFERROR('Price Data'!C277/'Price Data'!C276-1,0)</f>
        <v>3.9197888002528991E-4</v>
      </c>
      <c r="D277" s="27">
        <f>IFERROR('Price Data'!D277/'Price Data'!D276-1,0)</f>
        <v>-9.669536104162102E-5</v>
      </c>
      <c r="E277" s="27">
        <f>IFERROR('Price Data'!E277/'Price Data'!E276-1,0)</f>
        <v>2.1631506887626273E-2</v>
      </c>
      <c r="F277" s="27">
        <f>IFERROR('Price Data'!F277/'Price Data'!F276-1,0)</f>
        <v>-1.344497555217028E-2</v>
      </c>
      <c r="G277" s="27">
        <f>B277*Portfolio!$D$5+C277*Portfolio!$D$6+D277*Portfolio!$D$7+E277*Portfolio!$D$8+F277*Portfolio!$D$9</f>
        <v>3.1383767690926494E-3</v>
      </c>
      <c r="H277" s="27">
        <f>IFERROR('Price Data'!G277/'Price Data'!G276-1,0)</f>
        <v>2.9722318898448563E-3</v>
      </c>
    </row>
    <row r="278" spans="1:8" ht="15">
      <c r="A278" s="25">
        <f>'Price Data'!A278</f>
        <v>45334</v>
      </c>
      <c r="B278" s="27">
        <f>IFERROR('Price Data'!B278/'Price Data'!B277-1,0)</f>
        <v>-5.7504826885462768E-3</v>
      </c>
      <c r="C278" s="27">
        <f>IFERROR('Price Data'!C278/'Price Data'!C277-1,0)</f>
        <v>-9.6894562029876674E-3</v>
      </c>
      <c r="D278" s="27">
        <f>IFERROR('Price Data'!D278/'Price Data'!D277-1,0)</f>
        <v>-3.1447861670516053E-3</v>
      </c>
      <c r="E278" s="27">
        <f>IFERROR('Price Data'!E278/'Price Data'!E277-1,0)</f>
        <v>-1.4445511481588347E-2</v>
      </c>
      <c r="F278" s="27">
        <f>IFERROR('Price Data'!F278/'Price Data'!F277-1,0)</f>
        <v>6.4398092044748445E-3</v>
      </c>
      <c r="G278" s="27">
        <f>B278*Portfolio!$D$5+C278*Portfolio!$D$6+D278*Portfolio!$D$7+E278*Portfolio!$D$8+F278*Portfolio!$D$9</f>
        <v>-5.6897972978608323E-3</v>
      </c>
      <c r="H278" s="27">
        <f>IFERROR('Price Data'!G278/'Price Data'!G277-1,0)</f>
        <v>-7.6414194307357075E-3</v>
      </c>
    </row>
    <row r="279" spans="1:8" ht="15">
      <c r="A279" s="25">
        <f>'Price Data'!A279</f>
        <v>45335</v>
      </c>
      <c r="B279" s="27">
        <f>IFERROR('Price Data'!B279/'Price Data'!B278-1,0)</f>
        <v>8.7788378993871596E-3</v>
      </c>
      <c r="C279" s="27">
        <f>IFERROR('Price Data'!C279/'Price Data'!C278-1,0)</f>
        <v>3.2015912939609148E-3</v>
      </c>
      <c r="D279" s="27">
        <f>IFERROR('Price Data'!D279/'Price Data'!D278-1,0)</f>
        <v>6.9891229297134316E-3</v>
      </c>
      <c r="E279" s="27">
        <f>IFERROR('Price Data'!E279/'Price Data'!E278-1,0)</f>
        <v>2.3792812414444864E-2</v>
      </c>
      <c r="F279" s="27">
        <f>IFERROR('Price Data'!F279/'Price Data'!F278-1,0)</f>
        <v>2.6487066041216423E-3</v>
      </c>
      <c r="G279" s="27">
        <f>B279*Portfolio!$D$5+C279*Portfolio!$D$6+D279*Portfolio!$D$7+E279*Portfolio!$D$8+F279*Portfolio!$D$9</f>
        <v>8.3591597370646798E-3</v>
      </c>
      <c r="H279" s="27">
        <f>IFERROR('Price Data'!G279/'Price Data'!G278-1,0)</f>
        <v>5.8844800115076534E-3</v>
      </c>
    </row>
    <row r="280" spans="1:8" ht="15">
      <c r="A280" s="25">
        <f>'Price Data'!A280</f>
        <v>45336</v>
      </c>
      <c r="B280" s="27">
        <f>IFERROR('Price Data'!B280/'Price Data'!B279-1,0)</f>
        <v>1.1108443676987934E-2</v>
      </c>
      <c r="C280" s="27">
        <f>IFERROR('Price Data'!C280/'Price Data'!C279-1,0)</f>
        <v>-7.458058136613599E-3</v>
      </c>
      <c r="D280" s="27">
        <f>IFERROR('Price Data'!D280/'Price Data'!D279-1,0)</f>
        <v>-1.1904963268140389E-2</v>
      </c>
      <c r="E280" s="27">
        <f>IFERROR('Price Data'!E280/'Price Data'!E279-1,0)</f>
        <v>2.8437344557410427E-3</v>
      </c>
      <c r="F280" s="27">
        <f>IFERROR('Price Data'!F280/'Price Data'!F279-1,0)</f>
        <v>-1.0893247729207078E-2</v>
      </c>
      <c r="G280" s="27">
        <f>B280*Portfolio!$D$5+C280*Portfolio!$D$6+D280*Portfolio!$D$7+E280*Portfolio!$D$8+F280*Portfolio!$D$9</f>
        <v>-2.6758232595543996E-3</v>
      </c>
      <c r="H280" s="27">
        <f>IFERROR('Price Data'!G280/'Price Data'!G279-1,0)</f>
        <v>4.4519922849619586E-3</v>
      </c>
    </row>
    <row r="281" spans="1:8" ht="15">
      <c r="A281" s="25">
        <f>'Price Data'!A281</f>
        <v>45337</v>
      </c>
      <c r="B281" s="27">
        <f>IFERROR('Price Data'!B281/'Price Data'!B280-1,0)</f>
        <v>-7.2736458540001436E-3</v>
      </c>
      <c r="C281" s="27">
        <f>IFERROR('Price Data'!C281/'Price Data'!C280-1,0)</f>
        <v>2.1675454822285056E-2</v>
      </c>
      <c r="D281" s="27">
        <f>IFERROR('Price Data'!D281/'Price Data'!D280-1,0)</f>
        <v>7.5597318241937828E-4</v>
      </c>
      <c r="E281" s="27">
        <f>IFERROR('Price Data'!E281/'Price Data'!E280-1,0)</f>
        <v>-5.9157348234333273E-3</v>
      </c>
      <c r="F281" s="27">
        <f>IFERROR('Price Data'!F281/'Price Data'!F280-1,0)</f>
        <v>6.091768623456284E-3</v>
      </c>
      <c r="G281" s="27">
        <f>B281*Portfolio!$D$5+C281*Portfolio!$D$6+D281*Portfolio!$D$7+E281*Portfolio!$D$8+F281*Portfolio!$D$9</f>
        <v>3.778051948558547E-3</v>
      </c>
      <c r="H281" s="27">
        <f>IFERROR('Price Data'!G281/'Price Data'!G280-1,0)</f>
        <v>3.2371361888359207E-3</v>
      </c>
    </row>
    <row r="282" spans="1:8" ht="15">
      <c r="A282" s="25">
        <f>'Price Data'!A282</f>
        <v>45338</v>
      </c>
      <c r="B282" s="27">
        <f>IFERROR('Price Data'!B282/'Price Data'!B281-1,0)</f>
        <v>-6.8169258962368362E-3</v>
      </c>
      <c r="C282" s="27">
        <f>IFERROR('Price Data'!C282/'Price Data'!C281-1,0)</f>
        <v>4.1369526327172945E-3</v>
      </c>
      <c r="D282" s="27">
        <f>IFERROR('Price Data'!D282/'Price Data'!D281-1,0)</f>
        <v>6.1172331100072252E-3</v>
      </c>
      <c r="E282" s="27">
        <f>IFERROR('Price Data'!E282/'Price Data'!E281-1,0)</f>
        <v>6.4919390023412404E-3</v>
      </c>
      <c r="F282" s="27">
        <f>IFERROR('Price Data'!F282/'Price Data'!F281-1,0)</f>
        <v>1.5092326585060878E-2</v>
      </c>
      <c r="G282" s="27">
        <f>B282*Portfolio!$D$5+C282*Portfolio!$D$6+D282*Portfolio!$D$7+E282*Portfolio!$D$8+F282*Portfolio!$D$9</f>
        <v>3.7910931442318775E-3</v>
      </c>
      <c r="H282" s="27">
        <f>IFERROR('Price Data'!G282/'Price Data'!G281-1,0)</f>
        <v>5.9308430222606567E-3</v>
      </c>
    </row>
    <row r="283" spans="1:8" ht="15">
      <c r="A283" s="25">
        <f>'Price Data'!A283</f>
        <v>45341</v>
      </c>
      <c r="B283" s="27">
        <f>IFERROR('Price Data'!B283/'Price Data'!B282-1,0)</f>
        <v>9.1916572354653336E-3</v>
      </c>
      <c r="C283" s="27">
        <f>IFERROR('Price Data'!C283/'Price Data'!C282-1,0)</f>
        <v>-1.97192137669433E-3</v>
      </c>
      <c r="D283" s="27">
        <f>IFERROR('Price Data'!D283/'Price Data'!D282-1,0)</f>
        <v>-5.9346974280932718E-3</v>
      </c>
      <c r="E283" s="27">
        <f>IFERROR('Price Data'!E283/'Price Data'!E282-1,0)</f>
        <v>2.0034179751737602E-2</v>
      </c>
      <c r="F283" s="27">
        <f>IFERROR('Price Data'!F283/'Price Data'!F282-1,0)</f>
        <v>-1.1165138177439138E-3</v>
      </c>
      <c r="G283" s="27">
        <f>B283*Portfolio!$D$5+C283*Portfolio!$D$6+D283*Portfolio!$D$7+E283*Portfolio!$D$8+F283*Portfolio!$D$9</f>
        <v>3.4556443691731499E-3</v>
      </c>
      <c r="H283" s="27">
        <f>IFERROR('Price Data'!G283/'Price Data'!G282-1,0)</f>
        <v>3.7000088082788096E-3</v>
      </c>
    </row>
    <row r="284" spans="1:8" ht="15">
      <c r="A284" s="25">
        <f>'Price Data'!A284</f>
        <v>45342</v>
      </c>
      <c r="B284" s="27">
        <f>IFERROR('Price Data'!B284/'Price Data'!B283-1,0)</f>
        <v>-2.0183338909782744E-3</v>
      </c>
      <c r="C284" s="27">
        <f>IFERROR('Price Data'!C284/'Price Data'!C283-1,0)</f>
        <v>2.6250764107825786E-2</v>
      </c>
      <c r="D284" s="27">
        <f>IFERROR('Price Data'!D284/'Price Data'!D283-1,0)</f>
        <v>-1.7824934874016041E-2</v>
      </c>
      <c r="E284" s="27">
        <f>IFERROR('Price Data'!E284/'Price Data'!E283-1,0)</f>
        <v>4.790366915550015E-3</v>
      </c>
      <c r="F284" s="27">
        <f>IFERROR('Price Data'!F284/'Price Data'!F283-1,0)</f>
        <v>-8.5307756228952814E-3</v>
      </c>
      <c r="G284" s="27">
        <f>B284*Portfolio!$D$5+C284*Portfolio!$D$6+D284*Portfolio!$D$7+E284*Portfolio!$D$8+F284*Portfolio!$D$9</f>
        <v>1.9320592733068796E-3</v>
      </c>
      <c r="H284" s="27">
        <f>IFERROR('Price Data'!G284/'Price Data'!G283-1,0)</f>
        <v>3.3766555730090353E-3</v>
      </c>
    </row>
    <row r="285" spans="1:8" ht="15">
      <c r="A285" s="25">
        <f>'Price Data'!A285</f>
        <v>45343</v>
      </c>
      <c r="B285" s="27">
        <f>IFERROR('Price Data'!B285/'Price Data'!B284-1,0)</f>
        <v>-2.2603421318484473E-3</v>
      </c>
      <c r="C285" s="27">
        <f>IFERROR('Price Data'!C285/'Price Data'!C284-1,0)</f>
        <v>-1.0417344205750023E-2</v>
      </c>
      <c r="D285" s="27">
        <f>IFERROR('Price Data'!D285/'Price Data'!D284-1,0)</f>
        <v>-9.7131378970340965E-3</v>
      </c>
      <c r="E285" s="27">
        <f>IFERROR('Price Data'!E285/'Price Data'!E284-1,0)</f>
        <v>3.0511757810156581E-3</v>
      </c>
      <c r="F285" s="27">
        <f>IFERROR('Price Data'!F285/'Price Data'!F284-1,0)</f>
        <v>-1.7623524190785278E-2</v>
      </c>
      <c r="G285" s="27">
        <f>B285*Portfolio!$D$5+C285*Portfolio!$D$6+D285*Portfolio!$D$7+E285*Portfolio!$D$8+F285*Portfolio!$D$9</f>
        <v>-7.2979014252718792E-3</v>
      </c>
      <c r="H285" s="27">
        <f>IFERROR('Price Data'!G285/'Price Data'!G284-1,0)</f>
        <v>-6.392700010330099E-3</v>
      </c>
    </row>
    <row r="286" spans="1:8" ht="15">
      <c r="A286" s="25">
        <f>'Price Data'!A286</f>
        <v>45344</v>
      </c>
      <c r="B286" s="27">
        <f>IFERROR('Price Data'!B286/'Price Data'!B285-1,0)</f>
        <v>9.5727884527891938E-3</v>
      </c>
      <c r="C286" s="27">
        <f>IFERROR('Price Data'!C286/'Price Data'!C285-1,0)</f>
        <v>-1.3619168901611745E-2</v>
      </c>
      <c r="D286" s="27">
        <f>IFERROR('Price Data'!D286/'Price Data'!D285-1,0)</f>
        <v>2.3950893637719295E-2</v>
      </c>
      <c r="E286" s="27">
        <f>IFERROR('Price Data'!E286/'Price Data'!E285-1,0)</f>
        <v>1.021926030695175E-2</v>
      </c>
      <c r="F286" s="27">
        <f>IFERROR('Price Data'!F286/'Price Data'!F285-1,0)</f>
        <v>1.5584067898346765E-2</v>
      </c>
      <c r="G286" s="27">
        <f>B286*Portfolio!$D$5+C286*Portfolio!$D$6+D286*Portfolio!$D$7+E286*Portfolio!$D$8+F286*Portfolio!$D$9</f>
        <v>7.6490828461329985E-3</v>
      </c>
      <c r="H286" s="27">
        <f>IFERROR('Price Data'!G286/'Price Data'!G285-1,0)</f>
        <v>7.3633218581414805E-3</v>
      </c>
    </row>
    <row r="287" spans="1:8" ht="15">
      <c r="A287" s="25">
        <f>'Price Data'!A287</f>
        <v>45345</v>
      </c>
      <c r="B287" s="27">
        <f>IFERROR('Price Data'!B287/'Price Data'!B286-1,0)</f>
        <v>8.0141845922985233E-3</v>
      </c>
      <c r="C287" s="27">
        <f>IFERROR('Price Data'!C287/'Price Data'!C286-1,0)</f>
        <v>7.3964158276473846E-4</v>
      </c>
      <c r="D287" s="27">
        <f>IFERROR('Price Data'!D287/'Price Data'!D286-1,0)</f>
        <v>-8.5634656454249836E-3</v>
      </c>
      <c r="E287" s="27">
        <f>IFERROR('Price Data'!E287/'Price Data'!E286-1,0)</f>
        <v>-1.3173006299996848E-3</v>
      </c>
      <c r="F287" s="27">
        <f>IFERROR('Price Data'!F287/'Price Data'!F286-1,0)</f>
        <v>-2.6764387828048797E-3</v>
      </c>
      <c r="G287" s="27">
        <f>B287*Portfolio!$D$5+C287*Portfolio!$D$6+D287*Portfolio!$D$7+E287*Portfolio!$D$8+F287*Portfolio!$D$9</f>
        <v>-1.23297497239866E-4</v>
      </c>
      <c r="H287" s="27">
        <f>IFERROR('Price Data'!G287/'Price Data'!G286-1,0)</f>
        <v>-2.137959201901074E-4</v>
      </c>
    </row>
    <row r="288" spans="1:8" ht="15">
      <c r="A288" s="25">
        <f>'Price Data'!A288</f>
        <v>45348</v>
      </c>
      <c r="B288" s="27">
        <f>IFERROR('Price Data'!B288/'Price Data'!B287-1,0)</f>
        <v>-4.217955695542952E-3</v>
      </c>
      <c r="C288" s="27">
        <f>IFERROR('Price Data'!C288/'Price Data'!C287-1,0)</f>
        <v>1.1967666122933984E-3</v>
      </c>
      <c r="D288" s="27">
        <f>IFERROR('Price Data'!D288/'Price Data'!D287-1,0)</f>
        <v>-1.2598428273239648E-2</v>
      </c>
      <c r="E288" s="27">
        <f>IFERROR('Price Data'!E288/'Price Data'!E287-1,0)</f>
        <v>-6.690117793396233E-3</v>
      </c>
      <c r="F288" s="27">
        <f>IFERROR('Price Data'!F288/'Price Data'!F287-1,0)</f>
        <v>-9.959227472218557E-3</v>
      </c>
      <c r="G288" s="27">
        <f>B288*Portfolio!$D$5+C288*Portfolio!$D$6+D288*Portfolio!$D$7+E288*Portfolio!$D$8+F288*Portfolio!$D$9</f>
        <v>-5.7723847153025361E-3</v>
      </c>
      <c r="H288" s="27">
        <f>IFERROR('Price Data'!G288/'Price Data'!G287-1,0)</f>
        <v>-4.0809285088362346E-3</v>
      </c>
    </row>
    <row r="289" spans="1:8" ht="15">
      <c r="A289" s="25">
        <f>'Price Data'!A289</f>
        <v>45349</v>
      </c>
      <c r="B289" s="27">
        <f>IFERROR('Price Data'!B289/'Price Data'!B288-1,0)</f>
        <v>-1.1260916098824181E-3</v>
      </c>
      <c r="C289" s="27">
        <f>IFERROR('Price Data'!C289/'Price Data'!C288-1,0)</f>
        <v>-1.5116483869103137E-3</v>
      </c>
      <c r="D289" s="27">
        <f>IFERROR('Price Data'!D289/'Price Data'!D288-1,0)</f>
        <v>2.5830676133860919E-2</v>
      </c>
      <c r="E289" s="27">
        <f>IFERROR('Price Data'!E289/'Price Data'!E288-1,0)</f>
        <v>5.6915993476551741E-3</v>
      </c>
      <c r="F289" s="27">
        <f>IFERROR('Price Data'!F289/'Price Data'!F288-1,0)</f>
        <v>2.0781237283511445E-3</v>
      </c>
      <c r="G289" s="27">
        <f>B289*Portfolio!$D$5+C289*Portfolio!$D$6+D289*Portfolio!$D$7+E289*Portfolio!$D$8+F289*Portfolio!$D$9</f>
        <v>5.6721586889749492E-3</v>
      </c>
      <c r="H289" s="27">
        <f>IFERROR('Price Data'!G289/'Price Data'!G288-1,0)</f>
        <v>3.4489943486464281E-3</v>
      </c>
    </row>
    <row r="290" spans="1:8" ht="15">
      <c r="A290" s="25">
        <f>'Price Data'!A290</f>
        <v>45350</v>
      </c>
      <c r="B290" s="27">
        <f>IFERROR('Price Data'!B290/'Price Data'!B289-1,0)</f>
        <v>-2.0210008325691198E-2</v>
      </c>
      <c r="C290" s="27">
        <f>IFERROR('Price Data'!C290/'Price Data'!C289-1,0)</f>
        <v>-7.5696846361210657E-3</v>
      </c>
      <c r="D290" s="27">
        <f>IFERROR('Price Data'!D290/'Price Data'!D289-1,0)</f>
        <v>3.5451156059980171E-3</v>
      </c>
      <c r="E290" s="27">
        <f>IFERROR('Price Data'!E290/'Price Data'!E289-1,0)</f>
        <v>-1.3205122518853751E-2</v>
      </c>
      <c r="F290" s="27">
        <f>IFERROR('Price Data'!F290/'Price Data'!F289-1,0)</f>
        <v>4.5985404075250536E-3</v>
      </c>
      <c r="G290" s="27">
        <f>B290*Portfolio!$D$5+C290*Portfolio!$D$6+D290*Portfolio!$D$7+E290*Portfolio!$D$8+F290*Portfolio!$D$9</f>
        <v>-7.5268874359527673E-3</v>
      </c>
      <c r="H290" s="27">
        <f>IFERROR('Price Data'!G290/'Price Data'!G289-1,0)</f>
        <v>-1.1135927809948543E-2</v>
      </c>
    </row>
    <row r="291" spans="1:8" ht="15">
      <c r="A291" s="25">
        <f>'Price Data'!A291</f>
        <v>45351</v>
      </c>
      <c r="B291" s="27">
        <f>IFERROR('Price Data'!B291/'Price Data'!B290-1,0)</f>
        <v>3.5552197626391724E-3</v>
      </c>
      <c r="C291" s="27">
        <f>IFERROR('Price Data'!C291/'Price Data'!C290-1,0)</f>
        <v>-4.2570646931099354E-3</v>
      </c>
      <c r="D291" s="27">
        <f>IFERROR('Price Data'!D291/'Price Data'!D290-1,0)</f>
        <v>-5.7903890687909243E-3</v>
      </c>
      <c r="E291" s="27">
        <f>IFERROR('Price Data'!E291/'Price Data'!E290-1,0)</f>
        <v>5.7351213566383397E-3</v>
      </c>
      <c r="F291" s="27">
        <f>IFERROR('Price Data'!F291/'Price Data'!F290-1,0)</f>
        <v>1.5855920920289091E-3</v>
      </c>
      <c r="G291" s="27">
        <f>B291*Portfolio!$D$5+C291*Portfolio!$D$6+D291*Portfolio!$D$7+E291*Portfolio!$D$8+F291*Portfolio!$D$9</f>
        <v>-2.3543202907578843E-4</v>
      </c>
      <c r="H291" s="27">
        <f>IFERROR('Price Data'!G291/'Price Data'!G290-1,0)</f>
        <v>1.4418556686905948E-3</v>
      </c>
    </row>
    <row r="292" spans="1:8" ht="15">
      <c r="A292" s="25">
        <f>'Price Data'!A292</f>
        <v>45352</v>
      </c>
      <c r="B292" s="27">
        <f>IFERROR('Price Data'!B292/'Price Data'!B291-1,0)</f>
        <v>2.1443668085413758E-2</v>
      </c>
      <c r="C292" s="27">
        <f>IFERROR('Price Data'!C292/'Price Data'!C291-1,0)</f>
        <v>1.9488318100628454E-2</v>
      </c>
      <c r="D292" s="27">
        <f>IFERROR('Price Data'!D292/'Price Data'!D291-1,0)</f>
        <v>-1.8311902865730811E-4</v>
      </c>
      <c r="E292" s="27">
        <f>IFERROR('Price Data'!E292/'Price Data'!E291-1,0)</f>
        <v>3.297850839573635E-2</v>
      </c>
      <c r="F292" s="27">
        <f>IFERROR('Price Data'!F292/'Price Data'!F291-1,0)</f>
        <v>-1.1470202408959351E-2</v>
      </c>
      <c r="G292" s="27">
        <f>B292*Portfolio!$D$5+C292*Portfolio!$D$6+D292*Portfolio!$D$7+E292*Portfolio!$D$8+F292*Portfolio!$D$9</f>
        <v>1.342261863879564E-2</v>
      </c>
      <c r="H292" s="27">
        <f>IFERROR('Price Data'!G292/'Price Data'!G291-1,0)</f>
        <v>1.6192168700068565E-2</v>
      </c>
    </row>
    <row r="293" spans="1:8" ht="15">
      <c r="A293" s="25">
        <f>'Price Data'!A293</f>
        <v>45355</v>
      </c>
      <c r="B293" s="27">
        <f>IFERROR('Price Data'!B293/'Price Data'!B292-1,0)</f>
        <v>1.023701342599459E-2</v>
      </c>
      <c r="C293" s="27">
        <f>IFERROR('Price Data'!C293/'Price Data'!C292-1,0)</f>
        <v>1.3628291317000496E-3</v>
      </c>
      <c r="D293" s="27">
        <f>IFERROR('Price Data'!D293/'Price Data'!D292-1,0)</f>
        <v>-3.3340598428135415E-3</v>
      </c>
      <c r="E293" s="27">
        <f>IFERROR('Price Data'!E293/'Price Data'!E292-1,0)</f>
        <v>5.0142164210964513E-3</v>
      </c>
      <c r="F293" s="27">
        <f>IFERROR('Price Data'!F293/'Price Data'!F292-1,0)</f>
        <v>-1.0575900328831822E-2</v>
      </c>
      <c r="G293" s="27">
        <f>B293*Portfolio!$D$5+C293*Portfolio!$D$6+D293*Portfolio!$D$7+E293*Portfolio!$D$8+F293*Portfolio!$D$9</f>
        <v>1.3988960847006462E-3</v>
      </c>
      <c r="H293" s="27">
        <f>IFERROR('Price Data'!G293/'Price Data'!G292-1,0)</f>
        <v>2.9925402887358565E-3</v>
      </c>
    </row>
    <row r="294" spans="1:8" ht="15">
      <c r="A294" s="25">
        <f>'Price Data'!A294</f>
        <v>45356</v>
      </c>
      <c r="B294" s="27">
        <f>IFERROR('Price Data'!B294/'Price Data'!B293-1,0)</f>
        <v>-4.7764697397364442E-3</v>
      </c>
      <c r="C294" s="27">
        <f>IFERROR('Price Data'!C294/'Price Data'!C293-1,0)</f>
        <v>5.6885079841455521E-3</v>
      </c>
      <c r="D294" s="27">
        <f>IFERROR('Price Data'!D294/'Price Data'!D293-1,0)</f>
        <v>-1.6810640900390195E-2</v>
      </c>
      <c r="E294" s="27">
        <f>IFERROR('Price Data'!E294/'Price Data'!E293-1,0)</f>
        <v>-3.9362950803807362E-3</v>
      </c>
      <c r="F294" s="27">
        <f>IFERROR('Price Data'!F294/'Price Data'!F293-1,0)</f>
        <v>-1.8751529670861355E-2</v>
      </c>
      <c r="G294" s="27">
        <f>B294*Portfolio!$D$5+C294*Portfolio!$D$6+D294*Portfolio!$D$7+E294*Portfolio!$D$8+F294*Portfolio!$D$9</f>
        <v>-6.5372923316620755E-3</v>
      </c>
      <c r="H294" s="27">
        <f>IFERROR('Price Data'!G294/'Price Data'!G293-1,0)</f>
        <v>-2.2002905070378498E-3</v>
      </c>
    </row>
    <row r="295" spans="1:8" ht="15">
      <c r="A295" s="25">
        <f>'Price Data'!A295</f>
        <v>45357</v>
      </c>
      <c r="B295" s="27">
        <f>IFERROR('Price Data'!B295/'Price Data'!B294-1,0)</f>
        <v>1.8664767112457348E-3</v>
      </c>
      <c r="C295" s="27">
        <f>IFERROR('Price Data'!C295/'Price Data'!C294-1,0)</f>
        <v>1.2146306723797018E-3</v>
      </c>
      <c r="D295" s="27">
        <f>IFERROR('Price Data'!D295/'Price Data'!D294-1,0)</f>
        <v>1.3010640956502284E-2</v>
      </c>
      <c r="E295" s="27">
        <f>IFERROR('Price Data'!E295/'Price Data'!E294-1,0)</f>
        <v>8.3175191645832314E-3</v>
      </c>
      <c r="F295" s="27">
        <f>IFERROR('Price Data'!F295/'Price Data'!F294-1,0)</f>
        <v>6.8782599360384111E-3</v>
      </c>
      <c r="G295" s="27">
        <f>B295*Portfolio!$D$5+C295*Portfolio!$D$6+D295*Portfolio!$D$7+E295*Portfolio!$D$8+F295*Portfolio!$D$9</f>
        <v>5.6517719023000627E-3</v>
      </c>
      <c r="H295" s="27">
        <f>IFERROR('Price Data'!G295/'Price Data'!G294-1,0)</f>
        <v>5.266971542034149E-3</v>
      </c>
    </row>
    <row r="296" spans="1:8" ht="15">
      <c r="A296" s="25">
        <f>'Price Data'!A296</f>
        <v>45358</v>
      </c>
      <c r="B296" s="27">
        <f>IFERROR('Price Data'!B296/'Price Data'!B295-1,0)</f>
        <v>-1.6017932140460212E-2</v>
      </c>
      <c r="C296" s="27">
        <f>IFERROR('Price Data'!C296/'Price Data'!C295-1,0)</f>
        <v>2.4262258980238816E-3</v>
      </c>
      <c r="D296" s="27">
        <f>IFERROR('Price Data'!D296/'Price Data'!D295-1,0)</f>
        <v>1.0899660538775224E-2</v>
      </c>
      <c r="E296" s="27">
        <f>IFERROR('Price Data'!E296/'Price Data'!E295-1,0)</f>
        <v>-8.3401724602185645E-3</v>
      </c>
      <c r="F296" s="27">
        <f>IFERROR('Price Data'!F296/'Price Data'!F295-1,0)</f>
        <v>-6.7994170337226656E-4</v>
      </c>
      <c r="G296" s="27">
        <f>B296*Portfolio!$D$5+C296*Portfolio!$D$6+D296*Portfolio!$D$7+E296*Portfolio!$D$8+F296*Portfolio!$D$9</f>
        <v>-2.5710115773926625E-3</v>
      </c>
      <c r="H296" s="27">
        <f>IFERROR('Price Data'!G296/'Price Data'!G295-1,0)</f>
        <v>8.6766734621201991E-4</v>
      </c>
    </row>
    <row r="297" spans="1:8" ht="15">
      <c r="A297" s="25">
        <f>'Price Data'!A297</f>
        <v>45362</v>
      </c>
      <c r="B297" s="27">
        <f>IFERROR('Price Data'!B297/'Price Data'!B296-1,0)</f>
        <v>-8.3338115726907525E-3</v>
      </c>
      <c r="C297" s="27">
        <f>IFERROR('Price Data'!C297/'Price Data'!C296-1,0)</f>
        <v>-1.2654689288487453E-2</v>
      </c>
      <c r="D297" s="27">
        <f>IFERROR('Price Data'!D297/'Price Data'!D296-1,0)</f>
        <v>3.3467723135172101E-3</v>
      </c>
      <c r="E297" s="27">
        <f>IFERROR('Price Data'!E297/'Price Data'!E296-1,0)</f>
        <v>-8.5023472545417977E-3</v>
      </c>
      <c r="F297" s="27">
        <f>IFERROR('Price Data'!F297/'Price Data'!F296-1,0)</f>
        <v>-9.8055910339703845E-3</v>
      </c>
      <c r="G297" s="27">
        <f>B297*Portfolio!$D$5+C297*Portfolio!$D$6+D297*Portfolio!$D$7+E297*Portfolio!$D$8+F297*Portfolio!$D$9</f>
        <v>-7.3239614958679373E-3</v>
      </c>
      <c r="H297" s="27">
        <f>IFERROR('Price Data'!G297/'Price Data'!G296-1,0)</f>
        <v>-7.1531788017711317E-3</v>
      </c>
    </row>
    <row r="298" spans="1:8" ht="15">
      <c r="A298" s="25">
        <f>'Price Data'!A298</f>
        <v>45363</v>
      </c>
      <c r="B298" s="27">
        <f>IFERROR('Price Data'!B298/'Price Data'!B297-1,0)</f>
        <v>6.0173213742233944E-3</v>
      </c>
      <c r="C298" s="27">
        <f>IFERROR('Price Data'!C298/'Price Data'!C297-1,0)</f>
        <v>2.2237020056631085E-2</v>
      </c>
      <c r="D298" s="27">
        <f>IFERROR('Price Data'!D298/'Price Data'!D297-1,0)</f>
        <v>1.6956411396231275E-2</v>
      </c>
      <c r="E298" s="27">
        <f>IFERROR('Price Data'!E298/'Price Data'!E297-1,0)</f>
        <v>-1.7149363943778084E-3</v>
      </c>
      <c r="F298" s="27">
        <f>IFERROR('Price Data'!F298/'Price Data'!F297-1,0)</f>
        <v>7.7158046837888516E-3</v>
      </c>
      <c r="G298" s="27">
        <f>B298*Portfolio!$D$5+C298*Portfolio!$D$6+D298*Portfolio!$D$7+E298*Portfolio!$D$8+F298*Portfolio!$D$9</f>
        <v>1.1354997880371531E-2</v>
      </c>
      <c r="H298" s="27">
        <f>IFERROR('Price Data'!G298/'Price Data'!G297-1,0)</f>
        <v>1.3651886684606929E-4</v>
      </c>
    </row>
    <row r="299" spans="1:8" ht="15">
      <c r="A299" s="25">
        <f>'Price Data'!A299</f>
        <v>45364</v>
      </c>
      <c r="B299" s="27">
        <f>IFERROR('Price Data'!B299/'Price Data'!B298-1,0)</f>
        <v>-2.9313565099640226E-2</v>
      </c>
      <c r="C299" s="27">
        <f>IFERROR('Price Data'!C299/'Price Data'!C298-1,0)</f>
        <v>5.8232729676443995E-4</v>
      </c>
      <c r="D299" s="27">
        <f>IFERROR('Price Data'!D299/'Price Data'!D298-1,0)</f>
        <v>-1.0316872028327539E-2</v>
      </c>
      <c r="E299" s="27">
        <f>IFERROR('Price Data'!E299/'Price Data'!E298-1,0)</f>
        <v>6.5932812476596769E-3</v>
      </c>
      <c r="F299" s="27">
        <f>IFERROR('Price Data'!F299/'Price Data'!F298-1,0)</f>
        <v>-9.6085832735259835E-4</v>
      </c>
      <c r="G299" s="27">
        <f>B299*Portfolio!$D$5+C299*Portfolio!$D$6+D299*Portfolio!$D$7+E299*Portfolio!$D$8+F299*Portfolio!$D$9</f>
        <v>-8.401320418338392E-3</v>
      </c>
      <c r="H299" s="27">
        <f>IFERROR('Price Data'!G299/'Price Data'!G298-1,0)</f>
        <v>-1.5132725270416536E-2</v>
      </c>
    </row>
    <row r="300" spans="1:8" ht="15">
      <c r="A300" s="25">
        <f>'Price Data'!A300</f>
        <v>45365</v>
      </c>
      <c r="B300" s="27">
        <f>IFERROR('Price Data'!B300/'Price Data'!B299-1,0)</f>
        <v>-4.8884717638353337E-4</v>
      </c>
      <c r="C300" s="27">
        <f>IFERROR('Price Data'!C300/'Price Data'!C299-1,0)</f>
        <v>-3.3894473030769978E-3</v>
      </c>
      <c r="D300" s="27">
        <f>IFERROR('Price Data'!D300/'Price Data'!D299-1,0)</f>
        <v>1.4123995745929152E-2</v>
      </c>
      <c r="E300" s="27">
        <f>IFERROR('Price Data'!E300/'Price Data'!E299-1,0)</f>
        <v>-3.2289763137816063E-4</v>
      </c>
      <c r="F300" s="27">
        <f>IFERROR('Price Data'!F300/'Price Data'!F299-1,0)</f>
        <v>2.6002241035344875E-2</v>
      </c>
      <c r="G300" s="27">
        <f>B300*Portfolio!$D$5+C300*Portfolio!$D$6+D300*Portfolio!$D$7+E300*Portfolio!$D$8+F300*Portfolio!$D$9</f>
        <v>5.7071270399157046E-3</v>
      </c>
      <c r="H300" s="27">
        <f>IFERROR('Price Data'!G300/'Price Data'!G299-1,0)</f>
        <v>6.7712159528048321E-3</v>
      </c>
    </row>
    <row r="301" spans="1:8" ht="15">
      <c r="A301" s="25">
        <f>'Price Data'!A301</f>
        <v>45366</v>
      </c>
      <c r="B301" s="27">
        <f>IFERROR('Price Data'!B301/'Price Data'!B300-1,0)</f>
        <v>-9.2561323279116703E-3</v>
      </c>
      <c r="C301" s="27">
        <f>IFERROR('Price Data'!C301/'Price Data'!C300-1,0)</f>
        <v>-1.9238438477157116E-3</v>
      </c>
      <c r="D301" s="27">
        <f>IFERROR('Price Data'!D301/'Price Data'!D300-1,0)</f>
        <v>2.7686008096412529E-3</v>
      </c>
      <c r="E301" s="27">
        <f>IFERROR('Price Data'!E301/'Price Data'!E300-1,0)</f>
        <v>-2.9991891174571128E-3</v>
      </c>
      <c r="F301" s="27">
        <f>IFERROR('Price Data'!F301/'Price Data'!F300-1,0)</f>
        <v>-1.1673530841676771E-2</v>
      </c>
      <c r="G301" s="27">
        <f>B301*Portfolio!$D$5+C301*Portfolio!$D$6+D301*Portfolio!$D$7+E301*Portfolio!$D$8+F301*Portfolio!$D$9</f>
        <v>-4.4421818758486773E-3</v>
      </c>
      <c r="H301" s="27">
        <f>IFERROR('Price Data'!G301/'Price Data'!G300-1,0)</f>
        <v>-5.5674686273187168E-3</v>
      </c>
    </row>
    <row r="302" spans="1:8" ht="15">
      <c r="A302" s="25">
        <f>'Price Data'!A302</f>
        <v>45369</v>
      </c>
      <c r="B302" s="27">
        <f>IFERROR('Price Data'!B302/'Price Data'!B301-1,0)</f>
        <v>1.4983453782571932E-2</v>
      </c>
      <c r="C302" s="27">
        <f>IFERROR('Price Data'!C302/'Price Data'!C301-1,0)</f>
        <v>-4.5434029650287533E-3</v>
      </c>
      <c r="D302" s="27">
        <f>IFERROR('Price Data'!D302/'Price Data'!D301-1,0)</f>
        <v>-1.582023443837266E-2</v>
      </c>
      <c r="E302" s="27">
        <f>IFERROR('Price Data'!E302/'Price Data'!E301-1,0)</f>
        <v>7.867929945448715E-4</v>
      </c>
      <c r="F302" s="27">
        <f>IFERROR('Price Data'!F302/'Price Data'!F301-1,0)</f>
        <v>-1.9186207513776421E-2</v>
      </c>
      <c r="G302" s="27">
        <f>B302*Portfolio!$D$5+C302*Portfolio!$D$6+D302*Portfolio!$D$7+E302*Portfolio!$D$8+F302*Portfolio!$D$9</f>
        <v>-3.3139463611734699E-3</v>
      </c>
      <c r="H302" s="27">
        <f>IFERROR('Price Data'!G302/'Price Data'!G301-1,0)</f>
        <v>1.4688778023679294E-3</v>
      </c>
    </row>
    <row r="303" spans="1:8" ht="15">
      <c r="A303" s="25">
        <f>'Price Data'!A303</f>
        <v>45370</v>
      </c>
      <c r="B303" s="27">
        <f>IFERROR('Price Data'!B303/'Price Data'!B302-1,0)</f>
        <v>-9.8820186088378614E-3</v>
      </c>
      <c r="C303" s="27">
        <f>IFERROR('Price Data'!C303/'Price Data'!C302-1,0)</f>
        <v>2.2821139254969314E-3</v>
      </c>
      <c r="D303" s="27">
        <f>IFERROR('Price Data'!D303/'Price Data'!D302-1,0)</f>
        <v>-4.2191331811448074E-2</v>
      </c>
      <c r="E303" s="27">
        <f>IFERROR('Price Data'!E303/'Price Data'!E302-1,0)</f>
        <v>2.5433907814822465E-3</v>
      </c>
      <c r="F303" s="27">
        <f>IFERROR('Price Data'!F303/'Price Data'!F302-1,0)</f>
        <v>-2.5707389194482566E-2</v>
      </c>
      <c r="G303" s="27">
        <f>B303*Portfolio!$D$5+C303*Portfolio!$D$6+D303*Portfolio!$D$7+E303*Portfolio!$D$8+F303*Portfolio!$D$9</f>
        <v>-1.3812842295074896E-2</v>
      </c>
      <c r="H303" s="27">
        <f>IFERROR('Price Data'!G303/'Price Data'!G302-1,0)</f>
        <v>-1.0802196640288697E-2</v>
      </c>
    </row>
    <row r="304" spans="1:8" ht="15">
      <c r="A304" s="25">
        <f>'Price Data'!A304</f>
        <v>45371</v>
      </c>
      <c r="B304" s="27">
        <f>IFERROR('Price Data'!B304/'Price Data'!B303-1,0)</f>
        <v>1.2980250727125275E-2</v>
      </c>
      <c r="C304" s="27">
        <f>IFERROR('Price Data'!C304/'Price Data'!C303-1,0)</f>
        <v>-1.2626311936850709E-2</v>
      </c>
      <c r="D304" s="27">
        <f>IFERROR('Price Data'!D304/'Price Data'!D303-1,0)</f>
        <v>-1.6091803953849348E-3</v>
      </c>
      <c r="E304" s="27">
        <f>IFERROR('Price Data'!E304/'Price Data'!E303-1,0)</f>
        <v>5.0752502571094205E-4</v>
      </c>
      <c r="F304" s="27">
        <f>IFERROR('Price Data'!F304/'Price Data'!F303-1,0)</f>
        <v>-4.1628541174598688E-3</v>
      </c>
      <c r="G304" s="27">
        <f>B304*Portfolio!$D$5+C304*Portfolio!$D$6+D304*Portfolio!$D$7+E304*Portfolio!$D$8+F304*Portfolio!$D$9</f>
        <v>-7.8165074527068441E-4</v>
      </c>
      <c r="H304" s="27">
        <f>IFERROR('Price Data'!G304/'Price Data'!G303-1,0)</f>
        <v>9.9234289068017567E-4</v>
      </c>
    </row>
    <row r="305" spans="1:8" ht="15">
      <c r="A305" s="25">
        <f>'Price Data'!A305</f>
        <v>45372</v>
      </c>
      <c r="B305" s="27">
        <f>IFERROR('Price Data'!B305/'Price Data'!B304-1,0)</f>
        <v>5.0041617203362421E-3</v>
      </c>
      <c r="C305" s="27">
        <f>IFERROR('Price Data'!C305/'Price Data'!C304-1,0)</f>
        <v>1.0272213799308094E-2</v>
      </c>
      <c r="D305" s="27">
        <f>IFERROR('Price Data'!D305/'Price Data'!D304-1,0)</f>
        <v>5.162381449288489E-4</v>
      </c>
      <c r="E305" s="27">
        <f>IFERROR('Price Data'!E305/'Price Data'!E304-1,0)</f>
        <v>-2.4896610196444291E-3</v>
      </c>
      <c r="F305" s="27">
        <f>IFERROR('Price Data'!F305/'Price Data'!F304-1,0)</f>
        <v>-1.6074958545431173E-4</v>
      </c>
      <c r="G305" s="27">
        <f>B305*Portfolio!$D$5+C305*Portfolio!$D$6+D305*Portfolio!$D$7+E305*Portfolio!$D$8+F305*Portfolio!$D$9</f>
        <v>3.5247799181320422E-3</v>
      </c>
      <c r="H305" s="27">
        <f>IFERROR('Price Data'!G305/'Price Data'!G304-1,0)</f>
        <v>7.9146856998077997E-3</v>
      </c>
    </row>
    <row r="306" spans="1:8" ht="15">
      <c r="A306" s="25">
        <f>'Price Data'!A306</f>
        <v>45373</v>
      </c>
      <c r="B306" s="27">
        <f>IFERROR('Price Data'!B306/'Price Data'!B305-1,0)</f>
        <v>2.7912890122081535E-3</v>
      </c>
      <c r="C306" s="27">
        <f>IFERROR('Price Data'!C306/'Price Data'!C305-1,0)</f>
        <v>-2.0060596227373662E-3</v>
      </c>
      <c r="D306" s="27">
        <f>IFERROR('Price Data'!D306/'Price Data'!D305-1,0)</f>
        <v>-1.5618158301523688E-2</v>
      </c>
      <c r="E306" s="27">
        <f>IFERROR('Price Data'!E306/'Price Data'!E305-1,0)</f>
        <v>7.8572692614575779E-3</v>
      </c>
      <c r="F306" s="27">
        <f>IFERROR('Price Data'!F306/'Price Data'!F305-1,0)</f>
        <v>-2.9491257804041049E-2</v>
      </c>
      <c r="G306" s="27">
        <f>B306*Portfolio!$D$5+C306*Portfolio!$D$6+D306*Portfolio!$D$7+E306*Portfolio!$D$8+F306*Portfolio!$D$9</f>
        <v>-6.1724225943245612E-3</v>
      </c>
      <c r="H306" s="27">
        <f>IFERROR('Price Data'!G306/'Price Data'!G305-1,0)</f>
        <v>3.8524885010076115E-3</v>
      </c>
    </row>
    <row r="307" spans="1:8" ht="15">
      <c r="A307" s="25">
        <f>'Price Data'!A307</f>
        <v>45377</v>
      </c>
      <c r="B307" s="27">
        <f>IFERROR('Price Data'!B307/'Price Data'!B306-1,0)</f>
        <v>-9.2437840988132125E-3</v>
      </c>
      <c r="C307" s="27">
        <f>IFERROR('Price Data'!C307/'Price Data'!C306-1,0)</f>
        <v>-1.2094038729833945E-2</v>
      </c>
      <c r="D307" s="27">
        <f>IFERROR('Price Data'!D307/'Price Data'!D306-1,0)</f>
        <v>-8.5401550763325451E-3</v>
      </c>
      <c r="E307" s="27">
        <f>IFERROR('Price Data'!E307/'Price Data'!E306-1,0)</f>
        <v>-6.0534638430824739E-3</v>
      </c>
      <c r="F307" s="27">
        <f>IFERROR('Price Data'!F307/'Price Data'!F306-1,0)</f>
        <v>-1.0736534690085398E-2</v>
      </c>
      <c r="G307" s="27">
        <f>B307*Portfolio!$D$5+C307*Portfolio!$D$6+D307*Portfolio!$D$7+E307*Portfolio!$D$8+F307*Portfolio!$D$9</f>
        <v>-9.5609865024034787E-3</v>
      </c>
      <c r="H307" s="27">
        <f>IFERROR('Price Data'!G307/'Price Data'!G306-1,0)</f>
        <v>-4.1658063402989498E-3</v>
      </c>
    </row>
    <row r="308" spans="1:8" ht="15">
      <c r="A308" s="25">
        <f>'Price Data'!A308</f>
        <v>45378</v>
      </c>
      <c r="B308" s="27">
        <f>IFERROR('Price Data'!B308/'Price Data'!B307-1,0)</f>
        <v>3.5568672925536449E-2</v>
      </c>
      <c r="C308" s="27">
        <f>IFERROR('Price Data'!C308/'Price Data'!C307-1,0)</f>
        <v>1.0733823622926408E-2</v>
      </c>
      <c r="D308" s="27">
        <f>IFERROR('Price Data'!D308/'Price Data'!D307-1,0)</f>
        <v>-9.4392206586590977E-3</v>
      </c>
      <c r="E308" s="27">
        <f>IFERROR('Price Data'!E308/'Price Data'!E307-1,0)</f>
        <v>4.6253363100268174E-5</v>
      </c>
      <c r="F308" s="27">
        <f>IFERROR('Price Data'!F308/'Price Data'!F307-1,0)</f>
        <v>-5.8956717684690574E-3</v>
      </c>
      <c r="G308" s="27">
        <f>B308*Portfolio!$D$5+C308*Portfolio!$D$6+D308*Portfolio!$D$7+E308*Portfolio!$D$8+F308*Portfolio!$D$9</f>
        <v>8.8103672445785774E-3</v>
      </c>
      <c r="H308" s="27">
        <f>IFERROR('Price Data'!G308/'Price Data'!G307-1,0)</f>
        <v>5.405716783151604E-3</v>
      </c>
    </row>
    <row r="309" spans="1:8" ht="15">
      <c r="A309" s="25">
        <f>'Price Data'!A309</f>
        <v>45379</v>
      </c>
      <c r="B309" s="27">
        <f>IFERROR('Price Data'!B309/'Price Data'!B308-1,0)</f>
        <v>-4.6890415903863003E-3</v>
      </c>
      <c r="C309" s="27">
        <f>IFERROR('Price Data'!C309/'Price Data'!C308-1,0)</f>
        <v>4.9975993330162449E-3</v>
      </c>
      <c r="D309" s="27">
        <f>IFERROR('Price Data'!D309/'Price Data'!D308-1,0)</f>
        <v>9.2167323220189168E-3</v>
      </c>
      <c r="E309" s="27">
        <f>IFERROR('Price Data'!E309/'Price Data'!E308-1,0)</f>
        <v>8.8120029710687664E-3</v>
      </c>
      <c r="F309" s="27">
        <f>IFERROR('Price Data'!F309/'Price Data'!F308-1,0)</f>
        <v>9.5697188386254517E-3</v>
      </c>
      <c r="G309" s="27">
        <f>B309*Portfolio!$D$5+C309*Portfolio!$D$6+D309*Portfolio!$D$7+E309*Portfolio!$D$8+F309*Portfolio!$D$9</f>
        <v>4.6777441715154019E-3</v>
      </c>
      <c r="H309" s="27">
        <f>IFERROR('Price Data'!G309/'Price Data'!G308-1,0)</f>
        <v>9.1870010785439771E-3</v>
      </c>
    </row>
    <row r="310" spans="1:8" ht="15">
      <c r="A310" s="25">
        <f>'Price Data'!A310</f>
        <v>45383</v>
      </c>
      <c r="B310" s="27">
        <f>IFERROR('Price Data'!B310/'Price Data'!B309-1,0)</f>
        <v>-7.2336970552622226E-4</v>
      </c>
      <c r="C310" s="27">
        <f>IFERROR('Price Data'!C310/'Price Data'!C309-1,0)</f>
        <v>1.5608711209786907E-2</v>
      </c>
      <c r="D310" s="27">
        <f>IFERROR('Price Data'!D310/'Price Data'!D309-1,0)</f>
        <v>1.0435149832210611E-2</v>
      </c>
      <c r="E310" s="27">
        <f>IFERROR('Price Data'!E310/'Price Data'!E309-1,0)</f>
        <v>5.8080708353136501E-3</v>
      </c>
      <c r="F310" s="27">
        <f>IFERROR('Price Data'!F310/'Price Data'!F309-1,0)</f>
        <v>-1.7355779599284027E-3</v>
      </c>
      <c r="G310" s="27">
        <f>B310*Portfolio!$D$5+C310*Portfolio!$D$6+D310*Portfolio!$D$7+E310*Portfolio!$D$8+F310*Portfolio!$D$9</f>
        <v>6.419239273815081E-3</v>
      </c>
      <c r="H310" s="27">
        <f>IFERROR('Price Data'!G310/'Price Data'!G309-1,0)</f>
        <v>6.0509791780918309E-3</v>
      </c>
    </row>
    <row r="311" spans="1:8" ht="15">
      <c r="A311" s="25">
        <f>'Price Data'!A311</f>
        <v>45384</v>
      </c>
      <c r="B311" s="27">
        <f>IFERROR('Price Data'!B311/'Price Data'!B310-1,0)</f>
        <v>1.4647607470079649E-3</v>
      </c>
      <c r="C311" s="27">
        <f>IFERROR('Price Data'!C311/'Price Data'!C310-1,0)</f>
        <v>6.5625005418394888E-3</v>
      </c>
      <c r="D311" s="27">
        <f>IFERROR('Price Data'!D311/'Price Data'!D310-1,0)</f>
        <v>-8.4126732943803351E-3</v>
      </c>
      <c r="E311" s="27">
        <f>IFERROR('Price Data'!E311/'Price Data'!E310-1,0)</f>
        <v>-1.6778072935565325E-2</v>
      </c>
      <c r="F311" s="27">
        <f>IFERROR('Price Data'!F311/'Price Data'!F310-1,0)</f>
        <v>-8.4254736649472806E-3</v>
      </c>
      <c r="G311" s="27">
        <f>B311*Portfolio!$D$5+C311*Portfolio!$D$6+D311*Portfolio!$D$7+E311*Portfolio!$D$8+F311*Portfolio!$D$9</f>
        <v>-3.4562513267410943E-3</v>
      </c>
      <c r="H311" s="27">
        <f>IFERROR('Price Data'!G311/'Price Data'!G310-1,0)</f>
        <v>-3.8728602751314511E-4</v>
      </c>
    </row>
    <row r="312" spans="1:8" ht="15">
      <c r="A312" s="25">
        <f>'Price Data'!A312</f>
        <v>45385</v>
      </c>
      <c r="B312" s="27">
        <f>IFERROR('Price Data'!B312/'Price Data'!B311-1,0)</f>
        <v>-1.0323074649119857E-2</v>
      </c>
      <c r="C312" s="27">
        <f>IFERROR('Price Data'!C312/'Price Data'!C311-1,0)</f>
        <v>1.4525673665259919E-3</v>
      </c>
      <c r="D312" s="27">
        <f>IFERROR('Price Data'!D312/'Price Data'!D311-1,0)</f>
        <v>1.6350123359663016E-2</v>
      </c>
      <c r="E312" s="27">
        <f>IFERROR('Price Data'!E312/'Price Data'!E311-1,0)</f>
        <v>-3.6997591673780805E-3</v>
      </c>
      <c r="F312" s="27">
        <f>IFERROR('Price Data'!F312/'Price Data'!F311-1,0)</f>
        <v>-1.4836812482038608E-3</v>
      </c>
      <c r="G312" s="27">
        <f>B312*Portfolio!$D$5+C312*Portfolio!$D$6+D312*Portfolio!$D$7+E312*Portfolio!$D$8+F312*Portfolio!$D$9</f>
        <v>2.7488178894684583E-4</v>
      </c>
      <c r="H312" s="27">
        <f>IFERROR('Price Data'!G312/'Price Data'!G311-1,0)</f>
        <v>-8.3063024036866828E-4</v>
      </c>
    </row>
    <row r="313" spans="1:8" ht="15">
      <c r="A313" s="25">
        <f>'Price Data'!A313</f>
        <v>45386</v>
      </c>
      <c r="B313" s="27">
        <f>IFERROR('Price Data'!B313/'Price Data'!B312-1,0)</f>
        <v>-5.8948759711144882E-3</v>
      </c>
      <c r="C313" s="27">
        <f>IFERROR('Price Data'!C313/'Price Data'!C312-1,0)</f>
        <v>3.05606388803219E-2</v>
      </c>
      <c r="D313" s="27">
        <f>IFERROR('Price Data'!D313/'Price Data'!D312-1,0)</f>
        <v>1.4187006991730922E-2</v>
      </c>
      <c r="E313" s="27">
        <f>IFERROR('Price Data'!E313/'Price Data'!E312-1,0)</f>
        <v>1.5318856821671112E-3</v>
      </c>
      <c r="F313" s="27">
        <f>IFERROR('Price Data'!F313/'Price Data'!F312-1,0)</f>
        <v>4.0860294704416766E-3</v>
      </c>
      <c r="G313" s="27">
        <f>B313*Portfolio!$D$5+C313*Portfolio!$D$6+D313*Portfolio!$D$7+E313*Portfolio!$D$8+F313*Portfolio!$D$9</f>
        <v>9.846529398539354E-3</v>
      </c>
      <c r="H313" s="27">
        <f>IFERROR('Price Data'!G313/'Price Data'!G312-1,0)</f>
        <v>3.5659124883635762E-3</v>
      </c>
    </row>
    <row r="314" spans="1:8" ht="15">
      <c r="A314" s="25">
        <f>'Price Data'!A314</f>
        <v>45387</v>
      </c>
      <c r="B314" s="27">
        <f>IFERROR('Price Data'!B314/'Price Data'!B313-1,0)</f>
        <v>-1.9311770324713651E-3</v>
      </c>
      <c r="C314" s="27">
        <f>IFERROR('Price Data'!C314/'Price Data'!C313-1,0)</f>
        <v>1.4368904588213605E-2</v>
      </c>
      <c r="D314" s="27">
        <f>IFERROR('Price Data'!D314/'Price Data'!D313-1,0)</f>
        <v>-6.0075599539943791E-3</v>
      </c>
      <c r="E314" s="27">
        <f>IFERROR('Price Data'!E314/'Price Data'!E313-1,0)</f>
        <v>4.2175124577219503E-3</v>
      </c>
      <c r="F314" s="27">
        <f>IFERROR('Price Data'!F314/'Price Data'!F313-1,0)</f>
        <v>-5.1119448565009051E-3</v>
      </c>
      <c r="G314" s="27">
        <f>B314*Portfolio!$D$5+C314*Portfolio!$D$6+D314*Portfolio!$D$7+E314*Portfolio!$D$8+F314*Portfolio!$D$9</f>
        <v>1.7737550383198409E-3</v>
      </c>
      <c r="H314" s="27">
        <f>IFERROR('Price Data'!G314/'Price Data'!G313-1,0)</f>
        <v>-4.2246797462897057E-5</v>
      </c>
    </row>
    <row r="315" spans="1:8" ht="15">
      <c r="A315" s="25">
        <f>'Price Data'!A315</f>
        <v>45390</v>
      </c>
      <c r="B315" s="27">
        <f>IFERROR('Price Data'!B315/'Price Data'!B314-1,0)</f>
        <v>1.7721450440681963E-2</v>
      </c>
      <c r="C315" s="27">
        <f>IFERROR('Price Data'!C315/'Price Data'!C314-1,0)</f>
        <v>-1.9038476711247254E-3</v>
      </c>
      <c r="D315" s="27">
        <f>IFERROR('Price Data'!D315/'Price Data'!D314-1,0)</f>
        <v>-1.6838514245466341E-3</v>
      </c>
      <c r="E315" s="27">
        <f>IFERROR('Price Data'!E315/'Price Data'!E314-1,0)</f>
        <v>3.4612589000815319E-3</v>
      </c>
      <c r="F315" s="27">
        <f>IFERROR('Price Data'!F315/'Price Data'!F314-1,0)</f>
        <v>-1.6226731110285941E-3</v>
      </c>
      <c r="G315" s="27">
        <f>B315*Portfolio!$D$5+C315*Portfolio!$D$6+D315*Portfolio!$D$7+E315*Portfolio!$D$8+F315*Portfolio!$D$9</f>
        <v>3.8934182758379229E-3</v>
      </c>
      <c r="H315" s="27">
        <f>IFERROR('Price Data'!G315/'Price Data'!G314-1,0)</f>
        <v>6.7781647528144529E-3</v>
      </c>
    </row>
    <row r="316" spans="1:8" ht="15">
      <c r="A316" s="25">
        <f>'Price Data'!A316</f>
        <v>45391</v>
      </c>
      <c r="B316" s="27">
        <f>IFERROR('Price Data'!B316/'Price Data'!B315-1,0)</f>
        <v>-1.5023871684024193E-2</v>
      </c>
      <c r="C316" s="27">
        <f>IFERROR('Price Data'!C316/'Price Data'!C315-1,0)</f>
        <v>1.2609096254958541E-3</v>
      </c>
      <c r="D316" s="27">
        <f>IFERROR('Price Data'!D316/'Price Data'!D315-1,0)</f>
        <v>-6.5449132274438826E-3</v>
      </c>
      <c r="E316" s="27">
        <f>IFERROR('Price Data'!E316/'Price Data'!E315-1,0)</f>
        <v>1.8304768367508606E-2</v>
      </c>
      <c r="F316" s="27">
        <f>IFERROR('Price Data'!F316/'Price Data'!F315-1,0)</f>
        <v>1.2290967439610778E-2</v>
      </c>
      <c r="G316" s="27">
        <f>B316*Portfolio!$D$5+C316*Portfolio!$D$6+D316*Portfolio!$D$7+E316*Portfolio!$D$8+F316*Portfolio!$D$9</f>
        <v>-1.6036278905295345E-4</v>
      </c>
      <c r="H316" s="27">
        <f>IFERROR('Price Data'!G316/'Price Data'!G315-1,0)</f>
        <v>-1.0390218270411866E-3</v>
      </c>
    </row>
    <row r="317" spans="1:8" ht="15">
      <c r="A317" s="25">
        <f>'Price Data'!A317</f>
        <v>45392</v>
      </c>
      <c r="B317" s="27">
        <f>IFERROR('Price Data'!B317/'Price Data'!B316-1,0)</f>
        <v>1.088040785492117E-2</v>
      </c>
      <c r="C317" s="27">
        <f>IFERROR('Price Data'!C317/'Price Data'!C316-1,0)</f>
        <v>-7.8783141372592569E-3</v>
      </c>
      <c r="D317" s="27">
        <f>IFERROR('Price Data'!D317/'Price Data'!D316-1,0)</f>
        <v>9.6540262293731693E-3</v>
      </c>
      <c r="E317" s="27">
        <f>IFERROR('Price Data'!E317/'Price Data'!E316-1,0)</f>
        <v>2.1227881832615036E-3</v>
      </c>
      <c r="F317" s="27">
        <f>IFERROR('Price Data'!F317/'Price Data'!F316-1,0)</f>
        <v>7.9942089725126841E-3</v>
      </c>
      <c r="G317" s="27">
        <f>B317*Portfolio!$D$5+C317*Portfolio!$D$6+D317*Portfolio!$D$7+E317*Portfolio!$D$8+F317*Portfolio!$D$9</f>
        <v>4.1988782486562402E-3</v>
      </c>
      <c r="H317" s="27">
        <f>IFERROR('Price Data'!G317/'Price Data'!G316-1,0)</f>
        <v>4.9044741142307835E-3</v>
      </c>
    </row>
    <row r="318" spans="1:8" ht="15">
      <c r="A318" s="25">
        <f>'Price Data'!A318</f>
        <v>45394</v>
      </c>
      <c r="B318" s="27">
        <f>IFERROR('Price Data'!B318/'Price Data'!B317-1,0)</f>
        <v>-8.3977009839637518E-3</v>
      </c>
      <c r="C318" s="27">
        <f>IFERROR('Price Data'!C318/'Price Data'!C317-1,0)</f>
        <v>-1.1325567155855198E-2</v>
      </c>
      <c r="D318" s="27">
        <f>IFERROR('Price Data'!D318/'Price Data'!D317-1,0)</f>
        <v>4.2036591786691613E-3</v>
      </c>
      <c r="E318" s="27">
        <f>IFERROR('Price Data'!E318/'Price Data'!E317-1,0)</f>
        <v>-4.5070031895715346E-3</v>
      </c>
      <c r="F318" s="27">
        <f>IFERROR('Price Data'!F318/'Price Data'!F317-1,0)</f>
        <v>-1.4633864600357649E-2</v>
      </c>
      <c r="G318" s="27">
        <f>B318*Portfolio!$D$5+C318*Portfolio!$D$6+D318*Portfolio!$D$7+E318*Portfolio!$D$8+F318*Portfolio!$D$9</f>
        <v>-6.9612153677102839E-3</v>
      </c>
      <c r="H318" s="27">
        <f>IFERROR('Price Data'!G318/'Price Data'!G317-1,0)</f>
        <v>-1.0301592814249916E-2</v>
      </c>
    </row>
    <row r="319" spans="1:8" ht="15">
      <c r="A319" s="25">
        <f>'Price Data'!A319</f>
        <v>45397</v>
      </c>
      <c r="B319" s="27">
        <f>IFERROR('Price Data'!B319/'Price Data'!B318-1,0)</f>
        <v>-1.5847512239508532E-3</v>
      </c>
      <c r="C319" s="27">
        <f>IFERROR('Price Data'!C319/'Price Data'!C318-1,0)</f>
        <v>-1.5965147296700621E-2</v>
      </c>
      <c r="D319" s="27">
        <f>IFERROR('Price Data'!D319/'Price Data'!D318-1,0)</f>
        <v>-1.5044793063537454E-2</v>
      </c>
      <c r="E319" s="27">
        <f>IFERROR('Price Data'!E319/'Price Data'!E318-1,0)</f>
        <v>-2.3587459865593297E-2</v>
      </c>
      <c r="F319" s="27">
        <f>IFERROR('Price Data'!F319/'Price Data'!F318-1,0)</f>
        <v>-1.1180149159655484E-2</v>
      </c>
      <c r="G319" s="27">
        <f>B319*Portfolio!$D$5+C319*Portfolio!$D$6+D319*Portfolio!$D$7+E319*Portfolio!$D$8+F319*Portfolio!$D$9</f>
        <v>-1.2611574596657677E-2</v>
      </c>
      <c r="H319" s="27">
        <f>IFERROR('Price Data'!G319/'Price Data'!G318-1,0)</f>
        <v>-1.0963897188301042E-2</v>
      </c>
    </row>
    <row r="320" spans="1:8" ht="15">
      <c r="A320" s="25">
        <f>'Price Data'!A320</f>
        <v>45398</v>
      </c>
      <c r="B320" s="27">
        <f>IFERROR('Price Data'!B320/'Price Data'!B319-1,0)</f>
        <v>6.3153308451546764E-4</v>
      </c>
      <c r="C320" s="27">
        <f>IFERROR('Price Data'!C320/'Price Data'!C319-1,0)</f>
        <v>9.7345693548620549E-3</v>
      </c>
      <c r="D320" s="27">
        <f>IFERROR('Price Data'!D320/'Price Data'!D319-1,0)</f>
        <v>-1.7355109858298023E-2</v>
      </c>
      <c r="E320" s="27">
        <f>IFERROR('Price Data'!E320/'Price Data'!E319-1,0)</f>
        <v>-1.0478888277810849E-2</v>
      </c>
      <c r="F320" s="27">
        <f>IFERROR('Price Data'!F320/'Price Data'!F319-1,0)</f>
        <v>-3.6576782434468491E-2</v>
      </c>
      <c r="G320" s="27">
        <f>B320*Portfolio!$D$5+C320*Portfolio!$D$6+D320*Portfolio!$D$7+E320*Portfolio!$D$8+F320*Portfolio!$D$9</f>
        <v>-7.9378469686571251E-3</v>
      </c>
      <c r="H320" s="27">
        <f>IFERROR('Price Data'!G320/'Price Data'!G319-1,0)</f>
        <v>-5.5943252609720329E-3</v>
      </c>
    </row>
    <row r="321" spans="1:8" ht="15">
      <c r="A321" s="25">
        <f>'Price Data'!A321</f>
        <v>45400</v>
      </c>
      <c r="B321" s="27">
        <f>IFERROR('Price Data'!B321/'Price Data'!B320-1,0)</f>
        <v>-9.7224044909671736E-4</v>
      </c>
      <c r="C321" s="27">
        <f>IFERROR('Price Data'!C321/'Price Data'!C320-1,0)</f>
        <v>-9.6407210868114657E-3</v>
      </c>
      <c r="D321" s="27">
        <f>IFERROR('Price Data'!D321/'Price Data'!D320-1,0)</f>
        <v>-2.7886962519693137E-3</v>
      </c>
      <c r="E321" s="27">
        <f>IFERROR('Price Data'!E321/'Price Data'!E320-1,0)</f>
        <v>-1.0871127346196108E-2</v>
      </c>
      <c r="F321" s="27">
        <f>IFERROR('Price Data'!F321/'Price Data'!F320-1,0)</f>
        <v>3.3936809432331128E-3</v>
      </c>
      <c r="G321" s="27">
        <f>B321*Portfolio!$D$5+C321*Portfolio!$D$6+D321*Portfolio!$D$7+E321*Portfolio!$D$8+F321*Portfolio!$D$9</f>
        <v>-4.3325965948153569E-3</v>
      </c>
      <c r="H321" s="27">
        <f>IFERROR('Price Data'!G321/'Price Data'!G320-1,0)</f>
        <v>-6.8652458503182245E-3</v>
      </c>
    </row>
    <row r="322" spans="1:8" ht="15">
      <c r="A322" s="25">
        <f>'Price Data'!A322</f>
        <v>45401</v>
      </c>
      <c r="B322" s="27">
        <f>IFERROR('Price Data'!B322/'Price Data'!B321-1,0)</f>
        <v>3.960831579741253E-3</v>
      </c>
      <c r="C322" s="27">
        <f>IFERROR('Price Data'!C322/'Price Data'!C321-1,0)</f>
        <v>2.4486705609834125E-2</v>
      </c>
      <c r="D322" s="27">
        <f>IFERROR('Price Data'!D322/'Price Data'!D321-1,0)</f>
        <v>-9.2697473452907353E-3</v>
      </c>
      <c r="E322" s="27">
        <f>IFERROR('Price Data'!E322/'Price Data'!E321-1,0)</f>
        <v>1.1180102903450617E-2</v>
      </c>
      <c r="F322" s="27">
        <f>IFERROR('Price Data'!F322/'Price Data'!F321-1,0)</f>
        <v>-5.6367558218118896E-3</v>
      </c>
      <c r="G322" s="27">
        <f>B322*Portfolio!$D$5+C322*Portfolio!$D$6+D322*Portfolio!$D$7+E322*Portfolio!$D$8+F322*Portfolio!$D$9</f>
        <v>6.0894368905815071E-3</v>
      </c>
      <c r="H322" s="27">
        <f>IFERROR('Price Data'!G322/'Price Data'!G321-1,0)</f>
        <v>6.8717686886063944E-3</v>
      </c>
    </row>
    <row r="323" spans="1:8" ht="15">
      <c r="A323" s="25">
        <f>'Price Data'!A323</f>
        <v>45404</v>
      </c>
      <c r="B323" s="27">
        <f>IFERROR('Price Data'!B323/'Price Data'!B322-1,0)</f>
        <v>6.615090840900173E-3</v>
      </c>
      <c r="C323" s="27">
        <f>IFERROR('Price Data'!C323/'Price Data'!C322-1,0)</f>
        <v>-1.2473167836969723E-2</v>
      </c>
      <c r="D323" s="27">
        <f>IFERROR('Price Data'!D323/'Price Data'!D322-1,0)</f>
        <v>1.0036025449525088E-2</v>
      </c>
      <c r="E323" s="27">
        <f>IFERROR('Price Data'!E323/'Price Data'!E322-1,0)</f>
        <v>1.8177578111667314E-2</v>
      </c>
      <c r="F323" s="27">
        <f>IFERROR('Price Data'!F323/'Price Data'!F322-1,0)</f>
        <v>1.523466703585763E-2</v>
      </c>
      <c r="G323" s="27">
        <f>B323*Portfolio!$D$5+C323*Portfolio!$D$6+D323*Portfolio!$D$7+E323*Portfolio!$D$8+F323*Portfolio!$D$9</f>
        <v>5.5545226130163713E-3</v>
      </c>
      <c r="H323" s="27">
        <f>IFERROR('Price Data'!G323/'Price Data'!G322-1,0)</f>
        <v>8.5519659829773609E-3</v>
      </c>
    </row>
    <row r="324" spans="1:8" ht="15">
      <c r="A324" s="25">
        <f>'Price Data'!A324</f>
        <v>45405</v>
      </c>
      <c r="B324" s="27">
        <f>IFERROR('Price Data'!B324/'Price Data'!B323-1,0)</f>
        <v>-1.3869624014868687E-2</v>
      </c>
      <c r="C324" s="27">
        <f>IFERROR('Price Data'!C324/'Price Data'!C323-1,0)</f>
        <v>-3.0419292725942793E-3</v>
      </c>
      <c r="D324" s="27">
        <f>IFERROR('Price Data'!D324/'Price Data'!D323-1,0)</f>
        <v>2.6135448657624849E-3</v>
      </c>
      <c r="E324" s="27">
        <f>IFERROR('Price Data'!E324/'Price Data'!E323-1,0)</f>
        <v>3.3128658396091026E-3</v>
      </c>
      <c r="F324" s="27">
        <f>IFERROR('Price Data'!F324/'Price Data'!F323-1,0)</f>
        <v>6.7353387509923035E-3</v>
      </c>
      <c r="G324" s="27">
        <f>B324*Portfolio!$D$5+C324*Portfolio!$D$6+D324*Portfolio!$D$7+E324*Portfolio!$D$8+F324*Portfolio!$D$9</f>
        <v>-2.1979486601230334E-3</v>
      </c>
      <c r="H324" s="27">
        <f>IFERROR('Price Data'!G324/'Price Data'!G323-1,0)</f>
        <v>1.4147135985376202E-3</v>
      </c>
    </row>
    <row r="325" spans="1:8" ht="15">
      <c r="A325" s="25">
        <f>'Price Data'!A325</f>
        <v>45406</v>
      </c>
      <c r="B325" s="27">
        <f>IFERROR('Price Data'!B325/'Price Data'!B324-1,0)</f>
        <v>-6.2700521200622639E-3</v>
      </c>
      <c r="C325" s="27">
        <f>IFERROR('Price Data'!C325/'Price Data'!C324-1,0)</f>
        <v>2.7195630028149509E-3</v>
      </c>
      <c r="D325" s="27">
        <f>IFERROR('Price Data'!D325/'Price Data'!D324-1,0)</f>
        <v>-1.1265489793097161E-2</v>
      </c>
      <c r="E325" s="27">
        <f>IFERROR('Price Data'!E325/'Price Data'!E324-1,0)</f>
        <v>5.9619043088696699E-3</v>
      </c>
      <c r="F325" s="27">
        <f>IFERROR('Price Data'!F325/'Price Data'!F324-1,0)</f>
        <v>-8.0768035147121831E-3</v>
      </c>
      <c r="G325" s="27">
        <f>B325*Portfolio!$D$5+C325*Portfolio!$D$6+D325*Portfolio!$D$7+E325*Portfolio!$D$8+F325*Portfolio!$D$9</f>
        <v>-3.4579551188076377E-3</v>
      </c>
      <c r="H325" s="27">
        <f>IFERROR('Price Data'!G325/'Price Data'!G324-1,0)</f>
        <v>1.5379287654238016E-3</v>
      </c>
    </row>
    <row r="326" spans="1:8" ht="15">
      <c r="A326" s="25">
        <f>'Price Data'!A326</f>
        <v>45407</v>
      </c>
      <c r="B326" s="27">
        <f>IFERROR('Price Data'!B326/'Price Data'!B325-1,0)</f>
        <v>6.7578055316119823E-3</v>
      </c>
      <c r="C326" s="27">
        <f>IFERROR('Price Data'!C326/'Price Data'!C325-1,0)</f>
        <v>-6.2827006133769903E-4</v>
      </c>
      <c r="D326" s="27">
        <f>IFERROR('Price Data'!D326/'Price Data'!D325-1,0)</f>
        <v>5.520674635862477E-3</v>
      </c>
      <c r="E326" s="27">
        <f>IFERROR('Price Data'!E326/'Price Data'!E325-1,0)</f>
        <v>1.5500331346761209E-2</v>
      </c>
      <c r="F326" s="27">
        <f>IFERROR('Price Data'!F326/'Price Data'!F325-1,0)</f>
        <v>5.3816561517232575E-3</v>
      </c>
      <c r="G326" s="27">
        <f>B326*Portfolio!$D$5+C326*Portfolio!$D$6+D326*Portfolio!$D$7+E326*Portfolio!$D$8+F326*Portfolio!$D$9</f>
        <v>5.7688169195137364E-3</v>
      </c>
      <c r="H326" s="27">
        <f>IFERROR('Price Data'!G326/'Price Data'!G325-1,0)</f>
        <v>7.4969296067168845E-3</v>
      </c>
    </row>
    <row r="327" spans="1:8" ht="15">
      <c r="A327" s="25">
        <f>'Price Data'!A327</f>
        <v>45408</v>
      </c>
      <c r="B327" s="27">
        <f>IFERROR('Price Data'!B327/'Price Data'!B326-1,0)</f>
        <v>-5.085633694074887E-3</v>
      </c>
      <c r="C327" s="27">
        <f>IFERROR('Price Data'!C327/'Price Data'!C326-1,0)</f>
        <v>-6.2883380189271421E-4</v>
      </c>
      <c r="D327" s="27">
        <f>IFERROR('Price Data'!D327/'Price Data'!D326-1,0)</f>
        <v>-8.0083450027658154E-3</v>
      </c>
      <c r="E327" s="27">
        <f>IFERROR('Price Data'!E327/'Price Data'!E326-1,0)</f>
        <v>-5.2524869941069641E-3</v>
      </c>
      <c r="F327" s="27">
        <f>IFERROR('Price Data'!F327/'Price Data'!F326-1,0)</f>
        <v>-5.7004784117965501E-3</v>
      </c>
      <c r="G327" s="27">
        <f>B327*Portfolio!$D$5+C327*Portfolio!$D$6+D327*Portfolio!$D$7+E327*Portfolio!$D$8+F327*Portfolio!$D$9</f>
        <v>-4.6732306854305912E-3</v>
      </c>
      <c r="H327" s="27">
        <f>IFERROR('Price Data'!G327/'Price Data'!G326-1,0)</f>
        <v>-6.6636269808832971E-3</v>
      </c>
    </row>
    <row r="328" spans="1:8" ht="15">
      <c r="A328" s="25">
        <f>'Price Data'!A328</f>
        <v>45411</v>
      </c>
      <c r="B328" s="27">
        <f>IFERROR('Price Data'!B328/'Price Data'!B327-1,0)</f>
        <v>8.5883881977322218E-3</v>
      </c>
      <c r="C328" s="27">
        <f>IFERROR('Price Data'!C328/'Price Data'!C327-1,0)</f>
        <v>1.3047983560999787E-2</v>
      </c>
      <c r="D328" s="27">
        <f>IFERROR('Price Data'!D328/'Price Data'!D327-1,0)</f>
        <v>1.278330871392952E-2</v>
      </c>
      <c r="E328" s="27">
        <f>IFERROR('Price Data'!E328/'Price Data'!E327-1,0)</f>
        <v>4.7161279123808075E-2</v>
      </c>
      <c r="F328" s="27">
        <f>IFERROR('Price Data'!F328/'Price Data'!F327-1,0)</f>
        <v>3.1463243657408047E-3</v>
      </c>
      <c r="G328" s="27">
        <f>B328*Portfolio!$D$5+C328*Portfolio!$D$6+D328*Portfolio!$D$7+E328*Portfolio!$D$8+F328*Portfolio!$D$9</f>
        <v>1.5511895205901238E-2</v>
      </c>
      <c r="H328" s="27">
        <f>IFERROR('Price Data'!G328/'Price Data'!G327-1,0)</f>
        <v>9.9666225688024301E-3</v>
      </c>
    </row>
    <row r="329" spans="1:8" ht="15">
      <c r="A329" s="25">
        <f>'Price Data'!A329</f>
        <v>45412</v>
      </c>
      <c r="B329" s="27">
        <f>IFERROR('Price Data'!B329/'Price Data'!B328-1,0)</f>
        <v>1.3480647310561977E-3</v>
      </c>
      <c r="C329" s="27">
        <f>IFERROR('Price Data'!C329/'Price Data'!C328-1,0)</f>
        <v>-6.1458206918992841E-3</v>
      </c>
      <c r="D329" s="27">
        <f>IFERROR('Price Data'!D329/'Price Data'!D328-1,0)</f>
        <v>-1.2803037549463547E-2</v>
      </c>
      <c r="E329" s="27">
        <f>IFERROR('Price Data'!E329/'Price Data'!E328-1,0)</f>
        <v>-8.4040955742358259E-3</v>
      </c>
      <c r="F329" s="27">
        <f>IFERROR('Price Data'!F329/'Price Data'!F328-1,0)</f>
        <v>-9.8973044222719908E-3</v>
      </c>
      <c r="G329" s="27">
        <f>B329*Portfolio!$D$5+C329*Portfolio!$D$6+D329*Portfolio!$D$7+E329*Portfolio!$D$8+F329*Portfolio!$D$9</f>
        <v>-6.5052564995796529E-3</v>
      </c>
      <c r="H329" s="27">
        <f>IFERROR('Price Data'!G329/'Price Data'!G328-1,0)</f>
        <v>-1.70251731563964E-3</v>
      </c>
    </row>
    <row r="330" spans="1:8" ht="15">
      <c r="A330" s="25">
        <f>'Price Data'!A330</f>
        <v>45414</v>
      </c>
      <c r="B330" s="27">
        <f>IFERROR('Price Data'!B330/'Price Data'!B329-1,0)</f>
        <v>-3.067085032111283E-4</v>
      </c>
      <c r="C330" s="27">
        <f>IFERROR('Price Data'!C330/'Price Data'!C329-1,0)</f>
        <v>7.9928888733831194E-3</v>
      </c>
      <c r="D330" s="27">
        <f>IFERROR('Price Data'!D330/'Price Data'!D329-1,0)</f>
        <v>1.1163396127148895E-2</v>
      </c>
      <c r="E330" s="27">
        <f>IFERROR('Price Data'!E330/'Price Data'!E329-1,0)</f>
        <v>-9.5184529494143355E-3</v>
      </c>
      <c r="F330" s="27">
        <f>IFERROR('Price Data'!F330/'Price Data'!F329-1,0)</f>
        <v>-4.2941470694318751E-3</v>
      </c>
      <c r="G330" s="27">
        <f>B330*Portfolio!$D$5+C330*Portfolio!$D$6+D330*Portfolio!$D$7+E330*Portfolio!$D$8+F330*Portfolio!$D$9</f>
        <v>2.0823343151458451E-3</v>
      </c>
      <c r="H330" s="27">
        <f>IFERROR('Price Data'!G330/'Price Data'!G329-1,0)</f>
        <v>1.9177127972140884E-3</v>
      </c>
    </row>
    <row r="331" spans="1:8" ht="15">
      <c r="A331" s="25">
        <f>'Price Data'!A331</f>
        <v>45415</v>
      </c>
      <c r="B331" s="27">
        <f>IFERROR('Price Data'!B331/'Price Data'!B330-1,0)</f>
        <v>-2.2195003295895632E-2</v>
      </c>
      <c r="C331" s="27">
        <f>IFERROR('Price Data'!C331/'Price Data'!C330-1,0)</f>
        <v>-8.2557384441751536E-3</v>
      </c>
      <c r="D331" s="27">
        <f>IFERROR('Price Data'!D331/'Price Data'!D330-1,0)</f>
        <v>-5.1512597747206401E-3</v>
      </c>
      <c r="E331" s="27">
        <f>IFERROR('Price Data'!E331/'Price Data'!E330-1,0)</f>
        <v>2.2819433136840317E-3</v>
      </c>
      <c r="F331" s="27">
        <f>IFERROR('Price Data'!F331/'Price Data'!F330-1,0)</f>
        <v>1.3081002101407169E-3</v>
      </c>
      <c r="G331" s="27">
        <f>B331*Portfolio!$D$5+C331*Portfolio!$D$6+D331*Portfolio!$D$7+E331*Portfolio!$D$8+F331*Portfolio!$D$9</f>
        <v>-8.1044308613881112E-3</v>
      </c>
      <c r="H331" s="27">
        <f>IFERROR('Price Data'!G331/'Price Data'!G330-1,0)</f>
        <v>-7.6098592965534451E-3</v>
      </c>
    </row>
    <row r="332" spans="1:8" ht="15">
      <c r="A332" s="25">
        <f>'Price Data'!A332</f>
        <v>45418</v>
      </c>
      <c r="B332" s="27">
        <f>IFERROR('Price Data'!B332/'Price Data'!B331-1,0)</f>
        <v>-1.0094119657954703E-2</v>
      </c>
      <c r="C332" s="27">
        <f>IFERROR('Price Data'!C332/'Price Data'!C331-1,0)</f>
        <v>2.007059103041664E-3</v>
      </c>
      <c r="D332" s="27">
        <f>IFERROR('Price Data'!D332/'Price Data'!D331-1,0)</f>
        <v>2.0203562463249281E-2</v>
      </c>
      <c r="E332" s="27">
        <f>IFERROR('Price Data'!E332/'Price Data'!E331-1,0)</f>
        <v>3.7213209287854099E-3</v>
      </c>
      <c r="F332" s="27">
        <f>IFERROR('Price Data'!F332/'Price Data'!F331-1,0)</f>
        <v>6.7781208260455639E-3</v>
      </c>
      <c r="G332" s="27">
        <f>B332*Portfolio!$D$5+C332*Portfolio!$D$6+D332*Portfolio!$D$7+E332*Portfolio!$D$8+F332*Portfolio!$D$9</f>
        <v>3.5938636171462422E-3</v>
      </c>
      <c r="H332" s="27">
        <f>IFERROR('Price Data'!G332/'Price Data'!G331-1,0)</f>
        <v>-1.4749338156797576E-3</v>
      </c>
    </row>
    <row r="333" spans="1:8" ht="15">
      <c r="A333" s="25">
        <f>'Price Data'!A333</f>
        <v>45419</v>
      </c>
      <c r="B333" s="27">
        <f>IFERROR('Price Data'!B333/'Price Data'!B332-1,0)</f>
        <v>-1.2715634020197708E-2</v>
      </c>
      <c r="C333" s="27">
        <f>IFERROR('Price Data'!C333/'Price Data'!C332-1,0)</f>
        <v>-1.0836286317010613E-2</v>
      </c>
      <c r="D333" s="27">
        <f>IFERROR('Price Data'!D333/'Price Data'!D332-1,0)</f>
        <v>1.4766360184036209E-2</v>
      </c>
      <c r="E333" s="27">
        <f>IFERROR('Price Data'!E333/'Price Data'!E332-1,0)</f>
        <v>-1.2562222306405912E-2</v>
      </c>
      <c r="F333" s="27">
        <f>IFERROR('Price Data'!F333/'Price Data'!F332-1,0)</f>
        <v>1.0554765976117375E-2</v>
      </c>
      <c r="G333" s="27">
        <f>B333*Portfolio!$D$5+C333*Portfolio!$D$6+D333*Portfolio!$D$7+E333*Portfolio!$D$8+F333*Portfolio!$D$9</f>
        <v>-3.2358264970381188E-3</v>
      </c>
      <c r="H333" s="27">
        <f>IFERROR('Price Data'!G333/'Price Data'!G332-1,0)</f>
        <v>-6.246985595782073E-3</v>
      </c>
    </row>
    <row r="334" spans="1:8" ht="15">
      <c r="A334" s="25">
        <f>'Price Data'!A334</f>
        <v>45420</v>
      </c>
      <c r="B334" s="27">
        <f>IFERROR('Price Data'!B334/'Price Data'!B333-1,0)</f>
        <v>1.2183710606438636E-2</v>
      </c>
      <c r="C334" s="27">
        <f>IFERROR('Price Data'!C334/'Price Data'!C333-1,0)</f>
        <v>-1.5602790656337517E-2</v>
      </c>
      <c r="D334" s="27">
        <f>IFERROR('Price Data'!D334/'Price Data'!D333-1,0)</f>
        <v>-5.0266038646229472E-4</v>
      </c>
      <c r="E334" s="27">
        <f>IFERROR('Price Data'!E334/'Price Data'!E333-1,0)</f>
        <v>-7.8627756457396725E-3</v>
      </c>
      <c r="F334" s="27">
        <f>IFERROR('Price Data'!F334/'Price Data'!F333-1,0)</f>
        <v>-9.4728527988888755E-3</v>
      </c>
      <c r="G334" s="27">
        <f>B334*Portfolio!$D$5+C334*Portfolio!$D$6+D334*Portfolio!$D$7+E334*Portfolio!$D$8+F334*Portfolio!$D$9</f>
        <v>-3.5556463564614615E-3</v>
      </c>
      <c r="H334" s="27">
        <f>IFERROR('Price Data'!G334/'Price Data'!G333-1,0)</f>
        <v>0</v>
      </c>
    </row>
    <row r="335" spans="1:8" ht="15">
      <c r="A335" s="25">
        <f>'Price Data'!A335</f>
        <v>45421</v>
      </c>
      <c r="B335" s="27">
        <f>IFERROR('Price Data'!B335/'Price Data'!B334-1,0)</f>
        <v>-1.7218423426538232E-2</v>
      </c>
      <c r="C335" s="27">
        <f>IFERROR('Price Data'!C335/'Price Data'!C334-1,0)</f>
        <v>-2.3707475275120515E-2</v>
      </c>
      <c r="D335" s="27">
        <f>IFERROR('Price Data'!D335/'Price Data'!D334-1,0)</f>
        <v>-4.2117983697651518E-3</v>
      </c>
      <c r="E335" s="27">
        <f>IFERROR('Price Data'!E335/'Price Data'!E334-1,0)</f>
        <v>-6.5005350086810854E-3</v>
      </c>
      <c r="F335" s="27">
        <f>IFERROR('Price Data'!F335/'Price Data'!F334-1,0)</f>
        <v>8.5825725276937881E-3</v>
      </c>
      <c r="G335" s="27">
        <f>B335*Portfolio!$D$5+C335*Portfolio!$D$6+D335*Portfolio!$D$7+E335*Portfolio!$D$8+F335*Portfolio!$D$9</f>
        <v>-1.0761528721515812E-2</v>
      </c>
      <c r="H335" s="27">
        <f>IFERROR('Price Data'!G335/'Price Data'!G334-1,0)</f>
        <v>-1.546911781190452E-2</v>
      </c>
    </row>
    <row r="336" spans="1:8" ht="15">
      <c r="A336" s="25">
        <f>'Price Data'!A336</f>
        <v>45422</v>
      </c>
      <c r="B336" s="27">
        <f>IFERROR('Price Data'!B336/'Price Data'!B335-1,0)</f>
        <v>9.5401807793231708E-3</v>
      </c>
      <c r="C336" s="27">
        <f>IFERROR('Price Data'!C336/'Price Data'!C335-1,0)</f>
        <v>6.932663000940531E-3</v>
      </c>
      <c r="D336" s="27">
        <f>IFERROR('Price Data'!D336/'Price Data'!D335-1,0)</f>
        <v>-1.6741486589480825E-2</v>
      </c>
      <c r="E336" s="27">
        <f>IFERROR('Price Data'!E336/'Price Data'!E335-1,0)</f>
        <v>1.210019508659288E-3</v>
      </c>
      <c r="F336" s="27">
        <f>IFERROR('Price Data'!F336/'Price Data'!F335-1,0)</f>
        <v>-1.0176792988385919E-2</v>
      </c>
      <c r="G336" s="27">
        <f>B336*Portfolio!$D$5+C336*Portfolio!$D$6+D336*Portfolio!$D$7+E336*Portfolio!$D$8+F336*Portfolio!$D$9</f>
        <v>-5.7510239478923426E-4</v>
      </c>
      <c r="H336" s="27">
        <f>IFERROR('Price Data'!G336/'Price Data'!G335-1,0)</f>
        <v>4.4494691449390444E-3</v>
      </c>
    </row>
    <row r="337" spans="1:8" ht="15">
      <c r="A337" s="25">
        <f>'Price Data'!A337</f>
        <v>45425</v>
      </c>
      <c r="B337" s="27">
        <f>IFERROR('Price Data'!B337/'Price Data'!B336-1,0)</f>
        <v>-3.3572841312036195E-3</v>
      </c>
      <c r="C337" s="27">
        <f>IFERROR('Price Data'!C337/'Price Data'!C336-1,0)</f>
        <v>1.2066211712099095E-2</v>
      </c>
      <c r="D337" s="27">
        <f>IFERROR('Price Data'!D337/'Price Data'!D336-1,0)</f>
        <v>1.3842242910099278E-2</v>
      </c>
      <c r="E337" s="27">
        <f>IFERROR('Price Data'!E337/'Price Data'!E336-1,0)</f>
        <v>9.8026301028801832E-3</v>
      </c>
      <c r="F337" s="27">
        <f>IFERROR('Price Data'!F337/'Price Data'!F336-1,0)</f>
        <v>-1.0175726031451671E-3</v>
      </c>
      <c r="G337" s="27">
        <f>B337*Portfolio!$D$5+C337*Portfolio!$D$6+D337*Portfolio!$D$7+E337*Portfolio!$D$8+F337*Portfolio!$D$9</f>
        <v>6.263439102203977E-3</v>
      </c>
      <c r="H337" s="27">
        <f>IFERROR('Price Data'!G337/'Price Data'!G336-1,0)</f>
        <v>2.2149680905385605E-3</v>
      </c>
    </row>
    <row r="338" spans="1:8" ht="15">
      <c r="A338" s="25">
        <f>'Price Data'!A338</f>
        <v>45426</v>
      </c>
      <c r="B338" s="27">
        <f>IFERROR('Price Data'!B338/'Price Data'!B337-1,0)</f>
        <v>1.2386827299672554E-2</v>
      </c>
      <c r="C338" s="27">
        <f>IFERROR('Price Data'!C338/'Price Data'!C337-1,0)</f>
        <v>3.9168485936049713E-3</v>
      </c>
      <c r="D338" s="27">
        <f>IFERROR('Price Data'!D338/'Price Data'!D337-1,0)</f>
        <v>-1.1804064388090341E-2</v>
      </c>
      <c r="E338" s="27">
        <f>IFERROR('Price Data'!E338/'Price Data'!E337-1,0)</f>
        <v>-6.6045914702811404E-3</v>
      </c>
      <c r="F338" s="27">
        <f>IFERROR('Price Data'!F338/'Price Data'!F337-1,0)</f>
        <v>8.7799899237173129E-4</v>
      </c>
      <c r="G338" s="27">
        <f>B338*Portfolio!$D$5+C338*Portfolio!$D$6+D338*Portfolio!$D$7+E338*Portfolio!$D$8+F338*Portfolio!$D$9</f>
        <v>8.5611722401490145E-4</v>
      </c>
      <c r="H338" s="27">
        <f>IFERROR('Price Data'!G338/'Price Data'!G337-1,0)</f>
        <v>5.1483245877055328E-3</v>
      </c>
    </row>
    <row r="339" spans="1:8" ht="15">
      <c r="A339" s="25">
        <f>'Price Data'!A339</f>
        <v>45427</v>
      </c>
      <c r="B339" s="27">
        <f>IFERROR('Price Data'!B339/'Price Data'!B338-1,0)</f>
        <v>-2.6758565755491404E-3</v>
      </c>
      <c r="C339" s="27">
        <f>IFERROR('Price Data'!C339/'Price Data'!C338-1,0)</f>
        <v>-1.5366691060426096E-2</v>
      </c>
      <c r="D339" s="27">
        <f>IFERROR('Price Data'!D339/'Price Data'!D338-1,0)</f>
        <v>-5.3317183743473162E-3</v>
      </c>
      <c r="E339" s="27">
        <f>IFERROR('Price Data'!E339/'Price Data'!E338-1,0)</f>
        <v>3.3911280375324981E-3</v>
      </c>
      <c r="F339" s="27">
        <f>IFERROR('Price Data'!F339/'Price Data'!F338-1,0)</f>
        <v>-3.3340272443923569E-3</v>
      </c>
      <c r="G339" s="27">
        <f>B339*Portfolio!$D$5+C339*Portfolio!$D$6+D339*Portfolio!$D$7+E339*Portfolio!$D$8+F339*Portfolio!$D$9</f>
        <v>-5.5684154648922507E-3</v>
      </c>
      <c r="H339" s="27">
        <f>IFERROR('Price Data'!G339/'Price Data'!G338-1,0)</f>
        <v>-7.7860046895361634E-4</v>
      </c>
    </row>
    <row r="340" spans="1:8" ht="15">
      <c r="A340" s="25">
        <f>'Price Data'!A340</f>
        <v>45428</v>
      </c>
      <c r="B340" s="27">
        <f>IFERROR('Price Data'!B340/'Price Data'!B339-1,0)</f>
        <v>6.4076042672815969E-3</v>
      </c>
      <c r="C340" s="27">
        <f>IFERROR('Price Data'!C340/'Price Data'!C339-1,0)</f>
        <v>1.511988175404233E-2</v>
      </c>
      <c r="D340" s="27">
        <f>IFERROR('Price Data'!D340/'Price Data'!D339-1,0)</f>
        <v>1.260244608558847E-2</v>
      </c>
      <c r="E340" s="27">
        <f>IFERROR('Price Data'!E340/'Price Data'!E339-1,0)</f>
        <v>5.9590813864502934E-3</v>
      </c>
      <c r="F340" s="27">
        <f>IFERROR('Price Data'!F340/'Price Data'!F339-1,0)</f>
        <v>2.3522141960121257E-2</v>
      </c>
      <c r="G340" s="27">
        <f>B340*Portfolio!$D$5+C340*Portfolio!$D$6+D340*Portfolio!$D$7+E340*Portfolio!$D$8+F340*Portfolio!$D$9</f>
        <v>1.2324544224434408E-2</v>
      </c>
      <c r="H340" s="27">
        <f>IFERROR('Price Data'!G340/'Price Data'!G339-1,0)</f>
        <v>9.1573776762647885E-3</v>
      </c>
    </row>
    <row r="341" spans="1:8" ht="15">
      <c r="A341" s="25">
        <f>'Price Data'!A341</f>
        <v>45429</v>
      </c>
      <c r="B341" s="27">
        <f>IFERROR('Price Data'!B341/'Price Data'!B340-1,0)</f>
        <v>7.2613822862905852E-3</v>
      </c>
      <c r="C341" s="27">
        <f>IFERROR('Price Data'!C341/'Price Data'!C340-1,0)</f>
        <v>2.636598551020608E-3</v>
      </c>
      <c r="D341" s="27">
        <f>IFERROR('Price Data'!D341/'Price Data'!D340-1,0)</f>
        <v>-1.71369013431526E-2</v>
      </c>
      <c r="E341" s="27">
        <f>IFERROR('Price Data'!E341/'Price Data'!E340-1,0)</f>
        <v>-4.8639023305596663E-4</v>
      </c>
      <c r="F341" s="27">
        <f>IFERROR('Price Data'!F341/'Price Data'!F340-1,0)</f>
        <v>-6.2270831909221336E-3</v>
      </c>
      <c r="G341" s="27">
        <f>B341*Portfolio!$D$5+C341*Portfolio!$D$6+D341*Portfolio!$D$7+E341*Portfolio!$D$8+F341*Portfolio!$D$9</f>
        <v>-1.9599060728994365E-3</v>
      </c>
      <c r="H341" s="27">
        <f>IFERROR('Price Data'!G341/'Price Data'!G340-1,0)</f>
        <v>2.7785403439750667E-3</v>
      </c>
    </row>
    <row r="342" spans="1:8" ht="15">
      <c r="A342" s="25">
        <f>'Price Data'!A342</f>
        <v>45433</v>
      </c>
      <c r="B342" s="27">
        <f>IFERROR('Price Data'!B342/'Price Data'!B341-1,0)</f>
        <v>2.9601298051340486E-4</v>
      </c>
      <c r="C342" s="27">
        <f>IFERROR('Price Data'!C342/'Price Data'!C341-1,0)</f>
        <v>-3.6200094730824972E-3</v>
      </c>
      <c r="D342" s="27">
        <f>IFERROR('Price Data'!D342/'Price Data'!D341-1,0)</f>
        <v>-3.6252739828089853E-3</v>
      </c>
      <c r="E342" s="27">
        <f>IFERROR('Price Data'!E342/'Price Data'!E341-1,0)</f>
        <v>-8.4475975566806749E-3</v>
      </c>
      <c r="F342" s="27">
        <f>IFERROR('Price Data'!F342/'Price Data'!F341-1,0)</f>
        <v>-7.0276063637967345E-3</v>
      </c>
      <c r="G342" s="27">
        <f>B342*Portfolio!$D$5+C342*Portfolio!$D$6+D342*Portfolio!$D$7+E342*Portfolio!$D$8+F342*Portfolio!$D$9</f>
        <v>-3.8773345077756818E-3</v>
      </c>
      <c r="H342" s="27">
        <f>IFERROR('Price Data'!G342/'Price Data'!G341-1,0)</f>
        <v>2.8020516676037222E-3</v>
      </c>
    </row>
    <row r="343" spans="1:8" ht="15">
      <c r="A343" s="25">
        <f>'Price Data'!A343</f>
        <v>45434</v>
      </c>
      <c r="B343" s="27">
        <f>IFERROR('Price Data'!B343/'Price Data'!B342-1,0)</f>
        <v>1.7077303280160772E-2</v>
      </c>
      <c r="C343" s="27">
        <f>IFERROR('Price Data'!C343/'Price Data'!C342-1,0)</f>
        <v>2.7415532571728463E-4</v>
      </c>
      <c r="D343" s="27">
        <f>IFERROR('Price Data'!D343/'Price Data'!D342-1,0)</f>
        <v>3.0888650412970176E-3</v>
      </c>
      <c r="E343" s="27">
        <f>IFERROR('Price Data'!E343/'Price Data'!E342-1,0)</f>
        <v>-8.7872013012894046E-3</v>
      </c>
      <c r="F343" s="27">
        <f>IFERROR('Price Data'!F343/'Price Data'!F342-1,0)</f>
        <v>1.4398710311806617E-2</v>
      </c>
      <c r="G343" s="27">
        <f>B343*Portfolio!$D$5+C343*Portfolio!$D$6+D343*Portfolio!$D$7+E343*Portfolio!$D$8+F343*Portfolio!$D$9</f>
        <v>5.7973640113065002E-3</v>
      </c>
      <c r="H343" s="27">
        <f>IFERROR('Price Data'!G343/'Price Data'!G342-1,0)</f>
        <v>3.0516154749500313E-3</v>
      </c>
    </row>
    <row r="344" spans="1:8" ht="15">
      <c r="A344" s="25">
        <f>'Price Data'!A344</f>
        <v>45435</v>
      </c>
      <c r="B344" s="27">
        <f>IFERROR('Price Data'!B344/'Price Data'!B343-1,0)</f>
        <v>1.7389564197719309E-2</v>
      </c>
      <c r="C344" s="27">
        <f>IFERROR('Price Data'!C344/'Price Data'!C343-1,0)</f>
        <v>2.2889315389068132E-2</v>
      </c>
      <c r="D344" s="27">
        <f>IFERROR('Price Data'!D344/'Price Data'!D343-1,0)</f>
        <v>1.6035934493433102E-2</v>
      </c>
      <c r="E344" s="27">
        <f>IFERROR('Price Data'!E344/'Price Data'!E343-1,0)</f>
        <v>2.1060281233288514E-2</v>
      </c>
      <c r="F344" s="27">
        <f>IFERROR('Price Data'!F344/'Price Data'!F343-1,0)</f>
        <v>1.2098032404614711E-2</v>
      </c>
      <c r="G344" s="27">
        <f>B344*Portfolio!$D$5+C344*Portfolio!$D$6+D344*Portfolio!$D$7+E344*Portfolio!$D$8+F344*Portfolio!$D$9</f>
        <v>1.8250653841068963E-2</v>
      </c>
      <c r="H344" s="27">
        <f>IFERROR('Price Data'!G344/'Price Data'!G343-1,0)</f>
        <v>1.6366619608483068E-2</v>
      </c>
    </row>
    <row r="345" spans="1:8" ht="15">
      <c r="A345" s="25">
        <f>'Price Data'!A345</f>
        <v>45436</v>
      </c>
      <c r="B345" s="27">
        <f>IFERROR('Price Data'!B345/'Price Data'!B344-1,0)</f>
        <v>-3.9030928284150557E-3</v>
      </c>
      <c r="C345" s="27">
        <f>IFERROR('Price Data'!C345/'Price Data'!C344-1,0)</f>
        <v>1.6481356277241233E-2</v>
      </c>
      <c r="D345" s="27">
        <f>IFERROR('Price Data'!D345/'Price Data'!D344-1,0)</f>
        <v>-1.1288183470120616E-2</v>
      </c>
      <c r="E345" s="27">
        <f>IFERROR('Price Data'!E345/'Price Data'!E344-1,0)</f>
        <v>-2.2477174234354358E-3</v>
      </c>
      <c r="F345" s="27">
        <f>IFERROR('Price Data'!F345/'Price Data'!F344-1,0)</f>
        <v>-4.9580030307053713E-3</v>
      </c>
      <c r="G345" s="27">
        <f>B345*Portfolio!$D$5+C345*Portfolio!$D$6+D345*Portfolio!$D$7+E345*Portfolio!$D$8+F345*Portfolio!$D$9</f>
        <v>-1.9392889993870017E-4</v>
      </c>
      <c r="H345" s="27">
        <f>IFERROR('Price Data'!G345/'Price Data'!G344-1,0)</f>
        <v>-4.5937573371923612E-4</v>
      </c>
    </row>
    <row r="346" spans="1:8" ht="15">
      <c r="A346" s="25">
        <f>'Price Data'!A346</f>
        <v>45439</v>
      </c>
      <c r="B346" s="27">
        <f>IFERROR('Price Data'!B346/'Price Data'!B345-1,0)</f>
        <v>-9.4578264534206369E-3</v>
      </c>
      <c r="C346" s="27">
        <f>IFERROR('Price Data'!C346/'Price Data'!C345-1,0)</f>
        <v>6.9206441152764864E-3</v>
      </c>
      <c r="D346" s="27">
        <f>IFERROR('Price Data'!D346/'Price Data'!D345-1,0)</f>
        <v>-6.3639827971040397E-4</v>
      </c>
      <c r="E346" s="27">
        <f>IFERROR('Price Data'!E346/'Price Data'!E345-1,0)</f>
        <v>-1.8992940124230584E-3</v>
      </c>
      <c r="F346" s="27">
        <f>IFERROR('Price Data'!F346/'Price Data'!F345-1,0)</f>
        <v>4.2658288950732093E-3</v>
      </c>
      <c r="G346" s="27">
        <f>B346*Portfolio!$D$5+C346*Portfolio!$D$6+D346*Portfolio!$D$7+E346*Portfolio!$D$8+F346*Portfolio!$D$9</f>
        <v>-4.0659500808059581E-4</v>
      </c>
      <c r="H346" s="27">
        <f>IFERROR('Price Data'!G346/'Price Data'!G345-1,0)</f>
        <v>-1.0737589261899938E-3</v>
      </c>
    </row>
    <row r="347" spans="1:8" ht="15">
      <c r="A347" s="25">
        <f>'Price Data'!A347</f>
        <v>45440</v>
      </c>
      <c r="B347" s="27">
        <f>IFERROR('Price Data'!B347/'Price Data'!B346-1,0)</f>
        <v>-6.8542539362521637E-3</v>
      </c>
      <c r="C347" s="27">
        <f>IFERROR('Price Data'!C347/'Price Data'!C346-1,0)</f>
        <v>1.8327000548690187E-3</v>
      </c>
      <c r="D347" s="27">
        <f>IFERROR('Price Data'!D347/'Price Data'!D346-1,0)</f>
        <v>-1.8585920268274769E-3</v>
      </c>
      <c r="E347" s="27">
        <f>IFERROR('Price Data'!E347/'Price Data'!E346-1,0)</f>
        <v>-2.5227150880369198E-3</v>
      </c>
      <c r="F347" s="27">
        <f>IFERROR('Price Data'!F347/'Price Data'!F346-1,0)</f>
        <v>-2.922314246011859E-3</v>
      </c>
      <c r="G347" s="27">
        <f>B347*Portfolio!$D$5+C347*Portfolio!$D$6+D347*Portfolio!$D$7+E347*Portfolio!$D$8+F347*Portfolio!$D$9</f>
        <v>-2.4438612758185987E-3</v>
      </c>
      <c r="H347" s="27">
        <f>IFERROR('Price Data'!G347/'Price Data'!G346-1,0)</f>
        <v>-1.9317094176221072E-3</v>
      </c>
    </row>
    <row r="348" spans="1:8" ht="15">
      <c r="A348" s="25">
        <f>'Price Data'!A348</f>
        <v>45441</v>
      </c>
      <c r="B348" s="27">
        <f>IFERROR('Price Data'!B348/'Price Data'!B347-1,0)</f>
        <v>-1.059255978193685E-2</v>
      </c>
      <c r="C348" s="27">
        <f>IFERROR('Price Data'!C348/'Price Data'!C347-1,0)</f>
        <v>-1.4504945080545228E-2</v>
      </c>
      <c r="D348" s="27">
        <f>IFERROR('Price Data'!D348/'Price Data'!D347-1,0)</f>
        <v>-9.4403588130425042E-3</v>
      </c>
      <c r="E348" s="27">
        <f>IFERROR('Price Data'!E348/'Price Data'!E347-1,0)</f>
        <v>-2.2139271987836717E-2</v>
      </c>
      <c r="F348" s="27">
        <f>IFERROR('Price Data'!F348/'Price Data'!F347-1,0)</f>
        <v>-1.0974544420291332E-2</v>
      </c>
      <c r="G348" s="27">
        <f>B348*Portfolio!$D$5+C348*Portfolio!$D$6+D348*Portfolio!$D$7+E348*Portfolio!$D$8+F348*Portfolio!$D$9</f>
        <v>-1.3129520439448226E-2</v>
      </c>
      <c r="H348" s="27">
        <f>IFERROR('Price Data'!G348/'Price Data'!G347-1,0)</f>
        <v>-8.0151156272610935E-3</v>
      </c>
    </row>
    <row r="349" spans="1:8" ht="15">
      <c r="A349" s="25">
        <f>'Price Data'!A349</f>
        <v>45442</v>
      </c>
      <c r="B349" s="27">
        <f>IFERROR('Price Data'!B349/'Price Data'!B348-1,0)</f>
        <v>-1.1053153643843294E-2</v>
      </c>
      <c r="C349" s="27">
        <f>IFERROR('Price Data'!C349/'Price Data'!C348-1,0)</f>
        <v>4.3425870962625623E-3</v>
      </c>
      <c r="D349" s="27">
        <f>IFERROR('Price Data'!D349/'Price Data'!D348-1,0)</f>
        <v>-1.7759157244084833E-2</v>
      </c>
      <c r="E349" s="27">
        <f>IFERROR('Price Data'!E349/'Price Data'!E348-1,0)</f>
        <v>1.0616981744083098E-2</v>
      </c>
      <c r="F349" s="27">
        <f>IFERROR('Price Data'!F349/'Price Data'!F348-1,0)</f>
        <v>-1.6196274659633358E-2</v>
      </c>
      <c r="G349" s="27">
        <f>B349*Portfolio!$D$5+C349*Portfolio!$D$6+D349*Portfolio!$D$7+E349*Portfolio!$D$8+F349*Portfolio!$D$9</f>
        <v>-6.0663670230446881E-3</v>
      </c>
      <c r="H349" s="27">
        <f>IFERROR('Price Data'!G349/'Price Data'!G348-1,0)</f>
        <v>-9.5155996581792746E-3</v>
      </c>
    </row>
    <row r="350" spans="1:8" ht="15">
      <c r="A350" s="25">
        <f>'Price Data'!A350</f>
        <v>45443</v>
      </c>
      <c r="B350" s="27">
        <f>IFERROR('Price Data'!B350/'Price Data'!B349-1,0)</f>
        <v>3.8952465246684387E-3</v>
      </c>
      <c r="C350" s="27">
        <f>IFERROR('Price Data'!C350/'Price Data'!C349-1,0)</f>
        <v>1.1024139532223032E-2</v>
      </c>
      <c r="D350" s="27">
        <f>IFERROR('Price Data'!D350/'Price Data'!D349-1,0)</f>
        <v>-1.7438134999917643E-2</v>
      </c>
      <c r="E350" s="27">
        <f>IFERROR('Price Data'!E350/'Price Data'!E349-1,0)</f>
        <v>6.5997147821645896E-3</v>
      </c>
      <c r="F350" s="27">
        <f>IFERROR('Price Data'!F350/'Price Data'!F349-1,0)</f>
        <v>5.32366538105844E-3</v>
      </c>
      <c r="G350" s="27">
        <f>B350*Portfolio!$D$5+C350*Portfolio!$D$6+D350*Portfolio!$D$7+E350*Portfolio!$D$8+F350*Portfolio!$D$9</f>
        <v>2.030726538722793E-3</v>
      </c>
      <c r="H350" s="27">
        <f>IFERROR('Price Data'!G350/'Price Data'!G349-1,0)</f>
        <v>1.8697799732139142E-3</v>
      </c>
    </row>
    <row r="351" spans="1:8" ht="15">
      <c r="A351" s="25">
        <f>'Price Data'!A351</f>
        <v>45446</v>
      </c>
      <c r="B351" s="27">
        <f>IFERROR('Price Data'!B351/'Price Data'!B350-1,0)</f>
        <v>5.5875893801573762E-2</v>
      </c>
      <c r="C351" s="27">
        <f>IFERROR('Price Data'!C351/'Price Data'!C350-1,0)</f>
        <v>2.654175873373954E-2</v>
      </c>
      <c r="D351" s="27">
        <f>IFERROR('Price Data'!D351/'Price Data'!D350-1,0)</f>
        <v>8.6898460116984211E-3</v>
      </c>
      <c r="E351" s="27">
        <f>IFERROR('Price Data'!E351/'Price Data'!E350-1,0)</f>
        <v>3.474414030465045E-2</v>
      </c>
      <c r="F351" s="27">
        <f>IFERROR('Price Data'!F351/'Price Data'!F350-1,0)</f>
        <v>-7.1075232579853598E-4</v>
      </c>
      <c r="G351" s="27">
        <f>B351*Portfolio!$D$5+C351*Portfolio!$D$6+D351*Portfolio!$D$7+E351*Portfolio!$D$8+F351*Portfolio!$D$9</f>
        <v>2.7447390532995799E-2</v>
      </c>
      <c r="H351" s="27">
        <f>IFERROR('Price Data'!G351/'Price Data'!G350-1,0)</f>
        <v>3.2542317695352763E-2</v>
      </c>
    </row>
    <row r="352" spans="1:8" ht="15">
      <c r="A352" s="25">
        <f>'Price Data'!A352</f>
        <v>45447</v>
      </c>
      <c r="B352" s="27">
        <f>IFERROR('Price Data'!B352/'Price Data'!B351-1,0)</f>
        <v>-7.485139657931561E-2</v>
      </c>
      <c r="C352" s="27">
        <f>IFERROR('Price Data'!C352/'Price Data'!C351-1,0)</f>
        <v>-5.6640327834704185E-2</v>
      </c>
      <c r="D352" s="27">
        <f>IFERROR('Price Data'!D352/'Price Data'!D351-1,0)</f>
        <v>3.2813424873896491E-3</v>
      </c>
      <c r="E352" s="27">
        <f>IFERROR('Price Data'!E352/'Price Data'!E351-1,0)</f>
        <v>-7.6336305694333473E-2</v>
      </c>
      <c r="F352" s="27">
        <f>IFERROR('Price Data'!F352/'Price Data'!F351-1,0)</f>
        <v>-8.7132781957623973E-3</v>
      </c>
      <c r="G352" s="27">
        <f>B352*Portfolio!$D$5+C352*Portfolio!$D$6+D352*Portfolio!$D$7+E352*Portfolio!$D$8+F352*Portfolio!$D$9</f>
        <v>-4.4974100189541399E-2</v>
      </c>
      <c r="H352" s="27">
        <f>IFERROR('Price Data'!G352/'Price Data'!G351-1,0)</f>
        <v>-5.9293599416410769E-2</v>
      </c>
    </row>
    <row r="353" spans="1:8" ht="15">
      <c r="A353" s="25">
        <f>'Price Data'!A353</f>
        <v>45448</v>
      </c>
      <c r="B353" s="27">
        <f>IFERROR('Price Data'!B353/'Price Data'!B352-1,0)</f>
        <v>1.6800579588873044E-2</v>
      </c>
      <c r="C353" s="27">
        <f>IFERROR('Price Data'!C353/'Price Data'!C352-1,0)</f>
        <v>4.6286584690063304E-2</v>
      </c>
      <c r="D353" s="27">
        <f>IFERROR('Price Data'!D353/'Price Data'!D352-1,0)</f>
        <v>8.4656653238146529E-3</v>
      </c>
      <c r="E353" s="27">
        <f>IFERROR('Price Data'!E353/'Price Data'!E352-1,0)</f>
        <v>3.4719444690835655E-2</v>
      </c>
      <c r="F353" s="27">
        <f>IFERROR('Price Data'!F353/'Price Data'!F352-1,0)</f>
        <v>2.6154160969297902E-2</v>
      </c>
      <c r="G353" s="27">
        <f>B353*Portfolio!$D$5+C353*Portfolio!$D$6+D353*Portfolio!$D$7+E353*Portfolio!$D$8+F353*Portfolio!$D$9</f>
        <v>2.6595964983517052E-2</v>
      </c>
      <c r="H353" s="27">
        <f>IFERROR('Price Data'!G353/'Price Data'!G352-1,0)</f>
        <v>3.3624236760035675E-2</v>
      </c>
    </row>
    <row r="354" spans="1:8" ht="15">
      <c r="A354" s="25">
        <f>'Price Data'!A354</f>
        <v>45449</v>
      </c>
      <c r="B354" s="27">
        <f>IFERROR('Price Data'!B354/'Price Data'!B353-1,0)</f>
        <v>7.6368018301053997E-3</v>
      </c>
      <c r="C354" s="27">
        <f>IFERROR('Price Data'!C354/'Price Data'!C353-1,0)</f>
        <v>5.0907998708780156E-3</v>
      </c>
      <c r="D354" s="27">
        <f>IFERROR('Price Data'!D354/'Price Data'!D353-1,0)</f>
        <v>2.240785679355084E-2</v>
      </c>
      <c r="E354" s="27">
        <f>IFERROR('Price Data'!E354/'Price Data'!E353-1,0)</f>
        <v>1.5785182743845994E-3</v>
      </c>
      <c r="F354" s="27">
        <f>IFERROR('Price Data'!F354/'Price Data'!F353-1,0)</f>
        <v>2.9473484815119688E-2</v>
      </c>
      <c r="G354" s="27">
        <f>B354*Portfolio!$D$5+C354*Portfolio!$D$6+D354*Portfolio!$D$7+E354*Portfolio!$D$8+F354*Portfolio!$D$9</f>
        <v>1.2321272247381665E-2</v>
      </c>
      <c r="H354" s="27">
        <f>IFERROR('Price Data'!G354/'Price Data'!G353-1,0)</f>
        <v>8.8880492442378056E-3</v>
      </c>
    </row>
    <row r="355" spans="1:8" ht="15">
      <c r="A355" s="25">
        <f>'Price Data'!A355</f>
        <v>45450</v>
      </c>
      <c r="B355" s="27">
        <f>IFERROR('Price Data'!B355/'Price Data'!B354-1,0)</f>
        <v>2.6788141380951203E-2</v>
      </c>
      <c r="C355" s="27">
        <f>IFERROR('Price Data'!C355/'Price Data'!C354-1,0)</f>
        <v>8.7516529193181203E-3</v>
      </c>
      <c r="D355" s="27">
        <f>IFERROR('Price Data'!D355/'Price Data'!D354-1,0)</f>
        <v>1.6591043521440918E-2</v>
      </c>
      <c r="E355" s="27">
        <f>IFERROR('Price Data'!E355/'Price Data'!E354-1,0)</f>
        <v>1.017643049487682E-2</v>
      </c>
      <c r="F355" s="27">
        <f>IFERROR('Price Data'!F355/'Price Data'!F354-1,0)</f>
        <v>4.1670996222392898E-2</v>
      </c>
      <c r="G355" s="27">
        <f>B355*Portfolio!$D$5+C355*Portfolio!$D$6+D355*Portfolio!$D$7+E355*Portfolio!$D$8+F355*Portfolio!$D$9</f>
        <v>1.9980271286945971E-2</v>
      </c>
      <c r="H355" s="27">
        <f>IFERROR('Price Data'!G355/'Price Data'!G354-1,0)</f>
        <v>2.0539931466807104E-2</v>
      </c>
    </row>
    <row r="356" spans="1:8" ht="15">
      <c r="A356" s="25">
        <f>'Price Data'!A356</f>
        <v>45453</v>
      </c>
      <c r="B356" s="27">
        <f>IFERROR('Price Data'!B356/'Price Data'!B355-1,0)</f>
        <v>9.8643971073286707E-4</v>
      </c>
      <c r="C356" s="27">
        <f>IFERROR('Price Data'!C356/'Price Data'!C355-1,0)</f>
        <v>-7.6586259221266273E-3</v>
      </c>
      <c r="D356" s="27">
        <f>IFERROR('Price Data'!D356/'Price Data'!D355-1,0)</f>
        <v>-9.0525416743861831E-3</v>
      </c>
      <c r="E356" s="27">
        <f>IFERROR('Price Data'!E356/'Price Data'!E355-1,0)</f>
        <v>1.8721844231071039E-3</v>
      </c>
      <c r="F356" s="27">
        <f>IFERROR('Price Data'!F356/'Price Data'!F355-1,0)</f>
        <v>-2.2072326187110414E-2</v>
      </c>
      <c r="G356" s="27">
        <f>B356*Portfolio!$D$5+C356*Portfolio!$D$6+D356*Portfolio!$D$7+E356*Portfolio!$D$8+F356*Portfolio!$D$9</f>
        <v>-6.5085761523261728E-3</v>
      </c>
      <c r="H356" s="27">
        <f>IFERROR('Price Data'!G356/'Price Data'!G355-1,0)</f>
        <v>-1.3289382574128705E-3</v>
      </c>
    </row>
    <row r="357" spans="1:8" ht="15">
      <c r="A357" s="25">
        <f>'Price Data'!A357</f>
        <v>45454</v>
      </c>
      <c r="B357" s="27">
        <f>IFERROR('Price Data'!B357/'Price Data'!B356-1,0)</f>
        <v>-1.0007403811325588E-2</v>
      </c>
      <c r="C357" s="27">
        <f>IFERROR('Price Data'!C357/'Price Data'!C356-1,0)</f>
        <v>2.2416949788497398E-3</v>
      </c>
      <c r="D357" s="27">
        <f>IFERROR('Price Data'!D357/'Price Data'!D356-1,0)</f>
        <v>-1.7102818058072344E-3</v>
      </c>
      <c r="E357" s="27">
        <f>IFERROR('Price Data'!E357/'Price Data'!E356-1,0)</f>
        <v>-4.9830519926576944E-3</v>
      </c>
      <c r="F357" s="27">
        <f>IFERROR('Price Data'!F357/'Price Data'!F356-1,0)</f>
        <v>-2.667084611811088E-3</v>
      </c>
      <c r="G357" s="27">
        <f>B357*Portfolio!$D$5+C357*Portfolio!$D$6+D357*Portfolio!$D$7+E357*Portfolio!$D$8+F357*Portfolio!$D$9</f>
        <v>-3.4310040599507263E-3</v>
      </c>
      <c r="H357" s="27">
        <f>IFERROR('Price Data'!G357/'Price Data'!G356-1,0)</f>
        <v>2.4293143421916241E-4</v>
      </c>
    </row>
    <row r="358" spans="1:8" ht="15">
      <c r="A358" s="25">
        <f>'Price Data'!A358</f>
        <v>45455</v>
      </c>
      <c r="B358" s="27">
        <f>IFERROR('Price Data'!B358/'Price Data'!B357-1,0)</f>
        <v>4.5651334466354498E-3</v>
      </c>
      <c r="C358" s="27">
        <f>IFERROR('Price Data'!C358/'Price Data'!C357-1,0)</f>
        <v>5.9751186616787688E-3</v>
      </c>
      <c r="D358" s="27">
        <f>IFERROR('Price Data'!D358/'Price Data'!D357-1,0)</f>
        <v>-5.309032332122543E-3</v>
      </c>
      <c r="E358" s="27">
        <f>IFERROR('Price Data'!E358/'Price Data'!E357-1,0)</f>
        <v>1.2073141869568538E-3</v>
      </c>
      <c r="F358" s="27">
        <f>IFERROR('Price Data'!F358/'Price Data'!F357-1,0)</f>
        <v>-7.0532787440340527E-3</v>
      </c>
      <c r="G358" s="27">
        <f>B358*Portfolio!$D$5+C358*Portfolio!$D$6+D358*Portfolio!$D$7+E358*Portfolio!$D$8+F358*Portfolio!$D$9</f>
        <v>6.9636187709246631E-4</v>
      </c>
      <c r="H358" s="27">
        <f>IFERROR('Price Data'!G358/'Price Data'!G357-1,0)</f>
        <v>2.4973129141392381E-3</v>
      </c>
    </row>
    <row r="359" spans="1:8" ht="15">
      <c r="A359" s="25">
        <f>'Price Data'!A359</f>
        <v>45456</v>
      </c>
      <c r="B359" s="27">
        <f>IFERROR('Price Data'!B359/'Price Data'!B358-1,0)</f>
        <v>1.3154384400813068E-3</v>
      </c>
      <c r="C359" s="27">
        <f>IFERROR('Price Data'!C359/'Price Data'!C358-1,0)</f>
        <v>4.1928059570297549E-3</v>
      </c>
      <c r="D359" s="27">
        <f>IFERROR('Price Data'!D359/'Price Data'!D358-1,0)</f>
        <v>1.213586491555585E-2</v>
      </c>
      <c r="E359" s="27">
        <f>IFERROR('Price Data'!E359/'Price Data'!E358-1,0)</f>
        <v>-1.0897386453603941E-2</v>
      </c>
      <c r="F359" s="27">
        <f>IFERROR('Price Data'!F359/'Price Data'!F358-1,0)</f>
        <v>5.8914743865401409E-3</v>
      </c>
      <c r="G359" s="27">
        <f>B359*Portfolio!$D$5+C359*Portfolio!$D$6+D359*Portfolio!$D$7+E359*Portfolio!$D$8+F359*Portfolio!$D$9</f>
        <v>3.0533472723293653E-3</v>
      </c>
      <c r="H359" s="27">
        <f>IFERROR('Price Data'!G359/'Price Data'!G358-1,0)</f>
        <v>3.2564994745150067E-3</v>
      </c>
    </row>
    <row r="360" spans="1:8" ht="15">
      <c r="A360" s="25">
        <f>'Price Data'!A360</f>
        <v>45457</v>
      </c>
      <c r="B360" s="27">
        <f>IFERROR('Price Data'!B360/'Price Data'!B359-1,0)</f>
        <v>8.3944749800195506E-3</v>
      </c>
      <c r="C360" s="27">
        <f>IFERROR('Price Data'!C360/'Price Data'!C359-1,0)</f>
        <v>1.0216631216784178E-2</v>
      </c>
      <c r="D360" s="27">
        <f>IFERROR('Price Data'!D360/'Price Data'!D359-1,0)</f>
        <v>-1.1887140254664641E-2</v>
      </c>
      <c r="E360" s="27">
        <f>IFERROR('Price Data'!E360/'Price Data'!E359-1,0)</f>
        <v>-1.5351060983409548E-3</v>
      </c>
      <c r="F360" s="27">
        <f>IFERROR('Price Data'!F360/'Price Data'!F359-1,0)</f>
        <v>-3.3803307120782167E-3</v>
      </c>
      <c r="G360" s="27">
        <f>B360*Portfolio!$D$5+C360*Portfolio!$D$6+D360*Portfolio!$D$7+E360*Portfolio!$D$8+F360*Portfolio!$D$9</f>
        <v>1.538032976705128E-3</v>
      </c>
      <c r="H360" s="27">
        <f>IFERROR('Price Data'!G360/'Price Data'!G359-1,0)</f>
        <v>2.8505279152657437E-3</v>
      </c>
    </row>
    <row r="361" spans="1:8" ht="15">
      <c r="A361" s="25">
        <f>'Price Data'!A361</f>
        <v>45461</v>
      </c>
      <c r="B361" s="27">
        <f>IFERROR('Price Data'!B361/'Price Data'!B360-1,0)</f>
        <v>2.3519502148101612E-3</v>
      </c>
      <c r="C361" s="27">
        <f>IFERROR('Price Data'!C361/'Price Data'!C360-1,0)</f>
        <v>6.8256869751357474E-3</v>
      </c>
      <c r="D361" s="27">
        <f>IFERROR('Price Data'!D361/'Price Data'!D360-1,0)</f>
        <v>-4.4231889534641633E-3</v>
      </c>
      <c r="E361" s="27">
        <f>IFERROR('Price Data'!E361/'Price Data'!E360-1,0)</f>
        <v>1.5556452033711921E-2</v>
      </c>
      <c r="F361" s="27">
        <f>IFERROR('Price Data'!F361/'Price Data'!F360-1,0)</f>
        <v>6.2462183876395017E-3</v>
      </c>
      <c r="G361" s="27">
        <f>B361*Portfolio!$D$5+C361*Portfolio!$D$6+D361*Portfolio!$D$7+E361*Portfolio!$D$8+F361*Portfolio!$D$9</f>
        <v>4.6801720699963575E-3</v>
      </c>
      <c r="H361" s="27">
        <f>IFERROR('Price Data'!G361/'Price Data'!G360-1,0)</f>
        <v>3.9334507869606128E-3</v>
      </c>
    </row>
    <row r="362" spans="1:8" ht="15">
      <c r="A362" s="25">
        <f>'Price Data'!A362</f>
        <v>45462</v>
      </c>
      <c r="B362" s="27">
        <f>IFERROR('Price Data'!B362/'Price Data'!B361-1,0)</f>
        <v>-1.5107785783289307E-2</v>
      </c>
      <c r="C362" s="27">
        <f>IFERROR('Price Data'!C362/'Price Data'!C361-1,0)</f>
        <v>3.1129541791229842E-2</v>
      </c>
      <c r="D362" s="27">
        <f>IFERROR('Price Data'!D362/'Price Data'!D361-1,0)</f>
        <v>-3.5123192780824875E-3</v>
      </c>
      <c r="E362" s="27">
        <f>IFERROR('Price Data'!E362/'Price Data'!E361-1,0)</f>
        <v>1.9236699928011358E-2</v>
      </c>
      <c r="F362" s="27">
        <f>IFERROR('Price Data'!F362/'Price Data'!F361-1,0)</f>
        <v>8.7770865495382377E-3</v>
      </c>
      <c r="G362" s="27">
        <f>B362*Portfolio!$D$5+C362*Portfolio!$D$6+D362*Portfolio!$D$7+E362*Portfolio!$D$8+F362*Portfolio!$D$9</f>
        <v>7.5050431180010754E-3</v>
      </c>
      <c r="H362" s="27">
        <f>IFERROR('Price Data'!G362/'Price Data'!G361-1,0)</f>
        <v>-1.7786131162043084E-3</v>
      </c>
    </row>
    <row r="363" spans="1:8" ht="15">
      <c r="A363" s="25">
        <f>'Price Data'!A363</f>
        <v>45463</v>
      </c>
      <c r="B363" s="27">
        <f>IFERROR('Price Data'!B363/'Price Data'!B362-1,0)</f>
        <v>1.0317629239700032E-2</v>
      </c>
      <c r="C363" s="27">
        <f>IFERROR('Price Data'!C363/'Price Data'!C362-1,0)</f>
        <v>6.9366022862460408E-3</v>
      </c>
      <c r="D363" s="27">
        <f>IFERROR('Price Data'!D363/'Price Data'!D362-1,0)</f>
        <v>-3.8009394236562244E-3</v>
      </c>
      <c r="E363" s="27">
        <f>IFERROR('Price Data'!E363/'Price Data'!E362-1,0)</f>
        <v>1.079125225576627E-2</v>
      </c>
      <c r="F363" s="27">
        <f>IFERROR('Price Data'!F363/'Price Data'!F362-1,0)</f>
        <v>2.6797817610892949E-3</v>
      </c>
      <c r="G363" s="27">
        <f>B363*Portfolio!$D$5+C363*Portfolio!$D$6+D363*Portfolio!$D$7+E363*Portfolio!$D$8+F363*Portfolio!$D$9</f>
        <v>5.5740250992836081E-3</v>
      </c>
      <c r="H363" s="27">
        <f>IFERROR('Price Data'!G363/'Price Data'!G362-1,0)</f>
        <v>2.1687361796223215E-3</v>
      </c>
    </row>
    <row r="364" spans="1:8" ht="15">
      <c r="A364" s="25">
        <f>'Price Data'!A364</f>
        <v>45464</v>
      </c>
      <c r="B364" s="27">
        <f>IFERROR('Price Data'!B364/'Price Data'!B363-1,0)</f>
        <v>-1.3231871575590248E-2</v>
      </c>
      <c r="C364" s="27">
        <f>IFERROR('Price Data'!C364/'Price Data'!C363-1,0)</f>
        <v>-2.1564187492032483E-3</v>
      </c>
      <c r="D364" s="27">
        <f>IFERROR('Price Data'!D364/'Price Data'!D363-1,0)</f>
        <v>6.2050555397776819E-3</v>
      </c>
      <c r="E364" s="27">
        <f>IFERROR('Price Data'!E364/'Price Data'!E363-1,0)</f>
        <v>1.5992615789606202E-3</v>
      </c>
      <c r="F364" s="27">
        <f>IFERROR('Price Data'!F364/'Price Data'!F363-1,0)</f>
        <v>1.141615766459636E-2</v>
      </c>
      <c r="G364" s="27">
        <f>B364*Portfolio!$D$5+C364*Portfolio!$D$6+D364*Portfolio!$D$7+E364*Portfolio!$D$8+F364*Portfolio!$D$9</f>
        <v>-6.5374858670929096E-4</v>
      </c>
      <c r="H364" s="27">
        <f>IFERROR('Price Data'!G364/'Price Data'!G363-1,0)</f>
        <v>-2.7962995130903501E-3</v>
      </c>
    </row>
    <row r="365" spans="1:8" ht="15">
      <c r="A365" s="25">
        <f>'Price Data'!A365</f>
        <v>45467</v>
      </c>
      <c r="B365" s="27">
        <f>IFERROR('Price Data'!B365/'Price Data'!B364-1,0)</f>
        <v>-8.7505933084407461E-3</v>
      </c>
      <c r="C365" s="27">
        <f>IFERROR('Price Data'!C365/'Price Data'!C364-1,0)</f>
        <v>3.9921408996590468E-3</v>
      </c>
      <c r="D365" s="27">
        <f>IFERROR('Price Data'!D365/'Price Data'!D364-1,0)</f>
        <v>1.5874449622046427E-3</v>
      </c>
      <c r="E365" s="27">
        <f>IFERROR('Price Data'!E365/'Price Data'!E364-1,0)</f>
        <v>9.8821138825146981E-3</v>
      </c>
      <c r="F365" s="27">
        <f>IFERROR('Price Data'!F365/'Price Data'!F364-1,0)</f>
        <v>-3.6209918904728244E-3</v>
      </c>
      <c r="G365" s="27">
        <f>B365*Portfolio!$D$5+C365*Portfolio!$D$6+D365*Portfolio!$D$7+E365*Portfolio!$D$8+F365*Portfolio!$D$9</f>
        <v>6.7044189051784688E-5</v>
      </c>
      <c r="H365" s="27">
        <f>IFERROR('Price Data'!G365/'Price Data'!G364-1,0)</f>
        <v>1.5637566161090799E-3</v>
      </c>
    </row>
    <row r="366" spans="1:8" ht="15">
      <c r="A366" s="25">
        <f>'Price Data'!A366</f>
        <v>45468</v>
      </c>
      <c r="B366" s="27">
        <f>IFERROR('Price Data'!B366/'Price Data'!B365-1,0)</f>
        <v>8.7930457152500807E-3</v>
      </c>
      <c r="C366" s="27">
        <f>IFERROR('Price Data'!C366/'Price Data'!C365-1,0)</f>
        <v>2.3289908110065705E-2</v>
      </c>
      <c r="D366" s="27">
        <f>IFERROR('Price Data'!D366/'Price Data'!D365-1,0)</f>
        <v>5.6723340362896391E-3</v>
      </c>
      <c r="E366" s="27">
        <f>IFERROR('Price Data'!E366/'Price Data'!E365-1,0)</f>
        <v>2.3801399530944956E-2</v>
      </c>
      <c r="F366" s="27">
        <f>IFERROR('Price Data'!F366/'Price Data'!F365-1,0)</f>
        <v>9.691183042215501E-3</v>
      </c>
      <c r="G366" s="27">
        <f>B366*Portfolio!$D$5+C366*Portfolio!$D$6+D366*Portfolio!$D$7+E366*Portfolio!$D$8+F366*Portfolio!$D$9</f>
        <v>1.4179092649560942E-2</v>
      </c>
      <c r="H366" s="27">
        <f>IFERROR('Price Data'!G366/'Price Data'!G365-1,0)</f>
        <v>7.7938798539154419E-3</v>
      </c>
    </row>
    <row r="367" spans="1:8" ht="15">
      <c r="A367" s="25">
        <f>'Price Data'!A367</f>
        <v>45469</v>
      </c>
      <c r="B367" s="27">
        <f>IFERROR('Price Data'!B367/'Price Data'!B366-1,0)</f>
        <v>4.1175305657309869E-2</v>
      </c>
      <c r="C367" s="27">
        <f>IFERROR('Price Data'!C367/'Price Data'!C366-1,0)</f>
        <v>-5.755713328143508E-3</v>
      </c>
      <c r="D367" s="27">
        <f>IFERROR('Price Data'!D367/'Price Data'!D366-1,0)</f>
        <v>4.5330596422565872E-3</v>
      </c>
      <c r="E367" s="27">
        <f>IFERROR('Price Data'!E367/'Price Data'!E366-1,0)</f>
        <v>1.6737056025565966E-2</v>
      </c>
      <c r="F367" s="27">
        <f>IFERROR('Price Data'!F367/'Price Data'!F366-1,0)</f>
        <v>-8.1062741382731396E-4</v>
      </c>
      <c r="G367" s="27">
        <f>B367*Portfolio!$D$5+C367*Portfolio!$D$6+D367*Portfolio!$D$7+E367*Portfolio!$D$8+F367*Portfolio!$D$9</f>
        <v>1.2150474302503706E-2</v>
      </c>
      <c r="H367" s="27">
        <f>IFERROR('Price Data'!G367/'Price Data'!G366-1,0)</f>
        <v>6.2180401218379089E-3</v>
      </c>
    </row>
    <row r="368" spans="1:8" ht="15">
      <c r="A368" s="25">
        <f>'Price Data'!A368</f>
        <v>45470</v>
      </c>
      <c r="B368" s="27">
        <f>IFERROR('Price Data'!B368/'Price Data'!B367-1,0)</f>
        <v>1.0914635166324516E-2</v>
      </c>
      <c r="C368" s="27">
        <f>IFERROR('Price Data'!C368/'Price Data'!C367-1,0)</f>
        <v>-3.1442759121885766E-3</v>
      </c>
      <c r="D368" s="27">
        <f>IFERROR('Price Data'!D368/'Price Data'!D367-1,0)</f>
        <v>2.0306818737669374E-2</v>
      </c>
      <c r="E368" s="27">
        <f>IFERROR('Price Data'!E368/'Price Data'!E367-1,0)</f>
        <v>1.55985406456427E-3</v>
      </c>
      <c r="F368" s="27">
        <f>IFERROR('Price Data'!F368/'Price Data'!F367-1,0)</f>
        <v>2.1191608758473368E-2</v>
      </c>
      <c r="G368" s="27">
        <f>B368*Portfolio!$D$5+C368*Portfolio!$D$6+D368*Portfolio!$D$7+E368*Portfolio!$D$8+F368*Portfolio!$D$9</f>
        <v>9.4166729845235053E-3</v>
      </c>
      <c r="H368" s="27">
        <f>IFERROR('Price Data'!G368/'Price Data'!G367-1,0)</f>
        <v>7.361040898544724E-3</v>
      </c>
    </row>
    <row r="369" spans="1:8" ht="15">
      <c r="A369" s="25">
        <f>'Price Data'!A369</f>
        <v>45471</v>
      </c>
      <c r="B369" s="27">
        <f>IFERROR('Price Data'!B369/'Price Data'!B368-1,0)</f>
        <v>2.2769640318140549E-2</v>
      </c>
      <c r="C369" s="27">
        <f>IFERROR('Price Data'!C369/'Price Data'!C368-1,0)</f>
        <v>-7.2811383836713928E-3</v>
      </c>
      <c r="D369" s="27">
        <f>IFERROR('Price Data'!D369/'Price Data'!D368-1,0)</f>
        <v>-7.6254740452427194E-3</v>
      </c>
      <c r="E369" s="27">
        <f>IFERROR('Price Data'!E369/'Price Data'!E368-1,0)</f>
        <v>-1.6640635003743243E-2</v>
      </c>
      <c r="F369" s="27">
        <f>IFERROR('Price Data'!F369/'Price Data'!F368-1,0)</f>
        <v>-4.1947753870743565E-3</v>
      </c>
      <c r="G369" s="27">
        <f>B369*Portfolio!$D$5+C369*Portfolio!$D$6+D369*Portfolio!$D$7+E369*Portfolio!$D$8+F369*Portfolio!$D$9</f>
        <v>-7.7828088405389434E-4</v>
      </c>
      <c r="H369" s="27">
        <f>IFERROR('Price Data'!G369/'Price Data'!G368-1,0)</f>
        <v>-1.4099020825968367E-3</v>
      </c>
    </row>
    <row r="370" spans="1:8" ht="15">
      <c r="A370" s="25">
        <f>'Price Data'!A370</f>
        <v>45474</v>
      </c>
      <c r="B370" s="27">
        <f>IFERROR('Price Data'!B370/'Price Data'!B369-1,0)</f>
        <v>-3.3538119265674737E-3</v>
      </c>
      <c r="C370" s="27">
        <f>IFERROR('Price Data'!C370/'Price Data'!C369-1,0)</f>
        <v>1.2709237839357179E-2</v>
      </c>
      <c r="D370" s="27">
        <f>IFERROR('Price Data'!D370/'Price Data'!D369-1,0)</f>
        <v>1.8967012691978535E-2</v>
      </c>
      <c r="E370" s="27">
        <f>IFERROR('Price Data'!E370/'Price Data'!E369-1,0)</f>
        <v>1.0211671918352039E-2</v>
      </c>
      <c r="F370" s="27">
        <f>IFERROR('Price Data'!F370/'Price Data'!F369-1,0)</f>
        <v>1.5350174827145624E-2</v>
      </c>
      <c r="G370" s="27">
        <f>B370*Portfolio!$D$5+C370*Portfolio!$D$6+D370*Portfolio!$D$7+E370*Portfolio!$D$8+F370*Portfolio!$D$9</f>
        <v>9.9665360284177835E-3</v>
      </c>
      <c r="H370" s="27">
        <f>IFERROR('Price Data'!G370/'Price Data'!G369-1,0)</f>
        <v>5.4704843490753774E-3</v>
      </c>
    </row>
    <row r="371" spans="1:8" ht="15">
      <c r="A371" s="25">
        <f>'Price Data'!A371</f>
        <v>45475</v>
      </c>
      <c r="B371" s="27">
        <f>IFERROR('Price Data'!B371/'Price Data'!B370-1,0)</f>
        <v>3.2208997154759E-3</v>
      </c>
      <c r="C371" s="27">
        <f>IFERROR('Price Data'!C371/'Price Data'!C370-1,0)</f>
        <v>1.4895657674093732E-2</v>
      </c>
      <c r="D371" s="27">
        <f>IFERROR('Price Data'!D371/'Price Data'!D370-1,0)</f>
        <v>9.8536832440172528E-3</v>
      </c>
      <c r="E371" s="27">
        <f>IFERROR('Price Data'!E371/'Price Data'!E370-1,0)</f>
        <v>-1.753521288985016E-2</v>
      </c>
      <c r="F371" s="27">
        <f>IFERROR('Price Data'!F371/'Price Data'!F370-1,0)</f>
        <v>1.9015680409610658E-2</v>
      </c>
      <c r="G371" s="27">
        <f>B371*Portfolio!$D$5+C371*Portfolio!$D$6+D371*Portfolio!$D$7+E371*Portfolio!$D$8+F371*Portfolio!$D$9</f>
        <v>6.7219461241599335E-3</v>
      </c>
      <c r="H371" s="27">
        <f>IFERROR('Price Data'!G371/'Price Data'!G370-1,0)</f>
        <v>-7.4971615634678024E-4</v>
      </c>
    </row>
    <row r="372" spans="1:8" ht="15">
      <c r="A372" s="25">
        <f>'Price Data'!A372</f>
        <v>45476</v>
      </c>
      <c r="B372" s="27">
        <f>IFERROR('Price Data'!B372/'Price Data'!B371-1,0)</f>
        <v>-8.1460974364940819E-3</v>
      </c>
      <c r="C372" s="27">
        <f>IFERROR('Price Data'!C372/'Price Data'!C371-1,0)</f>
        <v>2.198662685196151E-2</v>
      </c>
      <c r="D372" s="27">
        <f>IFERROR('Price Data'!D372/'Price Data'!D371-1,0)</f>
        <v>-1.2981031024285272E-2</v>
      </c>
      <c r="E372" s="27">
        <f>IFERROR('Price Data'!E372/'Price Data'!E371-1,0)</f>
        <v>9.2390639449226875E-3</v>
      </c>
      <c r="F372" s="27">
        <f>IFERROR('Price Data'!F372/'Price Data'!F371-1,0)</f>
        <v>3.917207739146944E-3</v>
      </c>
      <c r="G372" s="27">
        <f>B372*Portfolio!$D$5+C372*Portfolio!$D$6+D372*Portfolio!$D$7+E372*Portfolio!$D$8+F372*Portfolio!$D$9</f>
        <v>2.8373669016202472E-3</v>
      </c>
      <c r="H372" s="27">
        <f>IFERROR('Price Data'!G372/'Price Data'!G371-1,0)</f>
        <v>6.7423066077227922E-3</v>
      </c>
    </row>
    <row r="373" spans="1:8" ht="15">
      <c r="A373" s="25">
        <f>'Price Data'!A373</f>
        <v>45477</v>
      </c>
      <c r="B373" s="27">
        <f>IFERROR('Price Data'!B373/'Price Data'!B372-1,0)</f>
        <v>1.0306439714371507E-3</v>
      </c>
      <c r="C373" s="27">
        <f>IFERROR('Price Data'!C373/'Price Data'!C372-1,0)</f>
        <v>-2.3464200802747359E-2</v>
      </c>
      <c r="D373" s="27">
        <f>IFERROR('Price Data'!D373/'Price Data'!D372-1,0)</f>
        <v>1.4047040021224699E-2</v>
      </c>
      <c r="E373" s="27">
        <f>IFERROR('Price Data'!E373/'Price Data'!E372-1,0)</f>
        <v>2.6131878731958436E-2</v>
      </c>
      <c r="F373" s="27">
        <f>IFERROR('Price Data'!F373/'Price Data'!F372-1,0)</f>
        <v>1.4286543053500411E-2</v>
      </c>
      <c r="G373" s="27">
        <f>B373*Portfolio!$D$5+C373*Portfolio!$D$6+D373*Portfolio!$D$7+E373*Portfolio!$D$8+F373*Portfolio!$D$9</f>
        <v>3.2637820642362142E-3</v>
      </c>
      <c r="H373" s="27">
        <f>IFERROR('Price Data'!G373/'Price Data'!G372-1,0)</f>
        <v>6.4440700080292679E-4</v>
      </c>
    </row>
    <row r="374" spans="1:8" ht="15">
      <c r="A374" s="25">
        <f>'Price Data'!A374</f>
        <v>45478</v>
      </c>
      <c r="B374" s="27">
        <f>IFERROR('Price Data'!B374/'Price Data'!B373-1,0)</f>
        <v>2.2264699061864013E-2</v>
      </c>
      <c r="C374" s="27">
        <f>IFERROR('Price Data'!C374/'Price Data'!C373-1,0)</f>
        <v>-4.5769093508407743E-2</v>
      </c>
      <c r="D374" s="27">
        <f>IFERROR('Price Data'!D374/'Price Data'!D373-1,0)</f>
        <v>-2.275614655375291E-3</v>
      </c>
      <c r="E374" s="27">
        <f>IFERROR('Price Data'!E374/'Price Data'!E373-1,0)</f>
        <v>3.2441650813130885E-4</v>
      </c>
      <c r="F374" s="27">
        <f>IFERROR('Price Data'!F374/'Price Data'!F373-1,0)</f>
        <v>-1.9386265498450017E-3</v>
      </c>
      <c r="G374" s="27">
        <f>B374*Portfolio!$D$5+C374*Portfolio!$D$6+D374*Portfolio!$D$7+E374*Portfolio!$D$8+F374*Portfolio!$D$9</f>
        <v>-6.5733530489680446E-3</v>
      </c>
      <c r="H374" s="27">
        <f>IFERROR('Price Data'!G374/'Price Data'!G373-1,0)</f>
        <v>8.9289294985062106E-4</v>
      </c>
    </row>
    <row r="375" spans="1:8" ht="15">
      <c r="A375" s="25">
        <f>'Price Data'!A375</f>
        <v>45481</v>
      </c>
      <c r="B375" s="27">
        <f>IFERROR('Price Data'!B375/'Price Data'!B374-1,0)</f>
        <v>7.7269163429101173E-3</v>
      </c>
      <c r="C375" s="27">
        <f>IFERROR('Price Data'!C375/'Price Data'!C374-1,0)</f>
        <v>-7.7361607327840476E-3</v>
      </c>
      <c r="D375" s="27">
        <f>IFERROR('Price Data'!D375/'Price Data'!D374-1,0)</f>
        <v>-4.6363089120051715E-3</v>
      </c>
      <c r="E375" s="27">
        <f>IFERROR('Price Data'!E375/'Price Data'!E374-1,0)</f>
        <v>1.3377840967960797E-3</v>
      </c>
      <c r="F375" s="27">
        <f>IFERROR('Price Data'!F375/'Price Data'!F374-1,0)</f>
        <v>8.6194093854092824E-3</v>
      </c>
      <c r="G375" s="27">
        <f>B375*Portfolio!$D$5+C375*Portfolio!$D$6+D375*Portfolio!$D$7+E375*Portfolio!$D$8+F375*Portfolio!$D$9</f>
        <v>5.6400614246128748E-4</v>
      </c>
      <c r="H375" s="27">
        <f>IFERROR('Price Data'!G375/'Price Data'!G374-1,0)</f>
        <v>-1.3562113637344275E-4</v>
      </c>
    </row>
    <row r="376" spans="1:8" ht="15">
      <c r="A376" s="25">
        <f>'Price Data'!A376</f>
        <v>45482</v>
      </c>
      <c r="B376" s="27">
        <f>IFERROR('Price Data'!B376/'Price Data'!B375-1,0)</f>
        <v>-6.6369014591876052E-3</v>
      </c>
      <c r="C376" s="27">
        <f>IFERROR('Price Data'!C376/'Price Data'!C375-1,0)</f>
        <v>7.0314245383107377E-4</v>
      </c>
      <c r="D376" s="27">
        <f>IFERROR('Price Data'!D376/'Price Data'!D375-1,0)</f>
        <v>-1.9282637852262585E-3</v>
      </c>
      <c r="E376" s="27">
        <f>IFERROR('Price Data'!E376/'Price Data'!E375-1,0)</f>
        <v>1.0687773655075006E-2</v>
      </c>
      <c r="F376" s="27">
        <f>IFERROR('Price Data'!F376/'Price Data'!F375-1,0)</f>
        <v>-2.7082708589727389E-3</v>
      </c>
      <c r="G376" s="27">
        <f>B376*Portfolio!$D$5+C376*Portfolio!$D$6+D376*Portfolio!$D$7+E376*Portfolio!$D$8+F376*Portfolio!$D$9</f>
        <v>-6.721670889690448E-4</v>
      </c>
      <c r="H376" s="27">
        <f>IFERROR('Price Data'!G376/'Price Data'!G375-1,0)</f>
        <v>4.6318209860134463E-3</v>
      </c>
    </row>
    <row r="377" spans="1:8" ht="15">
      <c r="A377" s="25">
        <f>'Price Data'!A377</f>
        <v>45483</v>
      </c>
      <c r="B377" s="27">
        <f>IFERROR('Price Data'!B377/'Price Data'!B376-1,0)</f>
        <v>-3.8044474248314364E-3</v>
      </c>
      <c r="C377" s="27">
        <f>IFERROR('Price Data'!C377/'Price Data'!C376-1,0)</f>
        <v>-6.3550370198793837E-3</v>
      </c>
      <c r="D377" s="27">
        <f>IFERROR('Price Data'!D377/'Price Data'!D376-1,0)</f>
        <v>-1.9156953645996899E-2</v>
      </c>
      <c r="E377" s="27">
        <f>IFERROR('Price Data'!E377/'Price Data'!E376-1,0)</f>
        <v>-4.045720226762306E-3</v>
      </c>
      <c r="F377" s="27">
        <f>IFERROR('Price Data'!F377/'Price Data'!F376-1,0)</f>
        <v>-5.3705955427160168E-3</v>
      </c>
      <c r="G377" s="27">
        <f>B377*Portfolio!$D$5+C377*Portfolio!$D$6+D377*Portfolio!$D$7+E377*Portfolio!$D$8+F377*Portfolio!$D$9</f>
        <v>-7.7837092057988335E-3</v>
      </c>
      <c r="H377" s="27">
        <f>IFERROR('Price Data'!G377/'Price Data'!G376-1,0)</f>
        <v>-4.4509111977667493E-3</v>
      </c>
    </row>
    <row r="378" spans="1:8" ht="15">
      <c r="A378" s="25">
        <f>'Price Data'!A378</f>
        <v>45484</v>
      </c>
      <c r="B378" s="27">
        <f>IFERROR('Price Data'!B378/'Price Data'!B377-1,0)</f>
        <v>-2.2565899609079398E-3</v>
      </c>
      <c r="C378" s="27">
        <f>IFERROR('Price Data'!C378/'Price Data'!C377-1,0)</f>
        <v>-2.5826974814581183E-3</v>
      </c>
      <c r="D378" s="27">
        <f>IFERROR('Price Data'!D378/'Price Data'!D377-1,0)</f>
        <v>3.721995240874687E-3</v>
      </c>
      <c r="E378" s="27">
        <f>IFERROR('Price Data'!E378/'Price Data'!E377-1,0)</f>
        <v>-3.8207386548493316E-3</v>
      </c>
      <c r="F378" s="27">
        <f>IFERROR('Price Data'!F378/'Price Data'!F377-1,0)</f>
        <v>2.699797290653505E-3</v>
      </c>
      <c r="G378" s="27">
        <f>B378*Portfolio!$D$5+C378*Portfolio!$D$6+D378*Portfolio!$D$7+E378*Portfolio!$D$8+F378*Portfolio!$D$9</f>
        <v>-6.3356401704595089E-4</v>
      </c>
      <c r="H378" s="27">
        <f>IFERROR('Price Data'!G378/'Price Data'!G377-1,0)</f>
        <v>-3.4944265021419341E-4</v>
      </c>
    </row>
    <row r="379" spans="1:8" ht="15">
      <c r="A379" s="25">
        <f>'Price Data'!A379</f>
        <v>45485</v>
      </c>
      <c r="B379" s="27">
        <f>IFERROR('Price Data'!B379/'Price Data'!B378-1,0)</f>
        <v>1.0169844699170483E-2</v>
      </c>
      <c r="C379" s="27">
        <f>IFERROR('Price Data'!C379/'Price Data'!C378-1,0)</f>
        <v>4.9309435277855584E-4</v>
      </c>
      <c r="D379" s="27">
        <f>IFERROR('Price Data'!D379/'Price Data'!D378-1,0)</f>
        <v>6.632781102294083E-2</v>
      </c>
      <c r="E379" s="27">
        <f>IFERROR('Price Data'!E379/'Price Data'!E378-1,0)</f>
        <v>-4.4813704345763039E-3</v>
      </c>
      <c r="F379" s="27">
        <f>IFERROR('Price Data'!F379/'Price Data'!F378-1,0)</f>
        <v>3.5729389384056454E-2</v>
      </c>
      <c r="G379" s="27">
        <f>B379*Portfolio!$D$5+C379*Portfolio!$D$6+D379*Portfolio!$D$7+E379*Portfolio!$D$8+F379*Portfolio!$D$9</f>
        <v>2.061849980999745E-2</v>
      </c>
      <c r="H379" s="27">
        <f>IFERROR('Price Data'!G379/'Price Data'!G378-1,0)</f>
        <v>7.6575736443560416E-3</v>
      </c>
    </row>
    <row r="380" spans="1:8" ht="15">
      <c r="A380" s="25">
        <f>'Price Data'!A380</f>
        <v>45488</v>
      </c>
      <c r="B380" s="27">
        <f>IFERROR('Price Data'!B380/'Price Data'!B379-1,0)</f>
        <v>3.1312596662269598E-4</v>
      </c>
      <c r="C380" s="27">
        <f>IFERROR('Price Data'!C380/'Price Data'!C379-1,0)</f>
        <v>-3.6969662632835298E-4</v>
      </c>
      <c r="D380" s="27">
        <f>IFERROR('Price Data'!D380/'Price Data'!D379-1,0)</f>
        <v>-3.5253072873234759E-3</v>
      </c>
      <c r="E380" s="27">
        <f>IFERROR('Price Data'!E380/'Price Data'!E379-1,0)</f>
        <v>-2.392765810650177E-3</v>
      </c>
      <c r="F380" s="27">
        <f>IFERROR('Price Data'!F380/'Price Data'!F379-1,0)</f>
        <v>-2.7456116113501183E-3</v>
      </c>
      <c r="G380" s="27">
        <f>B380*Portfolio!$D$5+C380*Portfolio!$D$6+D380*Portfolio!$D$7+E380*Portfolio!$D$8+F380*Portfolio!$D$9</f>
        <v>-1.4899607356911539E-3</v>
      </c>
      <c r="H380" s="27">
        <f>IFERROR('Price Data'!G380/'Price Data'!G379-1,0)</f>
        <v>3.4506697076412962E-3</v>
      </c>
    </row>
    <row r="381" spans="1:8" ht="15">
      <c r="A381" s="25">
        <f>'Price Data'!A381</f>
        <v>45489</v>
      </c>
      <c r="B381" s="27">
        <f>IFERROR('Price Data'!B381/'Price Data'!B380-1,0)</f>
        <v>-1.3132090988028255E-2</v>
      </c>
      <c r="C381" s="27">
        <f>IFERROR('Price Data'!C381/'Price Data'!C380-1,0)</f>
        <v>-1.4487853300366726E-3</v>
      </c>
      <c r="D381" s="27">
        <f>IFERROR('Price Data'!D381/'Price Data'!D380-1,0)</f>
        <v>2.2185731200796699E-3</v>
      </c>
      <c r="E381" s="27">
        <f>IFERROR('Price Data'!E381/'Price Data'!E380-1,0)</f>
        <v>8.0897714868541915E-3</v>
      </c>
      <c r="F381" s="27">
        <f>IFERROR('Price Data'!F381/'Price Data'!F380-1,0)</f>
        <v>1.1130295650522815E-2</v>
      </c>
      <c r="G381" s="27">
        <f>B381*Portfolio!$D$5+C381*Portfolio!$D$6+D381*Portfolio!$D$7+E381*Portfolio!$D$8+F381*Portfolio!$D$9</f>
        <v>-3.1849438489374719E-4</v>
      </c>
      <c r="H381" s="27">
        <f>IFERROR('Price Data'!G381/'Price Data'!G380-1,0)</f>
        <v>1.0697158254551198E-3</v>
      </c>
    </row>
    <row r="382" spans="1:8" ht="15">
      <c r="A382" s="25">
        <f>'Price Data'!A382</f>
        <v>45491</v>
      </c>
      <c r="B382" s="27">
        <f>IFERROR('Price Data'!B382/'Price Data'!B381-1,0)</f>
        <v>6.6138773937538531E-3</v>
      </c>
      <c r="C382" s="27">
        <f>IFERROR('Price Data'!C382/'Price Data'!C381-1,0)</f>
        <v>-3.0559014023976427E-3</v>
      </c>
      <c r="D382" s="27">
        <f>IFERROR('Price Data'!D382/'Price Data'!D381-1,0)</f>
        <v>3.281109677200944E-2</v>
      </c>
      <c r="E382" s="27">
        <f>IFERROR('Price Data'!E382/'Price Data'!E381-1,0)</f>
        <v>8.3878898739224717E-3</v>
      </c>
      <c r="F382" s="27">
        <f>IFERROR('Price Data'!F382/'Price Data'!F381-1,0)</f>
        <v>1.8539404039530138E-2</v>
      </c>
      <c r="G382" s="27">
        <f>B382*Portfolio!$D$5+C382*Portfolio!$D$6+D382*Portfolio!$D$7+E382*Portfolio!$D$8+F382*Portfolio!$D$9</f>
        <v>1.1490807439258833E-2</v>
      </c>
      <c r="H382" s="27">
        <f>IFERROR('Price Data'!G382/'Price Data'!G381-1,0)</f>
        <v>7.6321297434283064E-3</v>
      </c>
    </row>
    <row r="383" spans="1:8" ht="15">
      <c r="A383" s="25">
        <f>'Price Data'!A383</f>
        <v>45492</v>
      </c>
      <c r="B383" s="27">
        <f>IFERROR('Price Data'!B383/'Price Data'!B382-1,0)</f>
        <v>-1.986862427358238E-2</v>
      </c>
      <c r="C383" s="27">
        <f>IFERROR('Price Data'!C383/'Price Data'!C382-1,0)</f>
        <v>-4.6445941161361581E-3</v>
      </c>
      <c r="D383" s="27">
        <f>IFERROR('Price Data'!D383/'Price Data'!D382-1,0)</f>
        <v>-7.3150243048070163E-4</v>
      </c>
      <c r="E383" s="27">
        <f>IFERROR('Price Data'!E383/'Price Data'!E382-1,0)</f>
        <v>-1.3198007120771571E-3</v>
      </c>
      <c r="F383" s="27">
        <f>IFERROR('Price Data'!F383/'Price Data'!F382-1,0)</f>
        <v>1.9851583298615028E-2</v>
      </c>
      <c r="G383" s="27">
        <f>B383*Portfolio!$D$5+C383*Portfolio!$D$6+D383*Portfolio!$D$7+E383*Portfolio!$D$8+F383*Portfolio!$D$9</f>
        <v>-3.4948376955450948E-3</v>
      </c>
      <c r="H383" s="27">
        <f>IFERROR('Price Data'!G383/'Price Data'!G382-1,0)</f>
        <v>-1.0884676251089243E-2</v>
      </c>
    </row>
    <row r="384" spans="1:8" ht="15">
      <c r="A384" s="25">
        <f>'Price Data'!A384</f>
        <v>45495</v>
      </c>
      <c r="B384" s="27">
        <f>IFERROR('Price Data'!B384/'Price Data'!B383-1,0)</f>
        <v>-3.5028870380238719E-2</v>
      </c>
      <c r="C384" s="27">
        <f>IFERROR('Price Data'!C384/'Price Data'!C383-1,0)</f>
        <v>2.1931181188015181E-2</v>
      </c>
      <c r="D384" s="27">
        <f>IFERROR('Price Data'!D384/'Price Data'!D383-1,0)</f>
        <v>-3.4979397120517008E-3</v>
      </c>
      <c r="E384" s="27">
        <f>IFERROR('Price Data'!E384/'Price Data'!E383-1,0)</f>
        <v>-6.0063718336454963E-3</v>
      </c>
      <c r="F384" s="27">
        <f>IFERROR('Price Data'!F384/'Price Data'!F383-1,0)</f>
        <v>9.9835567844308581E-3</v>
      </c>
      <c r="G384" s="27">
        <f>B384*Portfolio!$D$5+C384*Portfolio!$D$6+D384*Portfolio!$D$7+E384*Portfolio!$D$8+F384*Portfolio!$D$9</f>
        <v>-3.377432497848421E-3</v>
      </c>
      <c r="H384" s="27">
        <f>IFERROR('Price Data'!G384/'Price Data'!G383-1,0)</f>
        <v>-8.8257627238474967E-4</v>
      </c>
    </row>
    <row r="385" spans="1:8" ht="15">
      <c r="A385" s="25">
        <f>'Price Data'!A385</f>
        <v>45496</v>
      </c>
      <c r="B385" s="27">
        <f>IFERROR('Price Data'!B385/'Price Data'!B384-1,0)</f>
        <v>-8.5127699782128197E-3</v>
      </c>
      <c r="C385" s="27">
        <f>IFERROR('Price Data'!C385/'Price Data'!C384-1,0)</f>
        <v>-1.4702720549230719E-2</v>
      </c>
      <c r="D385" s="27">
        <f>IFERROR('Price Data'!D385/'Price Data'!D384-1,0)</f>
        <v>3.4985752234819589E-3</v>
      </c>
      <c r="E385" s="27">
        <f>IFERROR('Price Data'!E385/'Price Data'!E384-1,0)</f>
        <v>-1.160220326202821E-2</v>
      </c>
      <c r="F385" s="27">
        <f>IFERROR('Price Data'!F385/'Price Data'!F384-1,0)</f>
        <v>1.4385471514983594E-2</v>
      </c>
      <c r="G385" s="27">
        <f>B385*Portfolio!$D$5+C385*Portfolio!$D$6+D385*Portfolio!$D$7+E385*Portfolio!$D$8+F385*Portfolio!$D$9</f>
        <v>-4.6866673492211852E-3</v>
      </c>
      <c r="H385" s="27">
        <f>IFERROR('Price Data'!G385/'Price Data'!G384-1,0)</f>
        <v>-1.2321559717249908E-3</v>
      </c>
    </row>
    <row r="386" spans="1:8" ht="15">
      <c r="A386" s="25">
        <f>'Price Data'!A386</f>
        <v>45497</v>
      </c>
      <c r="B386" s="27">
        <f>IFERROR('Price Data'!B386/'Price Data'!B385-1,0)</f>
        <v>5.2422689485902563E-3</v>
      </c>
      <c r="C386" s="27">
        <f>IFERROR('Price Data'!C386/'Price Data'!C385-1,0)</f>
        <v>-8.8667624784722898E-3</v>
      </c>
      <c r="D386" s="27">
        <f>IFERROR('Price Data'!D386/'Price Data'!D385-1,0)</f>
        <v>9.0650805721836925E-4</v>
      </c>
      <c r="E386" s="27">
        <f>IFERROR('Price Data'!E386/'Price Data'!E385-1,0)</f>
        <v>-3.0568999060224256E-3</v>
      </c>
      <c r="F386" s="27">
        <f>IFERROR('Price Data'!F386/'Price Data'!F385-1,0)</f>
        <v>-1.6060397330992515E-3</v>
      </c>
      <c r="G386" s="27">
        <f>B386*Portfolio!$D$5+C386*Portfolio!$D$6+D386*Portfolio!$D$7+E386*Portfolio!$D$8+F386*Portfolio!$D$9</f>
        <v>-1.4242627168950862E-3</v>
      </c>
      <c r="H386" s="27">
        <f>IFERROR('Price Data'!G386/'Price Data'!G385-1,0)</f>
        <v>-2.6778318259059741E-3</v>
      </c>
    </row>
    <row r="387" spans="1:8" ht="15">
      <c r="A387" s="25">
        <f>'Price Data'!A387</f>
        <v>45498</v>
      </c>
      <c r="B387" s="27">
        <f>IFERROR('Price Data'!B387/'Price Data'!B386-1,0)</f>
        <v>-2.2063677398508341E-3</v>
      </c>
      <c r="C387" s="27">
        <f>IFERROR('Price Data'!C387/'Price Data'!C386-1,0)</f>
        <v>7.8238651447815055E-3</v>
      </c>
      <c r="D387" s="27">
        <f>IFERROR('Price Data'!D387/'Price Data'!D386-1,0)</f>
        <v>3.7735038320703129E-3</v>
      </c>
      <c r="E387" s="27">
        <f>IFERROR('Price Data'!E387/'Price Data'!E386-1,0)</f>
        <v>-2.0523284248952778E-2</v>
      </c>
      <c r="F387" s="27">
        <f>IFERROR('Price Data'!F387/'Price Data'!F386-1,0)</f>
        <v>-4.9618984940816846E-3</v>
      </c>
      <c r="G387" s="27">
        <f>B387*Portfolio!$D$5+C387*Portfolio!$D$6+D387*Portfolio!$D$7+E387*Portfolio!$D$8+F387*Portfolio!$D$9</f>
        <v>-1.6637022938084389E-3</v>
      </c>
      <c r="H387" s="27">
        <f>IFERROR('Price Data'!G387/'Price Data'!G386-1,0)</f>
        <v>-3.0312698404566518E-4</v>
      </c>
    </row>
    <row r="388" spans="1:8" ht="15">
      <c r="A388" s="25">
        <f>'Price Data'!A388</f>
        <v>45499</v>
      </c>
      <c r="B388" s="27">
        <f>IFERROR('Price Data'!B388/'Price Data'!B387-1,0)</f>
        <v>1.1139841643223125E-2</v>
      </c>
      <c r="C388" s="27">
        <f>IFERROR('Price Data'!C388/'Price Data'!C387-1,0)</f>
        <v>9.5884780801935854E-4</v>
      </c>
      <c r="D388" s="27">
        <f>IFERROR('Price Data'!D388/'Price Data'!D387-1,0)</f>
        <v>1.5118412834501438E-2</v>
      </c>
      <c r="E388" s="27">
        <f>IFERROR('Price Data'!E388/'Price Data'!E387-1,0)</f>
        <v>7.7634868782199273E-3</v>
      </c>
      <c r="F388" s="27">
        <f>IFERROR('Price Data'!F388/'Price Data'!F387-1,0)</f>
        <v>2.9618895381150923E-2</v>
      </c>
      <c r="G388" s="27">
        <f>B388*Portfolio!$D$5+C388*Portfolio!$D$6+D388*Portfolio!$D$7+E388*Portfolio!$D$8+F388*Portfolio!$D$9</f>
        <v>1.1655712268616537E-2</v>
      </c>
      <c r="H388" s="27">
        <f>IFERROR('Price Data'!G388/'Price Data'!G387-1,0)</f>
        <v>1.756732976027453E-2</v>
      </c>
    </row>
    <row r="389" spans="1:8" ht="15">
      <c r="A389" s="25">
        <f>'Price Data'!A389</f>
        <v>45502</v>
      </c>
      <c r="B389" s="27">
        <f>IFERROR('Price Data'!B389/'Price Data'!B388-1,0)</f>
        <v>7.3390655831357954E-3</v>
      </c>
      <c r="C389" s="27">
        <f>IFERROR('Price Data'!C389/'Price Data'!C388-1,0)</f>
        <v>-8.0956489879681071E-3</v>
      </c>
      <c r="D389" s="27">
        <f>IFERROR('Price Data'!D389/'Price Data'!D388-1,0)</f>
        <v>-1.53818975227904E-3</v>
      </c>
      <c r="E389" s="27">
        <f>IFERROR('Price Data'!E389/'Price Data'!E388-1,0)</f>
        <v>4.5560610308681415E-3</v>
      </c>
      <c r="F389" s="27">
        <f>IFERROR('Price Data'!F389/'Price Data'!F388-1,0)</f>
        <v>-4.1513269323745217E-3</v>
      </c>
      <c r="G389" s="27">
        <f>B389*Portfolio!$D$5+C389*Portfolio!$D$6+D389*Portfolio!$D$7+E389*Portfolio!$D$8+F389*Portfolio!$D$9</f>
        <v>-4.3607368688984289E-4</v>
      </c>
      <c r="H389" s="27">
        <f>IFERROR('Price Data'!G389/'Price Data'!G388-1,0)</f>
        <v>5.0332497263383402E-5</v>
      </c>
    </row>
    <row r="390" spans="1:8" ht="15">
      <c r="A390" s="25">
        <f>'Price Data'!A390</f>
        <v>45503</v>
      </c>
      <c r="B390" s="27">
        <f>IFERROR('Price Data'!B390/'Price Data'!B389-1,0)</f>
        <v>-4.5719870763648585E-3</v>
      </c>
      <c r="C390" s="27">
        <f>IFERROR('Price Data'!C390/'Price Data'!C389-1,0)</f>
        <v>6.5419315094115138E-3</v>
      </c>
      <c r="D390" s="27">
        <f>IFERROR('Price Data'!D390/'Price Data'!D389-1,0)</f>
        <v>-3.5950960041437607E-3</v>
      </c>
      <c r="E390" s="27">
        <f>IFERROR('Price Data'!E390/'Price Data'!E389-1,0)</f>
        <v>-2.6800076036711529E-3</v>
      </c>
      <c r="F390" s="27">
        <f>IFERROR('Price Data'!F390/'Price Data'!F389-1,0)</f>
        <v>3.2333239612791775E-3</v>
      </c>
      <c r="G390" s="27">
        <f>B390*Portfolio!$D$5+C390*Portfolio!$D$6+D390*Portfolio!$D$7+E390*Portfolio!$D$8+F390*Portfolio!$D$9</f>
        <v>-1.4353563892588461E-4</v>
      </c>
      <c r="H390" s="27">
        <f>IFERROR('Price Data'!G390/'Price Data'!G389-1,0)</f>
        <v>8.5364337430005044E-4</v>
      </c>
    </row>
    <row r="391" spans="1:8" ht="15">
      <c r="A391" s="25">
        <f>'Price Data'!A391</f>
        <v>45504</v>
      </c>
      <c r="B391" s="27">
        <f>IFERROR('Price Data'!B391/'Price Data'!B390-1,0)</f>
        <v>-5.1052320852108535E-3</v>
      </c>
      <c r="C391" s="27">
        <f>IFERROR('Price Data'!C391/'Price Data'!C390-1,0)</f>
        <v>1.2369973209547247E-4</v>
      </c>
      <c r="D391" s="27">
        <f>IFERROR('Price Data'!D391/'Price Data'!D390-1,0)</f>
        <v>4.5815977549110709E-3</v>
      </c>
      <c r="E391" s="27">
        <f>IFERROR('Price Data'!E391/'Price Data'!E390-1,0)</f>
        <v>4.5062433634033283E-3</v>
      </c>
      <c r="F391" s="27">
        <f>IFERROR('Price Data'!F391/'Price Data'!F390-1,0)</f>
        <v>-4.74116702361016E-3</v>
      </c>
      <c r="G391" s="27">
        <f>B391*Portfolio!$D$5+C391*Portfolio!$D$6+D391*Portfolio!$D$7+E391*Portfolio!$D$8+F391*Portfolio!$D$9</f>
        <v>-3.6430208632765569E-4</v>
      </c>
      <c r="H391" s="27">
        <f>IFERROR('Price Data'!G391/'Price Data'!G390-1,0)</f>
        <v>3.7755350108565899E-3</v>
      </c>
    </row>
    <row r="392" spans="1:8" ht="15">
      <c r="A392" s="25">
        <f>'Price Data'!A392</f>
        <v>45505</v>
      </c>
      <c r="B392" s="27">
        <f>IFERROR('Price Data'!B392/'Price Data'!B391-1,0)</f>
        <v>6.5596027538974422E-3</v>
      </c>
      <c r="C392" s="27">
        <f>IFERROR('Price Data'!C392/'Price Data'!C391-1,0)</f>
        <v>1.4265820028954046E-2</v>
      </c>
      <c r="D392" s="27">
        <f>IFERROR('Price Data'!D392/'Price Data'!D391-1,0)</f>
        <v>2.6793165913094885E-3</v>
      </c>
      <c r="E392" s="27">
        <f>IFERROR('Price Data'!E392/'Price Data'!E391-1,0)</f>
        <v>-3.9509973388366371E-3</v>
      </c>
      <c r="F392" s="27">
        <f>IFERROR('Price Data'!F392/'Price Data'!F391-1,0)</f>
        <v>-8.3768144290576885E-3</v>
      </c>
      <c r="G392" s="27">
        <f>B392*Portfolio!$D$5+C392*Portfolio!$D$6+D392*Portfolio!$D$7+E392*Portfolio!$D$8+F392*Portfolio!$D$9</f>
        <v>3.8930472487906211E-3</v>
      </c>
      <c r="H392" s="27">
        <f>IFERROR('Price Data'!G392/'Price Data'!G391-1,0)</f>
        <v>2.3946791656728195E-3</v>
      </c>
    </row>
    <row r="393" spans="1:8" ht="15">
      <c r="A393" s="25">
        <f>'Price Data'!A393</f>
        <v>45506</v>
      </c>
      <c r="B393" s="27">
        <f>IFERROR('Price Data'!B393/'Price Data'!B392-1,0)</f>
        <v>-1.0542560853573302E-2</v>
      </c>
      <c r="C393" s="27">
        <f>IFERROR('Price Data'!C393/'Price Data'!C392-1,0)</f>
        <v>1.2417647935952125E-2</v>
      </c>
      <c r="D393" s="27">
        <f>IFERROR('Price Data'!D393/'Price Data'!D392-1,0)</f>
        <v>-2.5937540305540518E-2</v>
      </c>
      <c r="E393" s="27">
        <f>IFERROR('Price Data'!E393/'Price Data'!E392-1,0)</f>
        <v>-1.1197372778565584E-2</v>
      </c>
      <c r="F393" s="27">
        <f>IFERROR('Price Data'!F393/'Price Data'!F392-1,0)</f>
        <v>-1.6949272541613492E-2</v>
      </c>
      <c r="G393" s="27">
        <f>B393*Portfolio!$D$5+C393*Portfolio!$D$6+D393*Portfolio!$D$7+E393*Portfolio!$D$8+F393*Portfolio!$D$9</f>
        <v>-8.9407330885402595E-3</v>
      </c>
      <c r="H393" s="27">
        <f>IFERROR('Price Data'!G393/'Price Data'!G392-1,0)</f>
        <v>-1.1722935491954689E-2</v>
      </c>
    </row>
    <row r="394" spans="1:8" ht="15">
      <c r="A394" s="25">
        <f>'Price Data'!A394</f>
        <v>45509</v>
      </c>
      <c r="B394" s="27">
        <f>IFERROR('Price Data'!B394/'Price Data'!B393-1,0)</f>
        <v>-3.4682180470079538E-2</v>
      </c>
      <c r="C394" s="27">
        <f>IFERROR('Price Data'!C394/'Price Data'!C393-1,0)</f>
        <v>-2.6157996012066143E-2</v>
      </c>
      <c r="D394" s="27">
        <f>IFERROR('Price Data'!D394/'Price Data'!D393-1,0)</f>
        <v>-2.9885183998922149E-2</v>
      </c>
      <c r="E394" s="27">
        <f>IFERROR('Price Data'!E394/'Price Data'!E393-1,0)</f>
        <v>-2.0015949715778358E-2</v>
      </c>
      <c r="F394" s="27">
        <f>IFERROR('Price Data'!F394/'Price Data'!F393-1,0)</f>
        <v>-3.8051788259060415E-2</v>
      </c>
      <c r="G394" s="27">
        <f>B394*Portfolio!$D$5+C394*Portfolio!$D$6+D394*Portfolio!$D$7+E394*Portfolio!$D$8+F394*Portfolio!$D$9</f>
        <v>-2.9897241616546669E-2</v>
      </c>
      <c r="H394" s="27">
        <f>IFERROR('Price Data'!G394/'Price Data'!G393-1,0)</f>
        <v>-2.6786457894622862E-2</v>
      </c>
    </row>
    <row r="395" spans="1:8" ht="15">
      <c r="A395" s="25">
        <f>'Price Data'!A395</f>
        <v>45510</v>
      </c>
      <c r="B395" s="27">
        <f>IFERROR('Price Data'!B395/'Price Data'!B394-1,0)</f>
        <v>6.028402393128296E-3</v>
      </c>
      <c r="C395" s="27">
        <f>IFERROR('Price Data'!C395/'Price Data'!C394-1,0)</f>
        <v>-9.0051451634133306E-3</v>
      </c>
      <c r="D395" s="27">
        <f>IFERROR('Price Data'!D395/'Price Data'!D394-1,0)</f>
        <v>3.8869183271632579E-3</v>
      </c>
      <c r="E395" s="27">
        <f>IFERROR('Price Data'!E395/'Price Data'!E394-1,0)</f>
        <v>-4.9035956315421902E-3</v>
      </c>
      <c r="F395" s="27">
        <f>IFERROR('Price Data'!F395/'Price Data'!F394-1,0)</f>
        <v>-4.5662767268961346E-4</v>
      </c>
      <c r="G395" s="27">
        <f>B395*Portfolio!$D$5+C395*Portfolio!$D$6+D395*Portfolio!$D$7+E395*Portfolio!$D$8+F395*Portfolio!$D$9</f>
        <v>-7.7083552277337753E-4</v>
      </c>
      <c r="H395" s="27">
        <f>IFERROR('Price Data'!G395/'Price Data'!G394-1,0)</f>
        <v>-2.6209626510589334E-3</v>
      </c>
    </row>
    <row r="396" spans="1:8" ht="15">
      <c r="A396" s="25">
        <f>'Price Data'!A396</f>
        <v>45511</v>
      </c>
      <c r="B396" s="27">
        <f>IFERROR('Price Data'!B396/'Price Data'!B395-1,0)</f>
        <v>6.0264721189862147E-3</v>
      </c>
      <c r="C396" s="27">
        <f>IFERROR('Price Data'!C396/'Price Data'!C395-1,0)</f>
        <v>1.3927088046046254E-2</v>
      </c>
      <c r="D396" s="27">
        <f>IFERROR('Price Data'!D396/'Price Data'!D395-1,0)</f>
        <v>7.012357950237913E-3</v>
      </c>
      <c r="E396" s="27">
        <f>IFERROR('Price Data'!E396/'Price Data'!E395-1,0)</f>
        <v>4.7992063525819084E-3</v>
      </c>
      <c r="F396" s="27">
        <f>IFERROR('Price Data'!F396/'Price Data'!F395-1,0)</f>
        <v>2.3156852881587531E-2</v>
      </c>
      <c r="G396" s="27">
        <f>B396*Portfolio!$D$5+C396*Portfolio!$D$6+D396*Portfolio!$D$7+E396*Portfolio!$D$8+F396*Portfolio!$D$9</f>
        <v>1.0584270516431116E-2</v>
      </c>
      <c r="H396" s="27">
        <f>IFERROR('Price Data'!G396/'Price Data'!G395-1,0)</f>
        <v>1.2710162480444431E-2</v>
      </c>
    </row>
    <row r="397" spans="1:8" ht="15">
      <c r="A397" s="25">
        <f>'Price Data'!A397</f>
        <v>45512</v>
      </c>
      <c r="B397" s="27">
        <f>IFERROR('Price Data'!B397/'Price Data'!B396-1,0)</f>
        <v>-1.0718013814954852E-2</v>
      </c>
      <c r="C397" s="27">
        <f>IFERROR('Price Data'!C397/'Price Data'!C396-1,0)</f>
        <v>1.1826243317269558E-2</v>
      </c>
      <c r="D397" s="27">
        <f>IFERROR('Price Data'!D397/'Price Data'!D396-1,0)</f>
        <v>-6.6422264919904217E-3</v>
      </c>
      <c r="E397" s="27">
        <f>IFERROR('Price Data'!E397/'Price Data'!E396-1,0)</f>
        <v>-6.695369168602805E-3</v>
      </c>
      <c r="F397" s="27">
        <f>IFERROR('Price Data'!F397/'Price Data'!F396-1,0)</f>
        <v>-2.7069956700681352E-2</v>
      </c>
      <c r="G397" s="27">
        <f>B397*Portfolio!$D$5+C397*Portfolio!$D$6+D397*Portfolio!$D$7+E397*Portfolio!$D$8+F397*Portfolio!$D$9</f>
        <v>-6.1161868032120308E-3</v>
      </c>
      <c r="H397" s="27">
        <f>IFERROR('Price Data'!G397/'Price Data'!G396-1,0)</f>
        <v>-7.4287478135610652E-3</v>
      </c>
    </row>
    <row r="398" spans="1:8" ht="15">
      <c r="A398" s="25">
        <f>'Price Data'!A398</f>
        <v>45513</v>
      </c>
      <c r="B398" s="27">
        <f>IFERROR('Price Data'!B398/'Price Data'!B397-1,0)</f>
        <v>1.7372705828472945E-2</v>
      </c>
      <c r="C398" s="27">
        <f>IFERROR('Price Data'!C398/'Price Data'!C397-1,0)</f>
        <v>4.5657097778080136E-3</v>
      </c>
      <c r="D398" s="27">
        <f>IFERROR('Price Data'!D398/'Price Data'!D397-1,0)</f>
        <v>1.3468925582646785E-2</v>
      </c>
      <c r="E398" s="27">
        <f>IFERROR('Price Data'!E398/'Price Data'!E397-1,0)</f>
        <v>6.0106247826010595E-3</v>
      </c>
      <c r="F398" s="27">
        <f>IFERROR('Price Data'!F398/'Price Data'!F397-1,0)</f>
        <v>1.5833327497503102E-2</v>
      </c>
      <c r="G398" s="27">
        <f>B398*Portfolio!$D$5+C398*Portfolio!$D$6+D398*Portfolio!$D$7+E398*Portfolio!$D$8+F398*Portfolio!$D$9</f>
        <v>1.145498186011522E-2</v>
      </c>
      <c r="H398" s="27">
        <f>IFERROR('Price Data'!G398/'Price Data'!G397-1,0)</f>
        <v>1.0386864037815746E-2</v>
      </c>
    </row>
    <row r="399" spans="1:8" ht="15">
      <c r="A399" s="25">
        <f>'Price Data'!A399</f>
        <v>45516</v>
      </c>
      <c r="B399" s="27">
        <f>IFERROR('Price Data'!B399/'Price Data'!B398-1,0)</f>
        <v>-9.2757758646478949E-3</v>
      </c>
      <c r="C399" s="27">
        <f>IFERROR('Price Data'!C399/'Price Data'!C398-1,0)</f>
        <v>5.9991779672041723E-3</v>
      </c>
      <c r="D399" s="27">
        <f>IFERROR('Price Data'!D399/'Price Data'!D398-1,0)</f>
        <v>-7.8272839456349219E-3</v>
      </c>
      <c r="E399" s="27">
        <f>IFERROR('Price Data'!E399/'Price Data'!E398-1,0)</f>
        <v>9.6419937638223541E-3</v>
      </c>
      <c r="F399" s="27">
        <f>IFERROR('Price Data'!F399/'Price Data'!F398-1,0)</f>
        <v>1.5050140979104842E-2</v>
      </c>
      <c r="G399" s="27">
        <f>B399*Portfolio!$D$5+C399*Portfolio!$D$6+D399*Portfolio!$D$7+E399*Portfolio!$D$8+F399*Portfolio!$D$9</f>
        <v>1.3192139479511642E-3</v>
      </c>
      <c r="H399" s="27">
        <f>IFERROR('Price Data'!G399/'Price Data'!G398-1,0)</f>
        <v>-8.4128449779419245E-4</v>
      </c>
    </row>
    <row r="400" spans="1:8" ht="15">
      <c r="A400" s="25">
        <f>'Price Data'!A400</f>
        <v>45517</v>
      </c>
      <c r="B400" s="27">
        <f>IFERROR('Price Data'!B400/'Price Data'!B399-1,0)</f>
        <v>2.0539862422506161E-3</v>
      </c>
      <c r="C400" s="27">
        <f>IFERROR('Price Data'!C400/'Price Data'!C399-1,0)</f>
        <v>-3.4274942732290814E-2</v>
      </c>
      <c r="D400" s="27">
        <f>IFERROR('Price Data'!D400/'Price Data'!D399-1,0)</f>
        <v>3.0989539924619613E-4</v>
      </c>
      <c r="E400" s="27">
        <f>IFERROR('Price Data'!E400/'Price Data'!E399-1,0)</f>
        <v>-3.7944147967912123E-3</v>
      </c>
      <c r="F400" s="27">
        <f>IFERROR('Price Data'!F400/'Price Data'!F399-1,0)</f>
        <v>2.7816777461664444E-5</v>
      </c>
      <c r="G400" s="27">
        <f>B400*Portfolio!$D$5+C400*Portfolio!$D$6+D400*Portfolio!$D$7+E400*Portfolio!$D$8+F400*Portfolio!$D$9</f>
        <v>-8.5582497455602442E-3</v>
      </c>
      <c r="H400" s="27">
        <f>IFERROR('Price Data'!G400/'Price Data'!G399-1,0)</f>
        <v>-8.5431469996303244E-3</v>
      </c>
    </row>
    <row r="401" spans="1:8" ht="15">
      <c r="A401" s="25">
        <f>'Price Data'!A401</f>
        <v>45518</v>
      </c>
      <c r="B401" s="27">
        <f>IFERROR('Price Data'!B401/'Price Data'!B400-1,0)</f>
        <v>-1.2126969292525214E-3</v>
      </c>
      <c r="C401" s="27">
        <f>IFERROR('Price Data'!C401/'Price Data'!C400-1,0)</f>
        <v>2.869207368422666E-3</v>
      </c>
      <c r="D401" s="27">
        <f>IFERROR('Price Data'!D401/'Price Data'!D400-1,0)</f>
        <v>2.3421705971543583E-2</v>
      </c>
      <c r="E401" s="27">
        <f>IFERROR('Price Data'!E401/'Price Data'!E400-1,0)</f>
        <v>-5.7345688286711827E-3</v>
      </c>
      <c r="F401" s="27">
        <f>IFERROR('Price Data'!F401/'Price Data'!F400-1,0)</f>
        <v>1.4353635909319262E-2</v>
      </c>
      <c r="G401" s="27">
        <f>B401*Portfolio!$D$5+C401*Portfolio!$D$6+D401*Portfolio!$D$7+E401*Portfolio!$D$8+F401*Portfolio!$D$9</f>
        <v>6.3913288661984636E-3</v>
      </c>
      <c r="H401" s="27">
        <f>IFERROR('Price Data'!G401/'Price Data'!G400-1,0)</f>
        <v>1.9677699987563635E-4</v>
      </c>
    </row>
    <row r="402" spans="1:8" ht="15">
      <c r="A402" s="25">
        <f>'Price Data'!A402</f>
        <v>45520</v>
      </c>
      <c r="B402" s="27">
        <f>IFERROR('Price Data'!B402/'Price Data'!B401-1,0)</f>
        <v>1.1184437538394487E-2</v>
      </c>
      <c r="C402" s="27">
        <f>IFERROR('Price Data'!C402/'Price Data'!C401-1,0)</f>
        <v>1.511381650716781E-2</v>
      </c>
      <c r="D402" s="27">
        <f>IFERROR('Price Data'!D402/'Price Data'!D401-1,0)</f>
        <v>2.8124108794557623E-2</v>
      </c>
      <c r="E402" s="27">
        <f>IFERROR('Price Data'!E402/'Price Data'!E401-1,0)</f>
        <v>2.2037575353123451E-2</v>
      </c>
      <c r="F402" s="27">
        <f>IFERROR('Price Data'!F402/'Price Data'!F401-1,0)</f>
        <v>1.9580371863314516E-2</v>
      </c>
      <c r="G402" s="27">
        <f>B402*Portfolio!$D$5+C402*Portfolio!$D$6+D402*Portfolio!$D$7+E402*Portfolio!$D$8+F402*Portfolio!$D$9</f>
        <v>1.8442077352767795E-2</v>
      </c>
      <c r="H402" s="27">
        <f>IFERROR('Price Data'!G402/'Price Data'!G401-1,0)</f>
        <v>1.6459762490292462E-2</v>
      </c>
    </row>
    <row r="403" spans="1:8" ht="15">
      <c r="A403" s="25">
        <f>'Price Data'!A403</f>
        <v>45523</v>
      </c>
      <c r="B403" s="27">
        <f>IFERROR('Price Data'!B403/'Price Data'!B402-1,0)</f>
        <v>1.031765320610134E-2</v>
      </c>
      <c r="C403" s="27">
        <f>IFERROR('Price Data'!C403/'Price Data'!C402-1,0)</f>
        <v>-3.369752812102389E-4</v>
      </c>
      <c r="D403" s="27">
        <f>IFERROR('Price Data'!D403/'Price Data'!D402-1,0)</f>
        <v>1.6745812304108654E-2</v>
      </c>
      <c r="E403" s="27">
        <f>IFERROR('Price Data'!E403/'Price Data'!E402-1,0)</f>
        <v>-9.5598809716229693E-3</v>
      </c>
      <c r="F403" s="27">
        <f>IFERROR('Price Data'!F403/'Price Data'!F402-1,0)</f>
        <v>3.1470837796749862E-3</v>
      </c>
      <c r="G403" s="27">
        <f>B403*Portfolio!$D$5+C403*Portfolio!$D$6+D403*Portfolio!$D$7+E403*Portfolio!$D$8+F403*Portfolio!$D$9</f>
        <v>4.8824123632523085E-3</v>
      </c>
      <c r="H403" s="27">
        <f>IFERROR('Price Data'!G403/'Price Data'!G402-1,0)</f>
        <v>1.2835584110202358E-3</v>
      </c>
    </row>
    <row r="404" spans="1:8" ht="15">
      <c r="A404" s="25">
        <f>'Price Data'!A404</f>
        <v>45524</v>
      </c>
      <c r="B404" s="27">
        <f>IFERROR('Price Data'!B404/'Price Data'!B403-1,0)</f>
        <v>5.0725577603185634E-3</v>
      </c>
      <c r="C404" s="27">
        <f>IFERROR('Price Data'!C404/'Price Data'!C403-1,0)</f>
        <v>3.7694136364898601E-3</v>
      </c>
      <c r="D404" s="27">
        <f>IFERROR('Price Data'!D404/'Price Data'!D403-1,0)</f>
        <v>7.4162652132621076E-3</v>
      </c>
      <c r="E404" s="27">
        <f>IFERROR('Price Data'!E404/'Price Data'!E403-1,0)</f>
        <v>3.0189723777469535E-3</v>
      </c>
      <c r="F404" s="27">
        <f>IFERROR('Price Data'!F404/'Price Data'!F403-1,0)</f>
        <v>3.9682243989043187E-3</v>
      </c>
      <c r="G404" s="27">
        <f>B404*Portfolio!$D$5+C404*Portfolio!$D$6+D404*Portfolio!$D$7+E404*Portfolio!$D$8+F404*Portfolio!$D$9</f>
        <v>4.7418254083522182E-3</v>
      </c>
      <c r="H404" s="27">
        <f>IFERROR('Price Data'!G404/'Price Data'!G403-1,0)</f>
        <v>5.1357593399101731E-3</v>
      </c>
    </row>
    <row r="405" spans="1:8" ht="15">
      <c r="A405" s="25">
        <f>'Price Data'!A405</f>
        <v>45525</v>
      </c>
      <c r="B405" s="27">
        <f>IFERROR('Price Data'!B405/'Price Data'!B404-1,0)</f>
        <v>1.821661683359288E-3</v>
      </c>
      <c r="C405" s="27">
        <f>IFERROR('Price Data'!C405/'Price Data'!C404-1,0)</f>
        <v>-7.2662332376471905E-3</v>
      </c>
      <c r="D405" s="27">
        <f>IFERROR('Price Data'!D405/'Price Data'!D404-1,0)</f>
        <v>6.2346424853796378E-3</v>
      </c>
      <c r="E405" s="27">
        <f>IFERROR('Price Data'!E405/'Price Data'!E404-1,0)</f>
        <v>-3.9001584468701944E-3</v>
      </c>
      <c r="F405" s="27">
        <f>IFERROR('Price Data'!F405/'Price Data'!F404-1,0)</f>
        <v>2.6698476397246651E-4</v>
      </c>
      <c r="G405" s="27">
        <f>B405*Portfolio!$D$5+C405*Portfolio!$D$6+D405*Portfolio!$D$7+E405*Portfolio!$D$8+F405*Portfolio!$D$9</f>
        <v>-6.5919044393070701E-4</v>
      </c>
      <c r="H405" s="27">
        <f>IFERROR('Price Data'!G405/'Price Data'!G404-1,0)</f>
        <v>2.8887826964991703E-3</v>
      </c>
    </row>
    <row r="406" spans="1:8" ht="15">
      <c r="A406" s="25">
        <f>'Price Data'!A406</f>
        <v>45526</v>
      </c>
      <c r="B406" s="27">
        <f>IFERROR('Price Data'!B406/'Price Data'!B405-1,0)</f>
        <v>-3.6707109389899628E-4</v>
      </c>
      <c r="C406" s="27">
        <f>IFERROR('Price Data'!C406/'Price Data'!C405-1,0)</f>
        <v>3.3829651629315727E-3</v>
      </c>
      <c r="D406" s="27">
        <f>IFERROR('Price Data'!D406/'Price Data'!D405-1,0)</f>
        <v>-1.0875550676602508E-2</v>
      </c>
      <c r="E406" s="27">
        <f>IFERROR('Price Data'!E406/'Price Data'!E405-1,0)</f>
        <v>1.3831584923246876E-2</v>
      </c>
      <c r="F406" s="27">
        <f>IFERROR('Price Data'!F406/'Price Data'!F405-1,0)</f>
        <v>4.0315797021470701E-3</v>
      </c>
      <c r="G406" s="27">
        <f>B406*Portfolio!$D$5+C406*Portfolio!$D$6+D406*Portfolio!$D$7+E406*Portfolio!$D$8+F406*Portfolio!$D$9</f>
        <v>1.2583380757467339E-3</v>
      </c>
      <c r="H406" s="27">
        <f>IFERROR('Price Data'!G406/'Price Data'!G405-1,0)</f>
        <v>1.6673576536574419E-3</v>
      </c>
    </row>
    <row r="407" spans="1:8" ht="15">
      <c r="A407" s="25">
        <f>'Price Data'!A407</f>
        <v>45527</v>
      </c>
      <c r="B407" s="27">
        <f>IFERROR('Price Data'!B407/'Price Data'!B406-1,0)</f>
        <v>1.2349229233368231E-3</v>
      </c>
      <c r="C407" s="27">
        <f>IFERROR('Price Data'!C407/'Price Data'!C406-1,0)</f>
        <v>-3.8313594333387879E-3</v>
      </c>
      <c r="D407" s="27">
        <f>IFERROR('Price Data'!D407/'Price Data'!D406-1,0)</f>
        <v>-8.4630249450945438E-3</v>
      </c>
      <c r="E407" s="27">
        <f>IFERROR('Price Data'!E407/'Price Data'!E406-1,0)</f>
        <v>1.0410545403395588E-2</v>
      </c>
      <c r="F407" s="27">
        <f>IFERROR('Price Data'!F407/'Price Data'!F406-1,0)</f>
        <v>-9.6529076587078544E-3</v>
      </c>
      <c r="G407" s="27">
        <f>B407*Portfolio!$D$5+C407*Portfolio!$D$6+D407*Portfolio!$D$7+E407*Portfolio!$D$8+F407*Portfolio!$D$9</f>
        <v>-2.2280684548162399E-3</v>
      </c>
      <c r="H407" s="27">
        <f>IFERROR('Price Data'!G407/'Price Data'!G406-1,0)</f>
        <v>4.6955607782672715E-4</v>
      </c>
    </row>
    <row r="408" spans="1:8" ht="15">
      <c r="A408" s="25">
        <f>'Price Data'!A408</f>
        <v>45530</v>
      </c>
      <c r="B408" s="27">
        <f>IFERROR('Price Data'!B408/'Price Data'!B407-1,0)</f>
        <v>8.4167673089468042E-3</v>
      </c>
      <c r="C408" s="27">
        <f>IFERROR('Price Data'!C408/'Price Data'!C407-1,0)</f>
        <v>9.1689931482141773E-3</v>
      </c>
      <c r="D408" s="27">
        <f>IFERROR('Price Data'!D408/'Price Data'!D407-1,0)</f>
        <v>8.6359604051660099E-3</v>
      </c>
      <c r="E408" s="27">
        <f>IFERROR('Price Data'!E408/'Price Data'!E407-1,0)</f>
        <v>8.1429284430720728E-3</v>
      </c>
      <c r="F408" s="27">
        <f>IFERROR('Price Data'!F408/'Price Data'!F407-1,0)</f>
        <v>7.5452031166669542E-3</v>
      </c>
      <c r="G408" s="27">
        <f>B408*Portfolio!$D$5+C408*Portfolio!$D$6+D408*Portfolio!$D$7+E408*Portfolio!$D$8+F408*Portfolio!$D$9</f>
        <v>8.4768519292843011E-3</v>
      </c>
      <c r="H408" s="27">
        <f>IFERROR('Price Data'!G408/'Price Data'!G407-1,0)</f>
        <v>7.5513871446710734E-3</v>
      </c>
    </row>
    <row r="409" spans="1:8" ht="15">
      <c r="A409" s="25">
        <f>'Price Data'!A409</f>
        <v>45531</v>
      </c>
      <c r="B409" s="27">
        <f>IFERROR('Price Data'!B409/'Price Data'!B408-1,0)</f>
        <v>-8.032478302011592E-3</v>
      </c>
      <c r="C409" s="27">
        <f>IFERROR('Price Data'!C409/'Price Data'!C408-1,0)</f>
        <v>-1.3415256919463436E-3</v>
      </c>
      <c r="D409" s="27">
        <f>IFERROR('Price Data'!D409/'Price Data'!D408-1,0)</f>
        <v>-1.177173149864541E-3</v>
      </c>
      <c r="E409" s="27">
        <f>IFERROR('Price Data'!E409/'Price Data'!E408-1,0)</f>
        <v>1.0755787545847051E-2</v>
      </c>
      <c r="F409" s="27">
        <f>IFERROR('Price Data'!F409/'Price Data'!F408-1,0)</f>
        <v>1.2765515920018622E-2</v>
      </c>
      <c r="G409" s="27">
        <f>B409*Portfolio!$D$5+C409*Portfolio!$D$6+D409*Portfolio!$D$7+E409*Portfolio!$D$8+F409*Portfolio!$D$9</f>
        <v>9.4925989141745877E-4</v>
      </c>
      <c r="H409" s="27">
        <f>IFERROR('Price Data'!G409/'Price Data'!G408-1,0)</f>
        <v>2.8589441023707529E-4</v>
      </c>
    </row>
    <row r="410" spans="1:8" ht="15">
      <c r="A410" s="25">
        <f>'Price Data'!A410</f>
        <v>45532</v>
      </c>
      <c r="B410" s="27">
        <f>IFERROR('Price Data'!B410/'Price Data'!B409-1,0)</f>
        <v>-1.4329035251872124E-3</v>
      </c>
      <c r="C410" s="27">
        <f>IFERROR('Price Data'!C410/'Price Data'!C409-1,0)</f>
        <v>-3.9686263499894014E-4</v>
      </c>
      <c r="D410" s="27">
        <f>IFERROR('Price Data'!D410/'Price Data'!D409-1,0)</f>
        <v>1.9791448253290156E-3</v>
      </c>
      <c r="E410" s="27">
        <f>IFERROR('Price Data'!E410/'Price Data'!E409-1,0)</f>
        <v>-2.0385512173078935E-3</v>
      </c>
      <c r="F410" s="27">
        <f>IFERROR('Price Data'!F410/'Price Data'!F409-1,0)</f>
        <v>2.05252528621509E-2</v>
      </c>
      <c r="G410" s="27">
        <f>B410*Portfolio!$D$5+C410*Portfolio!$D$6+D410*Portfolio!$D$7+E410*Portfolio!$D$8+F410*Portfolio!$D$9</f>
        <v>2.7113926717457159E-3</v>
      </c>
      <c r="H410" s="27">
        <f>IFERROR('Price Data'!G410/'Price Data'!G409-1,0)</f>
        <v>1.3830024432652799E-3</v>
      </c>
    </row>
    <row r="411" spans="1:8" ht="15">
      <c r="A411" s="25">
        <f>'Price Data'!A411</f>
        <v>45533</v>
      </c>
      <c r="B411" s="27">
        <f>IFERROR('Price Data'!B411/'Price Data'!B410-1,0)</f>
        <v>1.5100440192906905E-2</v>
      </c>
      <c r="C411" s="27">
        <f>IFERROR('Price Data'!C411/'Price Data'!C410-1,0)</f>
        <v>8.8568998776206165E-4</v>
      </c>
      <c r="D411" s="27">
        <f>IFERROR('Price Data'!D411/'Price Data'!D410-1,0)</f>
        <v>1.2759919561466937E-3</v>
      </c>
      <c r="E411" s="27">
        <f>IFERROR('Price Data'!E411/'Price Data'!E410-1,0)</f>
        <v>-1.5933240406182936E-3</v>
      </c>
      <c r="F411" s="27">
        <f>IFERROR('Price Data'!F411/'Price Data'!F410-1,0)</f>
        <v>-2.9653012141146462E-3</v>
      </c>
      <c r="G411" s="27">
        <f>B411*Portfolio!$D$5+C411*Portfolio!$D$6+D411*Portfolio!$D$7+E411*Portfolio!$D$8+F411*Portfolio!$D$9</f>
        <v>3.5679371481866394E-3</v>
      </c>
      <c r="H411" s="27">
        <f>IFERROR('Price Data'!G411/'Price Data'!G410-1,0)</f>
        <v>3.97565940632294E-3</v>
      </c>
    </row>
    <row r="412" spans="1:8" ht="15">
      <c r="A412" s="25">
        <f>'Price Data'!A412</f>
        <v>45534</v>
      </c>
      <c r="B412" s="27">
        <f>IFERROR('Price Data'!B412/'Price Data'!B411-1,0)</f>
        <v>-7.4296876644371901E-3</v>
      </c>
      <c r="C412" s="27">
        <f>IFERROR('Price Data'!C412/'Price Data'!C411-1,0)</f>
        <v>-1.0069463873005891E-3</v>
      </c>
      <c r="D412" s="27">
        <f>IFERROR('Price Data'!D412/'Price Data'!D411-1,0)</f>
        <v>9.2978892793855739E-3</v>
      </c>
      <c r="E412" s="27">
        <f>IFERROR('Price Data'!E412/'Price Data'!E411-1,0)</f>
        <v>5.974231765118132E-3</v>
      </c>
      <c r="F412" s="27">
        <f>IFERROR('Price Data'!F412/'Price Data'!F411-1,0)</f>
        <v>5.3534435466922048E-3</v>
      </c>
      <c r="G412" s="27">
        <f>B412*Portfolio!$D$5+C412*Portfolio!$D$6+D412*Portfolio!$D$7+E412*Portfolio!$D$8+F412*Portfolio!$D$9</f>
        <v>1.4495706397142207E-3</v>
      </c>
      <c r="H412" s="27">
        <f>IFERROR('Price Data'!G412/'Price Data'!G411-1,0)</f>
        <v>3.3377600735777779E-3</v>
      </c>
    </row>
    <row r="413" spans="1:8" ht="15">
      <c r="A413" s="25">
        <f>'Price Data'!A413</f>
        <v>45537</v>
      </c>
      <c r="B413" s="27">
        <f>IFERROR('Price Data'!B413/'Price Data'!B412-1,0)</f>
        <v>4.3884807416840754E-3</v>
      </c>
      <c r="C413" s="27">
        <f>IFERROR('Price Data'!C413/'Price Data'!C412-1,0)</f>
        <v>-6.0787314699993766E-3</v>
      </c>
      <c r="D413" s="27">
        <f>IFERROR('Price Data'!D413/'Price Data'!D412-1,0)</f>
        <v>-7.1810138681113189E-3</v>
      </c>
      <c r="E413" s="27">
        <f>IFERROR('Price Data'!E413/'Price Data'!E412-1,0)</f>
        <v>6.1015743502901287E-4</v>
      </c>
      <c r="F413" s="27">
        <f>IFERROR('Price Data'!F413/'Price Data'!F412-1,0)</f>
        <v>1.0701252865780608E-2</v>
      </c>
      <c r="G413" s="27">
        <f>B413*Portfolio!$D$5+C413*Portfolio!$D$6+D413*Portfolio!$D$7+E413*Portfolio!$D$8+F413*Portfolio!$D$9</f>
        <v>-1.6205391057964608E-4</v>
      </c>
      <c r="H413" s="27">
        <f>IFERROR('Price Data'!G413/'Price Data'!G412-1,0)</f>
        <v>1.695950113232314E-3</v>
      </c>
    </row>
    <row r="414" spans="1:8" ht="15">
      <c r="A414" s="25">
        <f>'Price Data'!A414</f>
        <v>45538</v>
      </c>
      <c r="B414" s="27">
        <f>IFERROR('Price Data'!B414/'Price Data'!B413-1,0)</f>
        <v>-4.6990727394827791E-3</v>
      </c>
      <c r="C414" s="27">
        <f>IFERROR('Price Data'!C414/'Price Data'!C413-1,0)</f>
        <v>6.3924179649099688E-3</v>
      </c>
      <c r="D414" s="27">
        <f>IFERROR('Price Data'!D414/'Price Data'!D413-1,0)</f>
        <v>-1.9242864277918548E-3</v>
      </c>
      <c r="E414" s="27">
        <f>IFERROR('Price Data'!E414/'Price Data'!E413-1,0)</f>
        <v>1.4431520412857779E-2</v>
      </c>
      <c r="F414" s="27">
        <f>IFERROR('Price Data'!F414/'Price Data'!F413-1,0)</f>
        <v>-1.1835098321953619E-2</v>
      </c>
      <c r="G414" s="27">
        <f>B414*Portfolio!$D$5+C414*Portfolio!$D$6+D414*Portfolio!$D$7+E414*Portfolio!$D$8+F414*Portfolio!$D$9</f>
        <v>4.2794233443405071E-4</v>
      </c>
      <c r="H414" s="27">
        <f>IFERROR('Price Data'!G414/'Price Data'!G413-1,0)</f>
        <v>4.5508299894914117E-5</v>
      </c>
    </row>
    <row r="415" spans="1:8" ht="15">
      <c r="A415" s="25">
        <f>'Price Data'!A415</f>
        <v>45539</v>
      </c>
      <c r="B415" s="27">
        <f>IFERROR('Price Data'!B415/'Price Data'!B414-1,0)</f>
        <v>3.5947909186186955E-3</v>
      </c>
      <c r="C415" s="27">
        <f>IFERROR('Price Data'!C415/'Price Data'!C414-1,0)</f>
        <v>2.7178828534422106E-3</v>
      </c>
      <c r="D415" s="27">
        <f>IFERROR('Price Data'!D415/'Price Data'!D414-1,0)</f>
        <v>-7.3353986356216039E-3</v>
      </c>
      <c r="E415" s="27">
        <f>IFERROR('Price Data'!E415/'Price Data'!E414-1,0)</f>
        <v>-9.0967125263546889E-3</v>
      </c>
      <c r="F415" s="27">
        <f>IFERROR('Price Data'!F415/'Price Data'!F414-1,0)</f>
        <v>-9.6845385349197954E-3</v>
      </c>
      <c r="G415" s="27">
        <f>B415*Portfolio!$D$5+C415*Portfolio!$D$6+D415*Portfolio!$D$7+E415*Portfolio!$D$8+F415*Portfolio!$D$9</f>
        <v>-2.706098943300267E-3</v>
      </c>
      <c r="H415" s="27">
        <f>IFERROR('Price Data'!G415/'Price Data'!G414-1,0)</f>
        <v>-3.2100820170585243E-3</v>
      </c>
    </row>
    <row r="416" spans="1:8" ht="15">
      <c r="A416" s="25">
        <f>'Price Data'!A416</f>
        <v>45540</v>
      </c>
      <c r="B416" s="27">
        <f>IFERROR('Price Data'!B416/'Price Data'!B415-1,0)</f>
        <v>-1.4245144871990911E-2</v>
      </c>
      <c r="C416" s="27">
        <f>IFERROR('Price Data'!C416/'Price Data'!C415-1,0)</f>
        <v>2.2230919201513544E-3</v>
      </c>
      <c r="D416" s="27">
        <f>IFERROR('Price Data'!D416/'Price Data'!D415-1,0)</f>
        <v>-7.3668491322276264E-4</v>
      </c>
      <c r="E416" s="27">
        <f>IFERROR('Price Data'!E416/'Price Data'!E415-1,0)</f>
        <v>-3.23561870959721E-4</v>
      </c>
      <c r="F416" s="27">
        <f>IFERROR('Price Data'!F416/'Price Data'!F415-1,0)</f>
        <v>5.5658485466909546E-3</v>
      </c>
      <c r="G416" s="27">
        <f>B416*Portfolio!$D$5+C416*Portfolio!$D$6+D416*Portfolio!$D$7+E416*Portfolio!$D$8+F416*Portfolio!$D$9</f>
        <v>-2.3665072192447568E-3</v>
      </c>
      <c r="H416" s="27">
        <f>IFERROR('Price Data'!G416/'Price Data'!G415-1,0)</f>
        <v>-2.1270784221717465E-3</v>
      </c>
    </row>
    <row r="417" spans="1:8" ht="15">
      <c r="A417" s="25">
        <f>'Price Data'!A417</f>
        <v>45541</v>
      </c>
      <c r="B417" s="27">
        <f>IFERROR('Price Data'!B417/'Price Data'!B416-1,0)</f>
        <v>-1.8855023539193549E-2</v>
      </c>
      <c r="C417" s="27">
        <f>IFERROR('Price Data'!C417/'Price Data'!C416-1,0)</f>
        <v>-5.1657975985072158E-3</v>
      </c>
      <c r="D417" s="27">
        <f>IFERROR('Price Data'!D417/'Price Data'!D416-1,0)</f>
        <v>-4.2896557555051062E-3</v>
      </c>
      <c r="E417" s="27">
        <f>IFERROR('Price Data'!E417/'Price Data'!E416-1,0)</f>
        <v>-2.2492837931017973E-2</v>
      </c>
      <c r="F417" s="27">
        <f>IFERROR('Price Data'!F417/'Price Data'!F416-1,0)</f>
        <v>-1.6191242080502155E-2</v>
      </c>
      <c r="G417" s="27">
        <f>B417*Portfolio!$D$5+C417*Portfolio!$D$6+D417*Portfolio!$D$7+E417*Portfolio!$D$8+F417*Portfolio!$D$9</f>
        <v>-1.2665748437254232E-2</v>
      </c>
      <c r="H417" s="27">
        <f>IFERROR('Price Data'!G417/'Price Data'!G416-1,0)</f>
        <v>-1.1650350298901935E-2</v>
      </c>
    </row>
    <row r="418" spans="1:8" ht="15">
      <c r="A418" s="25">
        <f>'Price Data'!A418</f>
        <v>45544</v>
      </c>
      <c r="B418" s="27">
        <f>IFERROR('Price Data'!B418/'Price Data'!B417-1,0)</f>
        <v>-1.6214031264586426E-3</v>
      </c>
      <c r="C418" s="27">
        <f>IFERROR('Price Data'!C418/'Price Data'!C417-1,0)</f>
        <v>5.8340739730000646E-3</v>
      </c>
      <c r="D418" s="27">
        <f>IFERROR('Price Data'!D418/'Price Data'!D417-1,0)</f>
        <v>-1.6154484441016637E-3</v>
      </c>
      <c r="E418" s="27">
        <f>IFERROR('Price Data'!E418/'Price Data'!E417-1,0)</f>
        <v>2.222406174609648E-2</v>
      </c>
      <c r="F418" s="27">
        <f>IFERROR('Price Data'!F418/'Price Data'!F417-1,0)</f>
        <v>-3.7856952736884386E-3</v>
      </c>
      <c r="G418" s="27">
        <f>B418*Portfolio!$D$5+C418*Portfolio!$D$6+D418*Portfolio!$D$7+E418*Portfolio!$D$8+F418*Portfolio!$D$9</f>
        <v>3.4958329936762293E-3</v>
      </c>
      <c r="H418" s="27">
        <f>IFERROR('Price Data'!G418/'Price Data'!G417-1,0)</f>
        <v>3.3900486950126929E-3</v>
      </c>
    </row>
    <row r="419" spans="1:8" ht="15">
      <c r="A419" s="25">
        <f>'Price Data'!A419</f>
        <v>45545</v>
      </c>
      <c r="B419" s="27">
        <f>IFERROR('Price Data'!B419/'Price Data'!B418-1,0)</f>
        <v>-6.3243965871495611E-4</v>
      </c>
      <c r="C419" s="27">
        <f>IFERROR('Price Data'!C419/'Price Data'!C418-1,0)</f>
        <v>2.3383498153908278E-3</v>
      </c>
      <c r="D419" s="27">
        <f>IFERROR('Price Data'!D419/'Price Data'!D418-1,0)</f>
        <v>1.3102263912851519E-2</v>
      </c>
      <c r="E419" s="27">
        <f>IFERROR('Price Data'!E419/'Price Data'!E418-1,0)</f>
        <v>1.8624149659356437E-3</v>
      </c>
      <c r="F419" s="27">
        <f>IFERROR('Price Data'!F419/'Price Data'!F418-1,0)</f>
        <v>9.3157201191960137E-3</v>
      </c>
      <c r="G419" s="27">
        <f>B419*Portfolio!$D$5+C419*Portfolio!$D$6+D419*Portfolio!$D$7+E419*Portfolio!$D$8+F419*Portfolio!$D$9</f>
        <v>4.7236505845090204E-3</v>
      </c>
      <c r="H419" s="27">
        <f>IFERROR('Price Data'!G419/'Price Data'!G418-1,0)</f>
        <v>4.1986500501236534E-3</v>
      </c>
    </row>
    <row r="420" spans="1:8" ht="15">
      <c r="A420" s="25">
        <f>'Price Data'!A420</f>
        <v>45546</v>
      </c>
      <c r="B420" s="27">
        <f>IFERROR('Price Data'!B420/'Price Data'!B419-1,0)</f>
        <v>-6.8593037362743026E-3</v>
      </c>
      <c r="C420" s="27">
        <f>IFERROR('Price Data'!C420/'Price Data'!C419-1,0)</f>
        <v>-3.9083016087698708E-3</v>
      </c>
      <c r="D420" s="27">
        <f>IFERROR('Price Data'!D420/'Price Data'!D419-1,0)</f>
        <v>-6.3221039063861006E-3</v>
      </c>
      <c r="E420" s="27">
        <f>IFERROR('Price Data'!E420/'Price Data'!E419-1,0)</f>
        <v>-7.6781969529593486E-4</v>
      </c>
      <c r="F420" s="27">
        <f>IFERROR('Price Data'!F420/'Price Data'!F419-1,0)</f>
        <v>-1.1243206946177642E-3</v>
      </c>
      <c r="G420" s="27">
        <f>B420*Portfolio!$D$5+C420*Portfolio!$D$6+D420*Portfolio!$D$7+E420*Portfolio!$D$8+F420*Portfolio!$D$9</f>
        <v>-4.2401431760253185E-3</v>
      </c>
      <c r="H420" s="27">
        <f>IFERROR('Price Data'!G420/'Price Data'!G419-1,0)</f>
        <v>-4.897963449619458E-3</v>
      </c>
    </row>
    <row r="421" spans="1:8" ht="15">
      <c r="A421" s="25">
        <f>'Price Data'!A421</f>
        <v>45547</v>
      </c>
      <c r="B421" s="27">
        <f>IFERROR('Price Data'!B421/'Price Data'!B420-1,0)</f>
        <v>1.949710400793836E-2</v>
      </c>
      <c r="C421" s="27">
        <f>IFERROR('Price Data'!C421/'Price Data'!C420-1,0)</f>
        <v>1.3808620248827896E-2</v>
      </c>
      <c r="D421" s="27">
        <f>IFERROR('Price Data'!D421/'Price Data'!D420-1,0)</f>
        <v>8.5614801888942438E-3</v>
      </c>
      <c r="E421" s="27">
        <f>IFERROR('Price Data'!E421/'Price Data'!E420-1,0)</f>
        <v>1.2779599443935252E-2</v>
      </c>
      <c r="F421" s="27">
        <f>IFERROR('Price Data'!F421/'Price Data'!F420-1,0)</f>
        <v>2.1097806888130677E-2</v>
      </c>
      <c r="G421" s="27">
        <f>B421*Portfolio!$D$5+C421*Portfolio!$D$6+D421*Portfolio!$D$7+E421*Portfolio!$D$8+F421*Portfolio!$D$9</f>
        <v>1.5120338051780301E-2</v>
      </c>
      <c r="H421" s="27">
        <f>IFERROR('Price Data'!G421/'Price Data'!G420-1,0)</f>
        <v>1.887963282727112E-2</v>
      </c>
    </row>
    <row r="422" spans="1:8" ht="15">
      <c r="A422" s="25">
        <f>'Price Data'!A422</f>
        <v>45548</v>
      </c>
      <c r="B422" s="27">
        <f>IFERROR('Price Data'!B422/'Price Data'!B421-1,0)</f>
        <v>-4.8485996188615266E-3</v>
      </c>
      <c r="C422" s="27">
        <f>IFERROR('Price Data'!C422/'Price Data'!C421-1,0)</f>
        <v>-3.8999267329942189E-4</v>
      </c>
      <c r="D422" s="27">
        <f>IFERROR('Price Data'!D422/'Price Data'!D421-1,0)</f>
        <v>1.0844573987460748E-3</v>
      </c>
      <c r="E422" s="27">
        <f>IFERROR('Price Data'!E422/'Price Data'!E421-1,0)</f>
        <v>-1.437655754636169E-3</v>
      </c>
      <c r="F422" s="27">
        <f>IFERROR('Price Data'!F422/'Price Data'!F421-1,0)</f>
        <v>-3.2556538163430737E-3</v>
      </c>
      <c r="G422" s="27">
        <f>B422*Portfolio!$D$5+C422*Portfolio!$D$6+D422*Portfolio!$D$7+E422*Portfolio!$D$8+F422*Portfolio!$D$9</f>
        <v>-1.7967530289379084E-3</v>
      </c>
      <c r="H422" s="27">
        <f>IFERROR('Price Data'!G422/'Price Data'!G421-1,0)</f>
        <v>-1.2761636040355961E-3</v>
      </c>
    </row>
    <row r="423" spans="1:8" ht="15">
      <c r="A423" s="25">
        <f>'Price Data'!A423</f>
        <v>45551</v>
      </c>
      <c r="B423" s="27">
        <f>IFERROR('Price Data'!B423/'Price Data'!B422-1,0)</f>
        <v>-8.6585341994538378E-4</v>
      </c>
      <c r="C423" s="27">
        <f>IFERROR('Price Data'!C423/'Price Data'!C422-1,0)</f>
        <v>3.0012011598956612E-3</v>
      </c>
      <c r="D423" s="27">
        <f>IFERROR('Price Data'!D423/'Price Data'!D422-1,0)</f>
        <v>-2.067286494333076E-3</v>
      </c>
      <c r="E423" s="27">
        <f>IFERROR('Price Data'!E423/'Price Data'!E422-1,0)</f>
        <v>9.9972088960755823E-3</v>
      </c>
      <c r="F423" s="27">
        <f>IFERROR('Price Data'!F423/'Price Data'!F422-1,0)</f>
        <v>3.1634167225220722E-3</v>
      </c>
      <c r="G423" s="27">
        <f>B423*Portfolio!$D$5+C423*Portfolio!$D$6+D423*Portfolio!$D$7+E423*Portfolio!$D$8+F423*Portfolio!$D$9</f>
        <v>2.0944734789106021E-3</v>
      </c>
      <c r="H423" s="27">
        <f>IFERROR('Price Data'!G423/'Price Data'!G422-1,0)</f>
        <v>1.0746751326089488E-3</v>
      </c>
    </row>
    <row r="424" spans="1:8" ht="15">
      <c r="A424" s="25">
        <f>'Price Data'!A424</f>
        <v>45552</v>
      </c>
      <c r="B424" s="27">
        <f>IFERROR('Price Data'!B424/'Price Data'!B423-1,0)</f>
        <v>6.4576876273325645E-4</v>
      </c>
      <c r="C424" s="27">
        <f>IFERROR('Price Data'!C424/'Price Data'!C423-1,0)</f>
        <v>-1.2866060650673639E-3</v>
      </c>
      <c r="D424" s="27">
        <f>IFERROR('Price Data'!D424/'Price Data'!D423-1,0)</f>
        <v>-1.6840546281795543E-3</v>
      </c>
      <c r="E424" s="27">
        <f>IFERROR('Price Data'!E424/'Price Data'!E423-1,0)</f>
        <v>4.1572939473426551E-3</v>
      </c>
      <c r="F424" s="27">
        <f>IFERROR('Price Data'!F424/'Price Data'!F423-1,0)</f>
        <v>1.1793524688392676E-3</v>
      </c>
      <c r="G424" s="27">
        <f>B424*Portfolio!$D$5+C424*Portfolio!$D$6+D424*Portfolio!$D$7+E424*Portfolio!$D$8+F424*Portfolio!$D$9</f>
        <v>3.0347671120785059E-4</v>
      </c>
      <c r="H424" s="27">
        <f>IFERROR('Price Data'!G424/'Price Data'!G423-1,0)</f>
        <v>1.3709866056039743E-3</v>
      </c>
    </row>
    <row r="425" spans="1:8" ht="15">
      <c r="A425" s="25">
        <f>'Price Data'!A425</f>
        <v>45553</v>
      </c>
      <c r="B425" s="27">
        <f>IFERROR('Price Data'!B425/'Price Data'!B424-1,0)</f>
        <v>-6.0110480050076243E-3</v>
      </c>
      <c r="C425" s="27">
        <f>IFERROR('Price Data'!C425/'Price Data'!C424-1,0)</f>
        <v>1.5580121039799222E-2</v>
      </c>
      <c r="D425" s="27">
        <f>IFERROR('Price Data'!D425/'Price Data'!D424-1,0)</f>
        <v>-3.5399862435827822E-2</v>
      </c>
      <c r="E425" s="27">
        <f>IFERROR('Price Data'!E425/'Price Data'!E424-1,0)</f>
        <v>1.5968792282115674E-2</v>
      </c>
      <c r="F425" s="27">
        <f>IFERROR('Price Data'!F425/'Price Data'!F424-1,0)</f>
        <v>-3.093398896488353E-2</v>
      </c>
      <c r="G425" s="27">
        <f>B425*Portfolio!$D$5+C425*Portfolio!$D$6+D425*Portfolio!$D$7+E425*Portfolio!$D$8+F425*Portfolio!$D$9</f>
        <v>-6.9324837308828444E-3</v>
      </c>
      <c r="H425" s="27">
        <f>IFERROR('Price Data'!G425/'Price Data'!G424-1,0)</f>
        <v>-1.6129951842196455E-3</v>
      </c>
    </row>
    <row r="426" spans="1:8" ht="15">
      <c r="A426" s="25">
        <f>'Price Data'!A426</f>
        <v>45554</v>
      </c>
      <c r="B426" s="27">
        <f>IFERROR('Price Data'!B426/'Price Data'!B425-1,0)</f>
        <v>4.2536826716885745E-3</v>
      </c>
      <c r="C426" s="27">
        <f>IFERROR('Price Data'!C426/'Price Data'!C425-1,0)</f>
        <v>8.0834790950889968E-3</v>
      </c>
      <c r="D426" s="27">
        <f>IFERROR('Price Data'!D426/'Price Data'!D425-1,0)</f>
        <v>-1.1504503218405793E-2</v>
      </c>
      <c r="E426" s="27">
        <f>IFERROR('Price Data'!E426/'Price Data'!E425-1,0)</f>
        <v>2.8330954279194298E-3</v>
      </c>
      <c r="F426" s="27">
        <f>IFERROR('Price Data'!F426/'Price Data'!F425-1,0)</f>
        <v>1.0835149314973869E-3</v>
      </c>
      <c r="G426" s="27">
        <f>B426*Portfolio!$D$5+C426*Portfolio!$D$6+D426*Portfolio!$D$7+E426*Portfolio!$D$8+F426*Portfolio!$D$9</f>
        <v>1.3708813519257568E-3</v>
      </c>
      <c r="H426" s="27">
        <f>IFERROR('Price Data'!G426/'Price Data'!G425-1,0)</f>
        <v>1.5072376499098983E-3</v>
      </c>
    </row>
    <row r="427" spans="1:8" ht="15">
      <c r="A427" s="25">
        <f>'Price Data'!A427</f>
        <v>45555</v>
      </c>
      <c r="B427" s="27">
        <f>IFERROR('Price Data'!B427/'Price Data'!B426-1,0)</f>
        <v>1.1056847089535138E-2</v>
      </c>
      <c r="C427" s="27">
        <f>IFERROR('Price Data'!C427/'Price Data'!C426-1,0)</f>
        <v>1.9139563602785792E-2</v>
      </c>
      <c r="D427" s="27">
        <f>IFERROR('Price Data'!D427/'Price Data'!D426-1,0)</f>
        <v>-2.6186332858548766E-3</v>
      </c>
      <c r="E427" s="27">
        <f>IFERROR('Price Data'!E427/'Price Data'!E426-1,0)</f>
        <v>3.5951938404013672E-2</v>
      </c>
      <c r="F427" s="27">
        <f>IFERROR('Price Data'!F427/'Price Data'!F426-1,0)</f>
        <v>6.097576025164031E-3</v>
      </c>
      <c r="G427" s="27">
        <f>B427*Portfolio!$D$5+C427*Portfolio!$D$6+D427*Portfolio!$D$7+E427*Portfolio!$D$8+F427*Portfolio!$D$9</f>
        <v>1.3332803180285912E-2</v>
      </c>
      <c r="H427" s="27">
        <f>IFERROR('Price Data'!G427/'Price Data'!G426-1,0)</f>
        <v>1.4760441377741573E-2</v>
      </c>
    </row>
    <row r="428" spans="1:8" ht="15">
      <c r="A428" s="25">
        <f>'Price Data'!A428</f>
        <v>45558</v>
      </c>
      <c r="B428" s="27">
        <f>IFERROR('Price Data'!B428/'Price Data'!B427-1,0)</f>
        <v>5.0137237720591088E-3</v>
      </c>
      <c r="C428" s="27">
        <f>IFERROR('Price Data'!C428/'Price Data'!C427-1,0)</f>
        <v>1.0682288151857122E-2</v>
      </c>
      <c r="D428" s="27">
        <f>IFERROR('Price Data'!D428/'Price Data'!D427-1,0)</f>
        <v>-3.8273773581453119E-3</v>
      </c>
      <c r="E428" s="27">
        <f>IFERROR('Price Data'!E428/'Price Data'!E427-1,0)</f>
        <v>-1.2365005469354484E-2</v>
      </c>
      <c r="F428" s="27">
        <f>IFERROR('Price Data'!F428/'Price Data'!F427-1,0)</f>
        <v>-4.8800335866024946E-3</v>
      </c>
      <c r="G428" s="27">
        <f>B428*Portfolio!$D$5+C428*Portfolio!$D$6+D428*Portfolio!$D$7+E428*Portfolio!$D$8+F428*Portfolio!$D$9</f>
        <v>5.7177165095644857E-4</v>
      </c>
      <c r="H428" s="27">
        <f>IFERROR('Price Data'!G428/'Price Data'!G427-1,0)</f>
        <v>5.7423850996662917E-3</v>
      </c>
    </row>
    <row r="429" spans="1:8" ht="15">
      <c r="A429" s="25">
        <f>'Price Data'!A429</f>
        <v>45559</v>
      </c>
      <c r="B429" s="27">
        <f>IFERROR('Price Data'!B429/'Price Data'!B428-1,0)</f>
        <v>-2.6785427929117978E-3</v>
      </c>
      <c r="C429" s="27">
        <f>IFERROR('Price Data'!C429/'Price Data'!C428-1,0)</f>
        <v>4.6880540880720467E-3</v>
      </c>
      <c r="D429" s="27">
        <f>IFERROR('Price Data'!D429/'Price Data'!D428-1,0)</f>
        <v>6.5605191204376467E-4</v>
      </c>
      <c r="E429" s="27">
        <f>IFERROR('Price Data'!E429/'Price Data'!E428-1,0)</f>
        <v>-2.4964435891874359E-3</v>
      </c>
      <c r="F429" s="27">
        <f>IFERROR('Price Data'!F429/'Price Data'!F428-1,0)</f>
        <v>1.133717516298649E-3</v>
      </c>
      <c r="G429" s="27">
        <f>B429*Portfolio!$D$5+C429*Portfolio!$D$6+D429*Portfolio!$D$7+E429*Portfolio!$D$8+F429*Portfolio!$D$9</f>
        <v>4.2917929526549718E-4</v>
      </c>
      <c r="H429" s="27">
        <f>IFERROR('Price Data'!G429/'Price Data'!G428-1,0)</f>
        <v>5.2030021699067674E-5</v>
      </c>
    </row>
    <row r="430" spans="1:8" ht="15">
      <c r="A430" s="25">
        <f>'Price Data'!A430</f>
        <v>45560</v>
      </c>
      <c r="B430" s="27">
        <f>IFERROR('Price Data'!B430/'Price Data'!B429-1,0)</f>
        <v>3.0717162285438526E-3</v>
      </c>
      <c r="C430" s="27">
        <f>IFERROR('Price Data'!C430/'Price Data'!C429-1,0)</f>
        <v>6.2498114977012076E-3</v>
      </c>
      <c r="D430" s="27">
        <f>IFERROR('Price Data'!D430/'Price Data'!D429-1,0)</f>
        <v>8.0767220060806721E-4</v>
      </c>
      <c r="E430" s="27">
        <f>IFERROR('Price Data'!E430/'Price Data'!E429-1,0)</f>
        <v>3.9815248440657758E-3</v>
      </c>
      <c r="F430" s="27">
        <f>IFERROR('Price Data'!F430/'Price Data'!F429-1,0)</f>
        <v>-1.7381173981303455E-3</v>
      </c>
      <c r="G430" s="27">
        <f>B430*Portfolio!$D$5+C430*Portfolio!$D$6+D430*Portfolio!$D$7+E430*Portfolio!$D$8+F430*Portfolio!$D$9</f>
        <v>2.8284274885731929E-3</v>
      </c>
      <c r="H430" s="27">
        <f>IFERROR('Price Data'!G430/'Price Data'!G429-1,0)</f>
        <v>2.4575565157058943E-3</v>
      </c>
    </row>
    <row r="431" spans="1:8" ht="15">
      <c r="A431" s="25">
        <f>'Price Data'!A431</f>
        <v>45561</v>
      </c>
      <c r="B431" s="27">
        <f>IFERROR('Price Data'!B431/'Price Data'!B430-1,0)</f>
        <v>2.67751209611089E-3</v>
      </c>
      <c r="C431" s="27">
        <f>IFERROR('Price Data'!C431/'Price Data'!C430-1,0)</f>
        <v>2.4449943429418752E-3</v>
      </c>
      <c r="D431" s="27">
        <f>IFERROR('Price Data'!D431/'Price Data'!D430-1,0)</f>
        <v>4.15230333402139E-3</v>
      </c>
      <c r="E431" s="27">
        <f>IFERROR('Price Data'!E431/'Price Data'!E430-1,0)</f>
        <v>3.928009627261364E-3</v>
      </c>
      <c r="F431" s="27">
        <f>IFERROR('Price Data'!F431/'Price Data'!F430-1,0)</f>
        <v>2.6117498251045923E-3</v>
      </c>
      <c r="G431" s="27">
        <f>B431*Portfolio!$D$5+C431*Portfolio!$D$6+D431*Portfolio!$D$7+E431*Portfolio!$D$8+F431*Portfolio!$D$9</f>
        <v>3.0920511944223625E-3</v>
      </c>
      <c r="H431" s="27">
        <f>IFERROR('Price Data'!G431/'Price Data'!G430-1,0)</f>
        <v>8.1487142414540248E-3</v>
      </c>
    </row>
    <row r="432" spans="1:8" ht="15">
      <c r="A432" s="25">
        <f>'Price Data'!A432</f>
        <v>45562</v>
      </c>
      <c r="B432" s="27">
        <f>IFERROR('Price Data'!B432/'Price Data'!B431-1,0)</f>
        <v>1.8842459481807738E-2</v>
      </c>
      <c r="C432" s="27">
        <f>IFERROR('Price Data'!C432/'Price Data'!C431-1,0)</f>
        <v>-1.7269752152090256E-2</v>
      </c>
      <c r="D432" s="27">
        <f>IFERROR('Price Data'!D432/'Price Data'!D431-1,0)</f>
        <v>3.7742061633860846E-3</v>
      </c>
      <c r="E432" s="27">
        <f>IFERROR('Price Data'!E432/'Price Data'!E431-1,0)</f>
        <v>-1.6891838109063362E-2</v>
      </c>
      <c r="F432" s="27">
        <f>IFERROR('Price Data'!F432/'Price Data'!F431-1,0)</f>
        <v>3.4205254901966686E-3</v>
      </c>
      <c r="G432" s="27">
        <f>B432*Portfolio!$D$5+C432*Portfolio!$D$6+D432*Portfolio!$D$7+E432*Portfolio!$D$8+F432*Portfolio!$D$9</f>
        <v>-8.7267882772341639E-4</v>
      </c>
      <c r="H432" s="27">
        <f>IFERROR('Price Data'!G432/'Price Data'!G431-1,0)</f>
        <v>-1.4152231703233875E-3</v>
      </c>
    </row>
    <row r="433" spans="1:8" ht="15">
      <c r="A433" s="25">
        <f>'Price Data'!A433</f>
        <v>45565</v>
      </c>
      <c r="B433" s="27">
        <f>IFERROR('Price Data'!B433/'Price Data'!B432-1,0)</f>
        <v>-3.2499608725186313E-2</v>
      </c>
      <c r="C433" s="27">
        <f>IFERROR('Price Data'!C433/'Price Data'!C432-1,0)</f>
        <v>-1.1753666975321542E-2</v>
      </c>
      <c r="D433" s="27">
        <f>IFERROR('Price Data'!D433/'Price Data'!D432-1,0)</f>
        <v>-9.33019215266917E-3</v>
      </c>
      <c r="E433" s="27">
        <f>IFERROR('Price Data'!E433/'Price Data'!E432-1,0)</f>
        <v>-2.5715541632707173E-2</v>
      </c>
      <c r="F433" s="27">
        <f>IFERROR('Price Data'!F433/'Price Data'!F432-1,0)</f>
        <v>-1.633661835596123E-2</v>
      </c>
      <c r="G433" s="27">
        <f>B433*Portfolio!$D$5+C433*Portfolio!$D$6+D433*Portfolio!$D$7+E433*Portfolio!$D$8+F433*Portfolio!$D$9</f>
        <v>-1.9237181353961061E-2</v>
      </c>
      <c r="H433" s="27">
        <f>IFERROR('Price Data'!G433/'Price Data'!G432-1,0)</f>
        <v>-1.4060900852023384E-2</v>
      </c>
    </row>
    <row r="434" spans="1:8" ht="15">
      <c r="A434" s="25">
        <f>'Price Data'!A434</f>
        <v>45566</v>
      </c>
      <c r="B434" s="27">
        <f>IFERROR('Price Data'!B434/'Price Data'!B433-1,0)</f>
        <v>-7.9576169675552588E-3</v>
      </c>
      <c r="C434" s="27">
        <f>IFERROR('Price Data'!C434/'Price Data'!C433-1,0)</f>
        <v>-3.3775924089126663E-3</v>
      </c>
      <c r="D434" s="27">
        <f>IFERROR('Price Data'!D434/'Price Data'!D433-1,0)</f>
        <v>4.5450345809463499E-3</v>
      </c>
      <c r="E434" s="27">
        <f>IFERROR('Price Data'!E434/'Price Data'!E433-1,0)</f>
        <v>1.0997658999323257E-3</v>
      </c>
      <c r="F434" s="27">
        <f>IFERROR('Price Data'!F434/'Price Data'!F433-1,0)</f>
        <v>1.5328330494766451E-2</v>
      </c>
      <c r="G434" s="27">
        <f>B434*Portfolio!$D$5+C434*Portfolio!$D$6+D434*Portfolio!$D$7+E434*Portfolio!$D$8+F434*Portfolio!$D$9</f>
        <v>5.39419031277105E-4</v>
      </c>
      <c r="H434" s="27">
        <f>IFERROR('Price Data'!G434/'Price Data'!G433-1,0)</f>
        <v>-5.4044012347942427E-4</v>
      </c>
    </row>
    <row r="435" spans="1:8" ht="15">
      <c r="A435" s="25">
        <f>'Price Data'!A435</f>
        <v>45568</v>
      </c>
      <c r="B435" s="27">
        <f>IFERROR('Price Data'!B435/'Price Data'!B434-1,0)</f>
        <v>-3.9492723564719889E-2</v>
      </c>
      <c r="C435" s="27">
        <f>IFERROR('Price Data'!C435/'Price Data'!C434-1,0)</f>
        <v>-2.5605329205130589E-2</v>
      </c>
      <c r="D435" s="27">
        <f>IFERROR('Price Data'!D435/'Price Data'!D434-1,0)</f>
        <v>-1.2861877049495596E-2</v>
      </c>
      <c r="E435" s="27">
        <f>IFERROR('Price Data'!E435/'Price Data'!E434-1,0)</f>
        <v>-1.4163585972013171E-2</v>
      </c>
      <c r="F435" s="27">
        <f>IFERROR('Price Data'!F435/'Price Data'!F434-1,0)</f>
        <v>-5.7499541227065132E-3</v>
      </c>
      <c r="G435" s="27">
        <f>B435*Portfolio!$D$5+C435*Portfolio!$D$6+D435*Portfolio!$D$7+E435*Portfolio!$D$8+F435*Portfolio!$D$9</f>
        <v>-2.1833919616569695E-2</v>
      </c>
      <c r="H435" s="27">
        <f>IFERROR('Price Data'!G435/'Price Data'!G434-1,0)</f>
        <v>-2.1196375260987388E-2</v>
      </c>
    </row>
    <row r="436" spans="1:8" ht="15">
      <c r="A436" s="25">
        <f>'Price Data'!A436</f>
        <v>45569</v>
      </c>
      <c r="B436" s="27">
        <f>IFERROR('Price Data'!B436/'Price Data'!B435-1,0)</f>
        <v>-1.453472549048096E-2</v>
      </c>
      <c r="C436" s="27">
        <f>IFERROR('Price Data'!C436/'Price Data'!C435-1,0)</f>
        <v>-1.4476767574050475E-2</v>
      </c>
      <c r="D436" s="27">
        <f>IFERROR('Price Data'!D436/'Price Data'!D435-1,0)</f>
        <v>4.6069467939107156E-3</v>
      </c>
      <c r="E436" s="27">
        <f>IFERROR('Price Data'!E436/'Price Data'!E435-1,0)</f>
        <v>-1.321288413352395E-2</v>
      </c>
      <c r="F436" s="27">
        <f>IFERROR('Price Data'!F436/'Price Data'!F435-1,0)</f>
        <v>1.3071716557958135E-2</v>
      </c>
      <c r="G436" s="27">
        <f>B436*Portfolio!$D$5+C436*Portfolio!$D$6+D436*Portfolio!$D$7+E436*Portfolio!$D$8+F436*Portfolio!$D$9</f>
        <v>-6.3526590436855873E-3</v>
      </c>
      <c r="H436" s="27">
        <f>IFERROR('Price Data'!G436/'Price Data'!G435-1,0)</f>
        <v>-9.3266958801446753E-3</v>
      </c>
    </row>
    <row r="437" spans="1:8" ht="15">
      <c r="A437" s="25">
        <f>'Price Data'!A437</f>
        <v>45572</v>
      </c>
      <c r="B437" s="27">
        <f>IFERROR('Price Data'!B437/'Price Data'!B436-1,0)</f>
        <v>-1.1395360443265057E-2</v>
      </c>
      <c r="C437" s="27">
        <f>IFERROR('Price Data'!C437/'Price Data'!C436-1,0)</f>
        <v>-2.4040072325749895E-2</v>
      </c>
      <c r="D437" s="27">
        <f>IFERROR('Price Data'!D437/'Price Data'!D436-1,0)</f>
        <v>4.8445112379729149E-3</v>
      </c>
      <c r="E437" s="27">
        <f>IFERROR('Price Data'!E437/'Price Data'!E436-1,0)</f>
        <v>-4.7186683980490196E-3</v>
      </c>
      <c r="F437" s="27">
        <f>IFERROR('Price Data'!F437/'Price Data'!F436-1,0)</f>
        <v>8.4196874529041121E-3</v>
      </c>
      <c r="G437" s="27">
        <f>B437*Portfolio!$D$5+C437*Portfolio!$D$6+D437*Portfolio!$D$7+E437*Portfolio!$D$8+F437*Portfolio!$D$9</f>
        <v>-7.3348030864308911E-3</v>
      </c>
      <c r="H437" s="27">
        <f>IFERROR('Price Data'!G437/'Price Data'!G436-1,0)</f>
        <v>-8.7488751686026767E-3</v>
      </c>
    </row>
    <row r="438" spans="1:8" ht="15">
      <c r="A438" s="25">
        <f>'Price Data'!A438</f>
        <v>45573</v>
      </c>
      <c r="B438" s="27">
        <f>IFERROR('Price Data'!B438/'Price Data'!B437-1,0)</f>
        <v>1.942397970975418E-2</v>
      </c>
      <c r="C438" s="27">
        <f>IFERROR('Price Data'!C438/'Price Data'!C437-1,0)</f>
        <v>2.0552553653508721E-2</v>
      </c>
      <c r="D438" s="27">
        <f>IFERROR('Price Data'!D438/'Price Data'!D437-1,0)</f>
        <v>-4.5871374454300451E-3</v>
      </c>
      <c r="E438" s="27">
        <f>IFERROR('Price Data'!E438/'Price Data'!E437-1,0)</f>
        <v>2.1881798807681374E-3</v>
      </c>
      <c r="F438" s="27">
        <f>IFERROR('Price Data'!F438/'Price Data'!F437-1,0)</f>
        <v>7.3668939862276961E-3</v>
      </c>
      <c r="G438" s="27">
        <f>B438*Portfolio!$D$5+C438*Portfolio!$D$6+D438*Portfolio!$D$7+E438*Portfolio!$D$8+F438*Portfolio!$D$9</f>
        <v>1.050996693177909E-2</v>
      </c>
      <c r="H438" s="27">
        <f>IFERROR('Price Data'!G438/'Price Data'!G437-1,0)</f>
        <v>8.7676473034692393E-3</v>
      </c>
    </row>
    <row r="439" spans="1:8" ht="15">
      <c r="A439" s="25">
        <f>'Price Data'!A439</f>
        <v>45574</v>
      </c>
      <c r="B439" s="27">
        <f>IFERROR('Price Data'!B439/'Price Data'!B438-1,0)</f>
        <v>-1.6280789607546198E-2</v>
      </c>
      <c r="C439" s="27">
        <f>IFERROR('Price Data'!C439/'Price Data'!C438-1,0)</f>
        <v>-1.084149934540124E-2</v>
      </c>
      <c r="D439" s="27">
        <f>IFERROR('Price Data'!D439/'Price Data'!D438-1,0)</f>
        <v>-7.0356769654611462E-5</v>
      </c>
      <c r="E439" s="27">
        <f>IFERROR('Price Data'!E439/'Price Data'!E438-1,0)</f>
        <v>6.1054487071083852E-3</v>
      </c>
      <c r="F439" s="27">
        <f>IFERROR('Price Data'!F439/'Price Data'!F438-1,0)</f>
        <v>2.1554240629060306E-3</v>
      </c>
      <c r="G439" s="27">
        <f>B439*Portfolio!$D$5+C439*Portfolio!$D$6+D439*Portfolio!$D$7+E439*Portfolio!$D$8+F439*Portfolio!$D$9</f>
        <v>-5.5555126766656188E-3</v>
      </c>
      <c r="H439" s="27">
        <f>IFERROR('Price Data'!G439/'Price Data'!G438-1,0)</f>
        <v>-1.2473907279866303E-3</v>
      </c>
    </row>
    <row r="440" spans="1:8" ht="15">
      <c r="A440" s="25">
        <f>'Price Data'!A440</f>
        <v>45575</v>
      </c>
      <c r="B440" s="27">
        <f>IFERROR('Price Data'!B440/'Price Data'!B439-1,0)</f>
        <v>-2.5826049780599547E-3</v>
      </c>
      <c r="C440" s="27">
        <f>IFERROR('Price Data'!C440/'Price Data'!C439-1,0)</f>
        <v>1.791004363846227E-2</v>
      </c>
      <c r="D440" s="27">
        <f>IFERROR('Price Data'!D440/'Price Data'!D439-1,0)</f>
        <v>-6.0077233202644464E-3</v>
      </c>
      <c r="E440" s="27">
        <f>IFERROR('Price Data'!E440/'Price Data'!E439-1,0)</f>
        <v>-5.2244227724718151E-4</v>
      </c>
      <c r="F440" s="27">
        <f>IFERROR('Price Data'!F440/'Price Data'!F439-1,0)</f>
        <v>-1.7283316617690225E-2</v>
      </c>
      <c r="G440" s="27">
        <f>B440*Portfolio!$D$5+C440*Portfolio!$D$6+D440*Portfolio!$D$7+E440*Portfolio!$D$8+F440*Portfolio!$D$9</f>
        <v>-4.0548833192921834E-5</v>
      </c>
      <c r="H440" s="27">
        <f>IFERROR('Price Data'!G440/'Price Data'!G439-1,0)</f>
        <v>6.6047688495074475E-4</v>
      </c>
    </row>
    <row r="441" spans="1:8" ht="15">
      <c r="A441" s="25">
        <f>'Price Data'!A441</f>
        <v>45576</v>
      </c>
      <c r="B441" s="27">
        <f>IFERROR('Price Data'!B441/'Price Data'!B440-1,0)</f>
        <v>7.658406340240731E-4</v>
      </c>
      <c r="C441" s="27">
        <f>IFERROR('Price Data'!C441/'Price Data'!C440-1,0)</f>
        <v>-6.8573970533664097E-3</v>
      </c>
      <c r="D441" s="27">
        <f>IFERROR('Price Data'!D441/'Price Data'!D440-1,0)</f>
        <v>-1.8498463922344777E-2</v>
      </c>
      <c r="E441" s="27">
        <f>IFERROR('Price Data'!E441/'Price Data'!E440-1,0)</f>
        <v>-1.6485714557049169E-2</v>
      </c>
      <c r="F441" s="27">
        <f>IFERROR('Price Data'!F441/'Price Data'!F440-1,0)</f>
        <v>8.3898363983256896E-3</v>
      </c>
      <c r="G441" s="27">
        <f>B441*Portfolio!$D$5+C441*Portfolio!$D$6+D441*Portfolio!$D$7+E441*Portfolio!$D$8+F441*Portfolio!$D$9</f>
        <v>-6.4369636131130625E-3</v>
      </c>
      <c r="H441" s="27">
        <f>IFERROR('Price Data'!G441/'Price Data'!G440-1,0)</f>
        <v>-1.3680536120755926E-3</v>
      </c>
    </row>
    <row r="442" spans="1:8" ht="15">
      <c r="A442" s="25">
        <f>'Price Data'!A442</f>
        <v>45579</v>
      </c>
      <c r="B442" s="27">
        <f>IFERROR('Price Data'!B442/'Price Data'!B441-1,0)</f>
        <v>3.097629900348231E-4</v>
      </c>
      <c r="C442" s="27">
        <f>IFERROR('Price Data'!C442/'Price Data'!C441-1,0)</f>
        <v>2.247116033503116E-2</v>
      </c>
      <c r="D442" s="27">
        <f>IFERROR('Price Data'!D442/'Price Data'!D441-1,0)</f>
        <v>-3.0245518554307127E-3</v>
      </c>
      <c r="E442" s="27">
        <f>IFERROR('Price Data'!E442/'Price Data'!E441-1,0)</f>
        <v>7.1545232587635343E-3</v>
      </c>
      <c r="F442" s="27">
        <f>IFERROR('Price Data'!F442/'Price Data'!F441-1,0)</f>
        <v>1.2299187505616205E-2</v>
      </c>
      <c r="G442" s="27">
        <f>B442*Portfolio!$D$5+C442*Portfolio!$D$6+D442*Portfolio!$D$7+E442*Portfolio!$D$8+F442*Portfolio!$D$9</f>
        <v>8.008377074837314E-3</v>
      </c>
      <c r="H442" s="27">
        <f>IFERROR('Price Data'!G442/'Price Data'!G441-1,0)</f>
        <v>6.5573457544287894E-3</v>
      </c>
    </row>
    <row r="443" spans="1:8" ht="15">
      <c r="A443" s="25">
        <f>'Price Data'!A443</f>
        <v>45580</v>
      </c>
      <c r="B443" s="27">
        <f>IFERROR('Price Data'!B443/'Price Data'!B442-1,0)</f>
        <v>-2.0764648005787145E-2</v>
      </c>
      <c r="C443" s="27">
        <f>IFERROR('Price Data'!C443/'Price Data'!C442-1,0)</f>
        <v>-2.3695317773917424E-3</v>
      </c>
      <c r="D443" s="27">
        <f>IFERROR('Price Data'!D443/'Price Data'!D442-1,0)</f>
        <v>-4.7986318974292397E-3</v>
      </c>
      <c r="E443" s="27">
        <f>IFERROR('Price Data'!E443/'Price Data'!E442-1,0)</f>
        <v>1.928148481114933E-2</v>
      </c>
      <c r="F443" s="27">
        <f>IFERROR('Price Data'!F443/'Price Data'!F442-1,0)</f>
        <v>2.041212470926812E-4</v>
      </c>
      <c r="G443" s="27">
        <f>B443*Portfolio!$D$5+C443*Portfolio!$D$6+D443*Portfolio!$D$7+E443*Portfolio!$D$8+F443*Portfolio!$D$9</f>
        <v>-3.8204304165442688E-3</v>
      </c>
      <c r="H443" s="27">
        <f>IFERROR('Price Data'!G443/'Price Data'!G442-1,0)</f>
        <v>-2.8096049048969007E-3</v>
      </c>
    </row>
    <row r="444" spans="1:8" ht="15">
      <c r="A444" s="25">
        <f>'Price Data'!A444</f>
        <v>45581</v>
      </c>
      <c r="B444" s="27">
        <f>IFERROR('Price Data'!B444/'Price Data'!B443-1,0)</f>
        <v>7.4774759176521322E-3</v>
      </c>
      <c r="C444" s="27">
        <f>IFERROR('Price Data'!C444/'Price Data'!C443-1,0)</f>
        <v>9.3225301960064844E-3</v>
      </c>
      <c r="D444" s="27">
        <f>IFERROR('Price Data'!D444/'Price Data'!D443-1,0)</f>
        <v>-5.3074193282165449E-3</v>
      </c>
      <c r="E444" s="27">
        <f>IFERROR('Price Data'!E444/'Price Data'!E443-1,0)</f>
        <v>-9.8366666166975758E-3</v>
      </c>
      <c r="F444" s="27">
        <f>IFERROR('Price Data'!F444/'Price Data'!F443-1,0)</f>
        <v>-2.0007157036096235E-2</v>
      </c>
      <c r="G444" s="27">
        <f>B444*Portfolio!$D$5+C444*Portfolio!$D$6+D444*Portfolio!$D$7+E444*Portfolio!$D$8+F444*Portfolio!$D$9</f>
        <v>-1.3380558851477265E-3</v>
      </c>
      <c r="H444" s="27">
        <f>IFERROR('Price Data'!G444/'Price Data'!G443-1,0)</f>
        <v>-3.4340754096676696E-3</v>
      </c>
    </row>
    <row r="445" spans="1:8" ht="15">
      <c r="A445" s="25">
        <f>'Price Data'!A445</f>
        <v>45582</v>
      </c>
      <c r="B445" s="27">
        <f>IFERROR('Price Data'!B445/'Price Data'!B444-1,0)</f>
        <v>1.7355593812362624E-3</v>
      </c>
      <c r="C445" s="27">
        <f>IFERROR('Price Data'!C445/'Price Data'!C444-1,0)</f>
        <v>-1.5678354199355926E-2</v>
      </c>
      <c r="D445" s="27">
        <f>IFERROR('Price Data'!D445/'Price Data'!D444-1,0)</f>
        <v>3.431024686030737E-3</v>
      </c>
      <c r="E445" s="27">
        <f>IFERROR('Price Data'!E445/'Price Data'!E444-1,0)</f>
        <v>-9.5724213571329875E-3</v>
      </c>
      <c r="F445" s="27">
        <f>IFERROR('Price Data'!F445/'Price Data'!F444-1,0)</f>
        <v>2.4998718330071279E-2</v>
      </c>
      <c r="G445" s="27">
        <f>B445*Portfolio!$D$5+C445*Portfolio!$D$6+D445*Portfolio!$D$7+E445*Portfolio!$D$8+F445*Portfolio!$D$9</f>
        <v>-4.8554922138302524E-4</v>
      </c>
      <c r="H445" s="27">
        <f>IFERROR('Price Data'!G445/'Price Data'!G444-1,0)</f>
        <v>-8.8682273228345432E-3</v>
      </c>
    </row>
    <row r="446" spans="1:8" ht="15">
      <c r="A446" s="25">
        <f>'Price Data'!A446</f>
        <v>45583</v>
      </c>
      <c r="B446" s="27">
        <f>IFERROR('Price Data'!B446/'Price Data'!B445-1,0)</f>
        <v>2.1195106263276475E-3</v>
      </c>
      <c r="C446" s="27">
        <f>IFERROR('Price Data'!C446/'Price Data'!C445-1,0)</f>
        <v>5.1997908537921855E-3</v>
      </c>
      <c r="D446" s="27">
        <f>IFERROR('Price Data'!D446/'Price Data'!D445-1,0)</f>
        <v>5.8672241439141626E-3</v>
      </c>
      <c r="E446" s="27">
        <f>IFERROR('Price Data'!E446/'Price Data'!E445-1,0)</f>
        <v>2.7005039079667892E-2</v>
      </c>
      <c r="F446" s="27">
        <f>IFERROR('Price Data'!F446/'Price Data'!F445-1,0)</f>
        <v>-4.496722998738234E-2</v>
      </c>
      <c r="G446" s="27">
        <f>B446*Portfolio!$D$5+C446*Portfolio!$D$6+D446*Portfolio!$D$7+E446*Portfolio!$D$8+F446*Portfolio!$D$9</f>
        <v>3.0894156265562356E-4</v>
      </c>
      <c r="H446" s="27">
        <f>IFERROR('Price Data'!G446/'Price Data'!G445-1,0)</f>
        <v>4.2101739412401251E-3</v>
      </c>
    </row>
    <row r="447" spans="1:8" ht="15">
      <c r="A447" s="25">
        <f>'Price Data'!A447</f>
        <v>45586</v>
      </c>
      <c r="B447" s="27">
        <f>IFERROR('Price Data'!B447/'Price Data'!B446-1,0)</f>
        <v>7.2831231469729918E-3</v>
      </c>
      <c r="C447" s="27">
        <f>IFERROR('Price Data'!C447/'Price Data'!C446-1,0)</f>
        <v>2.785612095248946E-2</v>
      </c>
      <c r="D447" s="27">
        <f>IFERROR('Price Data'!D447/'Price Data'!D446-1,0)</f>
        <v>-1.0477661579226472E-2</v>
      </c>
      <c r="E447" s="27">
        <f>IFERROR('Price Data'!E447/'Price Data'!E446-1,0)</f>
        <v>-4.3099510898765292E-3</v>
      </c>
      <c r="F447" s="27">
        <f>IFERROR('Price Data'!F447/'Price Data'!F446-1,0)</f>
        <v>-1.428496908322674E-2</v>
      </c>
      <c r="G447" s="27">
        <f>B447*Portfolio!$D$5+C447*Portfolio!$D$6+D447*Portfolio!$D$7+E447*Portfolio!$D$8+F447*Portfolio!$D$9</f>
        <v>3.900040683054828E-3</v>
      </c>
      <c r="H447" s="27">
        <f>IFERROR('Price Data'!G447/'Price Data'!G446-1,0)</f>
        <v>-2.93518237799828E-3</v>
      </c>
    </row>
    <row r="448" spans="1:8" ht="15">
      <c r="A448" s="25">
        <f>'Price Data'!A448</f>
        <v>45587</v>
      </c>
      <c r="B448" s="27">
        <f>IFERROR('Price Data'!B448/'Price Data'!B447-1,0)</f>
        <v>-1.8879541745163153E-2</v>
      </c>
      <c r="C448" s="27">
        <f>IFERROR('Price Data'!C448/'Price Data'!C447-1,0)</f>
        <v>-8.1852694105957191E-3</v>
      </c>
      <c r="D448" s="27">
        <f>IFERROR('Price Data'!D448/'Price Data'!D447-1,0)</f>
        <v>-1.5772644080189413E-2</v>
      </c>
      <c r="E448" s="27">
        <f>IFERROR('Price Data'!E448/'Price Data'!E447-1,0)</f>
        <v>6.7113733313284296E-3</v>
      </c>
      <c r="F448" s="27">
        <f>IFERROR('Price Data'!F448/'Price Data'!F447-1,0)</f>
        <v>-6.2074268890788264E-4</v>
      </c>
      <c r="G448" s="27">
        <f>B448*Portfolio!$D$5+C448*Portfolio!$D$6+D448*Portfolio!$D$7+E448*Portfolio!$D$8+F448*Portfolio!$D$9</f>
        <v>-9.0071370086145189E-3</v>
      </c>
      <c r="H448" s="27">
        <f>IFERROR('Price Data'!G448/'Price Data'!G447-1,0)</f>
        <v>-1.2469180337869368E-2</v>
      </c>
    </row>
    <row r="449" spans="1:8" ht="15">
      <c r="A449" s="25">
        <f>'Price Data'!A449</f>
        <v>45588</v>
      </c>
      <c r="B449" s="27">
        <f>IFERROR('Price Data'!B449/'Price Data'!B448-1,0)</f>
        <v>-3.5917690672500058E-3</v>
      </c>
      <c r="C449" s="27">
        <f>IFERROR('Price Data'!C449/'Price Data'!C448-1,0)</f>
        <v>1.2394011997394871E-2</v>
      </c>
      <c r="D449" s="27">
        <f>IFERROR('Price Data'!D449/'Price Data'!D448-1,0)</f>
        <v>1.2638569846214587E-2</v>
      </c>
      <c r="E449" s="27">
        <f>IFERROR('Price Data'!E449/'Price Data'!E448-1,0)</f>
        <v>-1.2544431186191973E-2</v>
      </c>
      <c r="F449" s="27">
        <f>IFERROR('Price Data'!F449/'Price Data'!F448-1,0)</f>
        <v>1.177366271740099E-2</v>
      </c>
      <c r="G449" s="27">
        <f>B449*Portfolio!$D$5+C449*Portfolio!$D$6+D449*Portfolio!$D$7+E449*Portfolio!$D$8+F449*Portfolio!$D$9</f>
        <v>4.612659431460487E-3</v>
      </c>
      <c r="H449" s="27">
        <f>IFERROR('Price Data'!G449/'Price Data'!G448-1,0)</f>
        <v>-1.4955647434917729E-3</v>
      </c>
    </row>
    <row r="450" spans="1:8" ht="15">
      <c r="A450" s="25">
        <f>'Price Data'!A450</f>
        <v>45589</v>
      </c>
      <c r="B450" s="27">
        <f>IFERROR('Price Data'!B450/'Price Data'!B449-1,0)</f>
        <v>9.5259882591913758E-4</v>
      </c>
      <c r="C450" s="27">
        <f>IFERROR('Price Data'!C450/'Price Data'!C449-1,0)</f>
        <v>7.9789110923405016E-3</v>
      </c>
      <c r="D450" s="27">
        <f>IFERROR('Price Data'!D450/'Price Data'!D449-1,0)</f>
        <v>-4.5129594908236426E-3</v>
      </c>
      <c r="E450" s="27">
        <f>IFERROR('Price Data'!E450/'Price Data'!E449-1,0)</f>
        <v>9.1885685126258387E-4</v>
      </c>
      <c r="F450" s="27">
        <f>IFERROR('Price Data'!F450/'Price Data'!F449-1,0)</f>
        <v>-5.3646270953701114E-3</v>
      </c>
      <c r="G450" s="27">
        <f>B450*Portfolio!$D$5+C450*Portfolio!$D$6+D450*Portfolio!$D$7+E450*Portfolio!$D$8+F450*Portfolio!$D$9</f>
        <v>6.6342004478405208E-4</v>
      </c>
      <c r="H450" s="27">
        <f>IFERROR('Price Data'!G450/'Price Data'!G449-1,0)</f>
        <v>-1.4773427748562273E-3</v>
      </c>
    </row>
    <row r="451" spans="1:8" ht="15">
      <c r="A451" s="25">
        <f>'Price Data'!A451</f>
        <v>45590</v>
      </c>
      <c r="B451" s="27">
        <f>IFERROR('Price Data'!B451/'Price Data'!B450-1,0)</f>
        <v>-8.9194038157197619E-3</v>
      </c>
      <c r="C451" s="27">
        <f>IFERROR('Price Data'!C451/'Price Data'!C450-1,0)</f>
        <v>-3.5721265873392971E-3</v>
      </c>
      <c r="D451" s="27">
        <f>IFERROR('Price Data'!D451/'Price Data'!D450-1,0)</f>
        <v>2.3840911509100948E-3</v>
      </c>
      <c r="E451" s="27">
        <f>IFERROR('Price Data'!E451/'Price Data'!E450-1,0)</f>
        <v>2.1552545240803855E-3</v>
      </c>
      <c r="F451" s="27">
        <f>IFERROR('Price Data'!F451/'Price Data'!F450-1,0)</f>
        <v>-6.9763856663085377E-4</v>
      </c>
      <c r="G451" s="27">
        <f>B451*Portfolio!$D$5+C451*Portfolio!$D$6+D451*Portfolio!$D$7+E451*Portfolio!$D$8+F451*Portfolio!$D$9</f>
        <v>-2.4274219769653159E-3</v>
      </c>
      <c r="H451" s="27">
        <f>IFERROR('Price Data'!G451/'Price Data'!G450-1,0)</f>
        <v>-8.9592205494931632E-3</v>
      </c>
    </row>
    <row r="452" spans="1:8" ht="15">
      <c r="A452" s="25">
        <f>'Price Data'!A452</f>
        <v>45593</v>
      </c>
      <c r="B452" s="27">
        <f>IFERROR('Price Data'!B452/'Price Data'!B451-1,0)</f>
        <v>4.8951232455207716E-3</v>
      </c>
      <c r="C452" s="27">
        <f>IFERROR('Price Data'!C452/'Price Data'!C451-1,0)</f>
        <v>-5.2770897750181733E-3</v>
      </c>
      <c r="D452" s="27">
        <f>IFERROR('Price Data'!D452/'Price Data'!D451-1,0)</f>
        <v>8.206888167703541E-3</v>
      </c>
      <c r="E452" s="27">
        <f>IFERROR('Price Data'!E452/'Price Data'!E451-1,0)</f>
        <v>2.9790130157104189E-2</v>
      </c>
      <c r="F452" s="27">
        <f>IFERROR('Price Data'!F452/'Price Data'!F451-1,0)</f>
        <v>1.7722347426079033E-3</v>
      </c>
      <c r="G452" s="27">
        <f>B452*Portfolio!$D$5+C452*Portfolio!$D$6+D452*Portfolio!$D$7+E452*Portfolio!$D$8+F452*Portfolio!$D$9</f>
        <v>6.2802407361231714E-3</v>
      </c>
      <c r="H452" s="27">
        <f>IFERROR('Price Data'!G452/'Price Data'!G451-1,0)</f>
        <v>6.5485676346082045E-3</v>
      </c>
    </row>
    <row r="453" spans="1:8" ht="15">
      <c r="A453" s="25">
        <f>'Price Data'!A453</f>
        <v>45594</v>
      </c>
      <c r="B453" s="27">
        <f>IFERROR('Price Data'!B453/'Price Data'!B452-1,0)</f>
        <v>4.2343170222607363E-3</v>
      </c>
      <c r="C453" s="27">
        <f>IFERROR('Price Data'!C453/'Price Data'!C452-1,0)</f>
        <v>1.0177652763783129E-2</v>
      </c>
      <c r="D453" s="27">
        <f>IFERROR('Price Data'!D453/'Price Data'!D452-1,0)</f>
        <v>-3.8133339417503187E-3</v>
      </c>
      <c r="E453" s="27">
        <f>IFERROR('Price Data'!E453/'Price Data'!E452-1,0)</f>
        <v>3.0165846934119056E-2</v>
      </c>
      <c r="F453" s="27">
        <f>IFERROR('Price Data'!F453/'Price Data'!F452-1,0)</f>
        <v>-2.7380627904652899E-3</v>
      </c>
      <c r="G453" s="27">
        <f>B453*Portfolio!$D$5+C453*Portfolio!$D$6+D453*Portfolio!$D$7+E453*Portfolio!$D$8+F453*Portfolio!$D$9</f>
        <v>6.9544932797089669E-3</v>
      </c>
      <c r="H453" s="27">
        <f>IFERROR('Price Data'!G453/'Price Data'!G452-1,0)</f>
        <v>5.2466588480091225E-3</v>
      </c>
    </row>
    <row r="454" spans="1:8" ht="15">
      <c r="A454" s="25">
        <f>'Price Data'!A454</f>
        <v>45595</v>
      </c>
      <c r="B454" s="27">
        <f>IFERROR('Price Data'!B454/'Price Data'!B453-1,0)</f>
        <v>2.9105164135998507E-3</v>
      </c>
      <c r="C454" s="27">
        <f>IFERROR('Price Data'!C454/'Price Data'!C453-1,0)</f>
        <v>-9.8467454459906234E-3</v>
      </c>
      <c r="D454" s="27">
        <f>IFERROR('Price Data'!D454/'Price Data'!D453-1,0)</f>
        <v>2.30654681460285E-3</v>
      </c>
      <c r="E454" s="27">
        <f>IFERROR('Price Data'!E454/'Price Data'!E453-1,0)</f>
        <v>-1.4791391832232326E-2</v>
      </c>
      <c r="F454" s="27">
        <f>IFERROR('Price Data'!F454/'Price Data'!F453-1,0)</f>
        <v>-2.0225172634587119E-2</v>
      </c>
      <c r="G454" s="27">
        <f>B454*Portfolio!$D$5+C454*Portfolio!$D$6+D454*Portfolio!$D$7+E454*Portfolio!$D$8+F454*Portfolio!$D$9</f>
        <v>-6.5252325652000401E-3</v>
      </c>
      <c r="H454" s="27">
        <f>IFERROR('Price Data'!G454/'Price Data'!G453-1,0)</f>
        <v>-5.1498252538292322E-3</v>
      </c>
    </row>
    <row r="455" spans="1:8" ht="15">
      <c r="A455" s="25">
        <f>'Price Data'!A455</f>
        <v>45596</v>
      </c>
      <c r="B455" s="27">
        <f>IFERROR('Price Data'!B455/'Price Data'!B454-1,0)</f>
        <v>-8.8176163228330662E-3</v>
      </c>
      <c r="C455" s="27">
        <f>IFERROR('Price Data'!C455/'Price Data'!C454-1,0)</f>
        <v>6.3412584563105057E-4</v>
      </c>
      <c r="D455" s="27">
        <f>IFERROR('Price Data'!D455/'Price Data'!D454-1,0)</f>
        <v>-2.8447880296259442E-2</v>
      </c>
      <c r="E455" s="27">
        <f>IFERROR('Price Data'!E455/'Price Data'!E454-1,0)</f>
        <v>-1.5165990786200956E-2</v>
      </c>
      <c r="F455" s="27">
        <f>IFERROR('Price Data'!F455/'Price Data'!F454-1,0)</f>
        <v>-2.4887563101359533E-2</v>
      </c>
      <c r="G455" s="27">
        <f>B455*Portfolio!$D$5+C455*Portfolio!$D$6+D455*Portfolio!$D$7+E455*Portfolio!$D$8+F455*Portfolio!$D$9</f>
        <v>-1.3743481761686466E-2</v>
      </c>
      <c r="H455" s="27">
        <f>IFERROR('Price Data'!G455/'Price Data'!G454-1,0)</f>
        <v>-5.5667736407940538E-3</v>
      </c>
    </row>
    <row r="456" spans="1:8" ht="15">
      <c r="A456" s="25">
        <f>'Price Data'!A456</f>
        <v>45597</v>
      </c>
      <c r="B456" s="27">
        <f>IFERROR('Price Data'!B456/'Price Data'!B455-1,0)</f>
        <v>4.9547432765637556E-3</v>
      </c>
      <c r="C456" s="27">
        <f>IFERROR('Price Data'!C456/'Price Data'!C455-1,0)</f>
        <v>9.218923232954257E-4</v>
      </c>
      <c r="D456" s="27">
        <f>IFERROR('Price Data'!D456/'Price Data'!D455-1,0)</f>
        <v>3.9687904895662207E-3</v>
      </c>
      <c r="E456" s="27">
        <f>IFERROR('Price Data'!E456/'Price Data'!E455-1,0)</f>
        <v>-3.4821334569057338E-4</v>
      </c>
      <c r="F456" s="27">
        <f>IFERROR('Price Data'!F456/'Price Data'!F455-1,0)</f>
        <v>2.04859606575436E-3</v>
      </c>
      <c r="G456" s="27">
        <f>B456*Portfolio!$D$5+C456*Portfolio!$D$6+D456*Portfolio!$D$7+E456*Portfolio!$D$8+F456*Portfolio!$D$9</f>
        <v>2.5179744058876075E-3</v>
      </c>
      <c r="H456" s="27">
        <f>IFERROR('Price Data'!G456/'Price Data'!G455-1,0)</f>
        <v>4.090004961616156E-3</v>
      </c>
    </row>
    <row r="457" spans="1:8" ht="15">
      <c r="A457" s="25">
        <f>'Price Data'!A457</f>
        <v>45600</v>
      </c>
      <c r="B457" s="27">
        <f>IFERROR('Price Data'!B457/'Price Data'!B456-1,0)</f>
        <v>-2.7266285564600312E-2</v>
      </c>
      <c r="C457" s="27">
        <f>IFERROR('Price Data'!C457/'Price Data'!C456-1,0)</f>
        <v>-1.3354149407211025E-2</v>
      </c>
      <c r="D457" s="27">
        <f>IFERROR('Price Data'!D457/'Price Data'!D456-1,0)</f>
        <v>-5.0324157460529539E-3</v>
      </c>
      <c r="E457" s="27">
        <f>IFERROR('Price Data'!E457/'Price Data'!E456-1,0)</f>
        <v>-1.1302116404333318E-2</v>
      </c>
      <c r="F457" s="27">
        <f>IFERROR('Price Data'!F457/'Price Data'!F456-1,0)</f>
        <v>1.590257079407742E-3</v>
      </c>
      <c r="G457" s="27">
        <f>B457*Portfolio!$D$5+C457*Portfolio!$D$6+D457*Portfolio!$D$7+E457*Portfolio!$D$8+F457*Portfolio!$D$9</f>
        <v>-1.2618370790902261E-2</v>
      </c>
      <c r="H457" s="27">
        <f>IFERROR('Price Data'!G457/'Price Data'!G456-1,0)</f>
        <v>-1.2713773664645101E-2</v>
      </c>
    </row>
    <row r="458" spans="1:8" ht="15">
      <c r="A458" s="25">
        <f>'Price Data'!A458</f>
        <v>45601</v>
      </c>
      <c r="B458" s="27">
        <f>IFERROR('Price Data'!B458/'Price Data'!B457-1,0)</f>
        <v>2.4190894752966763E-3</v>
      </c>
      <c r="C458" s="27">
        <f>IFERROR('Price Data'!C458/'Price Data'!C457-1,0)</f>
        <v>2.5523628875443682E-2</v>
      </c>
      <c r="D458" s="27">
        <f>IFERROR('Price Data'!D458/'Price Data'!D457-1,0)</f>
        <v>1.816373802862481E-3</v>
      </c>
      <c r="E458" s="27">
        <f>IFERROR('Price Data'!E458/'Price Data'!E457-1,0)</f>
        <v>1.5267789482281469E-2</v>
      </c>
      <c r="F458" s="27">
        <f>IFERROR('Price Data'!F458/'Price Data'!F457-1,0)</f>
        <v>-5.3582320724521182E-3</v>
      </c>
      <c r="G458" s="27">
        <f>B458*Portfolio!$D$5+C458*Portfolio!$D$6+D458*Portfolio!$D$7+E458*Portfolio!$D$8+F458*Portfolio!$D$9</f>
        <v>8.8353879597319884E-3</v>
      </c>
      <c r="H458" s="27">
        <f>IFERROR('Price Data'!G458/'Price Data'!G457-1,0)</f>
        <v>9.0830588186072703E-3</v>
      </c>
    </row>
    <row r="459" spans="1:8" ht="15">
      <c r="A459" s="25">
        <f>'Price Data'!A459</f>
        <v>45602</v>
      </c>
      <c r="B459" s="27">
        <f>IFERROR('Price Data'!B459/'Price Data'!B458-1,0)</f>
        <v>1.5360331365554813E-2</v>
      </c>
      <c r="C459" s="27">
        <f>IFERROR('Price Data'!C459/'Price Data'!C458-1,0)</f>
        <v>-1.4789926451739266E-3</v>
      </c>
      <c r="D459" s="27">
        <f>IFERROR('Price Data'!D459/'Price Data'!D458-1,0)</f>
        <v>4.2378477056961517E-2</v>
      </c>
      <c r="E459" s="27">
        <f>IFERROR('Price Data'!E459/'Price Data'!E458-1,0)</f>
        <v>4.3572718133719768E-3</v>
      </c>
      <c r="F459" s="27">
        <f>IFERROR('Price Data'!F459/'Price Data'!F458-1,0)</f>
        <v>3.9619104977800301E-2</v>
      </c>
      <c r="G459" s="27">
        <f>B459*Portfolio!$D$5+C459*Portfolio!$D$6+D459*Portfolio!$D$7+E459*Portfolio!$D$8+F459*Portfolio!$D$9</f>
        <v>1.8542486610163368E-2</v>
      </c>
      <c r="H459" s="27">
        <f>IFERROR('Price Data'!G459/'Price Data'!G458-1,0)</f>
        <v>1.1181870759630508E-2</v>
      </c>
    </row>
    <row r="460" spans="1:8" ht="15">
      <c r="A460" s="25">
        <f>'Price Data'!A460</f>
        <v>45603</v>
      </c>
      <c r="B460" s="27">
        <f>IFERROR('Price Data'!B460/'Price Data'!B459-1,0)</f>
        <v>-1.4863940136967457E-2</v>
      </c>
      <c r="C460" s="27">
        <f>IFERROR('Price Data'!C460/'Price Data'!C459-1,0)</f>
        <v>-4.9565758641781921E-3</v>
      </c>
      <c r="D460" s="27">
        <f>IFERROR('Price Data'!D460/'Price Data'!D459-1,0)</f>
        <v>2.717629873560945E-3</v>
      </c>
      <c r="E460" s="27">
        <f>IFERROR('Price Data'!E460/'Price Data'!E459-1,0)</f>
        <v>-1.8159544202600131E-2</v>
      </c>
      <c r="F460" s="27">
        <f>IFERROR('Price Data'!F460/'Price Data'!F459-1,0)</f>
        <v>-1.1323044695825124E-2</v>
      </c>
      <c r="G460" s="27">
        <f>B460*Portfolio!$D$5+C460*Portfolio!$D$6+D460*Portfolio!$D$7+E460*Portfolio!$D$8+F460*Portfolio!$D$9</f>
        <v>-8.8339913603380123E-3</v>
      </c>
      <c r="H460" s="27">
        <f>IFERROR('Price Data'!G460/'Price Data'!G459-1,0)</f>
        <v>-1.1628025706147627E-2</v>
      </c>
    </row>
    <row r="461" spans="1:8" ht="15">
      <c r="A461" s="25">
        <f>'Price Data'!A461</f>
        <v>45604</v>
      </c>
      <c r="B461" s="27">
        <f>IFERROR('Price Data'!B461/'Price Data'!B460-1,0)</f>
        <v>-1.6773186288664199E-2</v>
      </c>
      <c r="C461" s="27">
        <f>IFERROR('Price Data'!C461/'Price Data'!C460-1,0)</f>
        <v>4.5231472677098594E-3</v>
      </c>
      <c r="D461" s="27">
        <f>IFERROR('Price Data'!D461/'Price Data'!D460-1,0)</f>
        <v>-9.3955748029761477E-4</v>
      </c>
      <c r="E461" s="27">
        <f>IFERROR('Price Data'!E461/'Price Data'!E460-1,0)</f>
        <v>-1.5523571073589704E-2</v>
      </c>
      <c r="F461" s="27">
        <f>IFERROR('Price Data'!F461/'Price Data'!F460-1,0)</f>
        <v>1.4919071217029956E-2</v>
      </c>
      <c r="G461" s="27">
        <f>B461*Portfolio!$D$5+C461*Portfolio!$D$6+D461*Portfolio!$D$7+E461*Portfolio!$D$8+F461*Portfolio!$D$9</f>
        <v>-3.3410962297820701E-3</v>
      </c>
      <c r="H461" s="27">
        <f>IFERROR('Price Data'!G461/'Price Data'!G460-1,0)</f>
        <v>-2.113709312467793E-3</v>
      </c>
    </row>
    <row r="462" spans="1:8" ht="15">
      <c r="A462" s="25">
        <f>'Price Data'!A462</f>
        <v>45607</v>
      </c>
      <c r="B462" s="27">
        <f>IFERROR('Price Data'!B462/'Price Data'!B461-1,0)</f>
        <v>-8.6077335327749971E-3</v>
      </c>
      <c r="C462" s="27">
        <f>IFERROR('Price Data'!C462/'Price Data'!C461-1,0)</f>
        <v>6.7543141610921786E-3</v>
      </c>
      <c r="D462" s="27">
        <f>IFERROR('Price Data'!D462/'Price Data'!D461-1,0)</f>
        <v>1.2466895329832139E-2</v>
      </c>
      <c r="E462" s="27">
        <f>IFERROR('Price Data'!E462/'Price Data'!E461-1,0)</f>
        <v>8.3013339670667818E-3</v>
      </c>
      <c r="F462" s="27">
        <f>IFERROR('Price Data'!F462/'Price Data'!F461-1,0)</f>
        <v>1.6475908731174105E-2</v>
      </c>
      <c r="G462" s="27">
        <f>B462*Portfolio!$D$5+C462*Portfolio!$D$6+D462*Portfolio!$D$7+E462*Portfolio!$D$8+F462*Portfolio!$D$9</f>
        <v>5.746610627781857E-3</v>
      </c>
      <c r="H462" s="27">
        <f>IFERROR('Price Data'!G462/'Price Data'!G461-1,0)</f>
        <v>-2.8567088740283353E-4</v>
      </c>
    </row>
    <row r="463" spans="1:8" ht="15">
      <c r="A463" s="25">
        <f>'Price Data'!A463</f>
        <v>45608</v>
      </c>
      <c r="B463" s="27">
        <f>IFERROR('Price Data'!B463/'Price Data'!B462-1,0)</f>
        <v>1.2179914460044294E-3</v>
      </c>
      <c r="C463" s="27">
        <f>IFERROR('Price Data'!C463/'Price Data'!C462-1,0)</f>
        <v>-2.7232173690765027E-2</v>
      </c>
      <c r="D463" s="27">
        <f>IFERROR('Price Data'!D463/'Price Data'!D462-1,0)</f>
        <v>-3.0972384468130887E-4</v>
      </c>
      <c r="E463" s="27">
        <f>IFERROR('Price Data'!E463/'Price Data'!E462-1,0)</f>
        <v>1.0240841487629826E-3</v>
      </c>
      <c r="F463" s="27">
        <f>IFERROR('Price Data'!F463/'Price Data'!F462-1,0)</f>
        <v>4.6771931815530188E-3</v>
      </c>
      <c r="G463" s="27">
        <f>B463*Portfolio!$D$5+C463*Portfolio!$D$6+D463*Portfolio!$D$7+E463*Portfolio!$D$8+F463*Portfolio!$D$9</f>
        <v>-5.7102987305790104E-3</v>
      </c>
      <c r="H463" s="27">
        <f>IFERROR('Price Data'!G463/'Price Data'!G462-1,0)</f>
        <v>-1.0680930776533315E-2</v>
      </c>
    </row>
    <row r="464" spans="1:8" ht="15">
      <c r="A464" s="25">
        <f>'Price Data'!A464</f>
        <v>45609</v>
      </c>
      <c r="B464" s="27">
        <f>IFERROR('Price Data'!B464/'Price Data'!B463-1,0)</f>
        <v>-1.7421984911027644E-2</v>
      </c>
      <c r="C464" s="27">
        <f>IFERROR('Price Data'!C464/'Price Data'!C463-1,0)</f>
        <v>-2.1446859106704297E-2</v>
      </c>
      <c r="D464" s="27">
        <f>IFERROR('Price Data'!D464/'Price Data'!D463-1,0)</f>
        <v>-1.1209228307070163E-2</v>
      </c>
      <c r="E464" s="27">
        <f>IFERROR('Price Data'!E464/'Price Data'!E463-1,0)</f>
        <v>-1.330082955313916E-2</v>
      </c>
      <c r="F464" s="27">
        <f>IFERROR('Price Data'!F464/'Price Data'!F463-1,0)</f>
        <v>-2.1402724240426885E-4</v>
      </c>
      <c r="G464" s="27">
        <f>B464*Portfolio!$D$5+C464*Portfolio!$D$6+D464*Portfolio!$D$7+E464*Portfolio!$D$8+F464*Portfolio!$D$9</f>
        <v>-1.3986285185178532E-2</v>
      </c>
      <c r="H464" s="27">
        <f>IFERROR('Price Data'!G464/'Price Data'!G463-1,0)</f>
        <v>-1.3582562322921432E-2</v>
      </c>
    </row>
    <row r="465" spans="1:8" ht="15">
      <c r="A465" s="25">
        <f>'Price Data'!A465</f>
        <v>45610</v>
      </c>
      <c r="B465" s="27">
        <f>IFERROR('Price Data'!B465/'Price Data'!B464-1,0)</f>
        <v>1.2419639147505102E-2</v>
      </c>
      <c r="C465" s="27">
        <f>IFERROR('Price Data'!C465/'Price Data'!C464-1,0)</f>
        <v>6.7803337185334822E-3</v>
      </c>
      <c r="D465" s="27">
        <f>IFERROR('Price Data'!D465/'Price Data'!D464-1,0)</f>
        <v>-1.0724146214236008E-3</v>
      </c>
      <c r="E465" s="27">
        <f>IFERROR('Price Data'!E465/'Price Data'!E464-1,0)</f>
        <v>2.5923131341576422E-3</v>
      </c>
      <c r="F465" s="27">
        <f>IFERROR('Price Data'!F465/'Price Data'!F464-1,0)</f>
        <v>-2.0605305149635766E-3</v>
      </c>
      <c r="G465" s="27">
        <f>B465*Portfolio!$D$5+C465*Portfolio!$D$6+D465*Portfolio!$D$7+E465*Portfolio!$D$8+F465*Portfolio!$D$9</f>
        <v>4.6652776851040358E-3</v>
      </c>
      <c r="H465" s="27">
        <f>IFERROR('Price Data'!G465/'Price Data'!G464-1,0)</f>
        <v>-1.1185324376894457E-3</v>
      </c>
    </row>
    <row r="466" spans="1:8" ht="15">
      <c r="A466" s="25">
        <f>'Price Data'!A466</f>
        <v>45614</v>
      </c>
      <c r="B466" s="27">
        <f>IFERROR('Price Data'!B466/'Price Data'!B465-1,0)</f>
        <v>-5.4039379248916886E-3</v>
      </c>
      <c r="C466" s="27">
        <f>IFERROR('Price Data'!C466/'Price Data'!C465-1,0)</f>
        <v>7.2957629193928231E-3</v>
      </c>
      <c r="D466" s="27">
        <f>IFERROR('Price Data'!D466/'Price Data'!D465-1,0)</f>
        <v>-3.0487838621006125E-2</v>
      </c>
      <c r="E466" s="27">
        <f>IFERROR('Price Data'!E466/'Price Data'!E465-1,0)</f>
        <v>-2.7844734192006282E-3</v>
      </c>
      <c r="F466" s="27">
        <f>IFERROR('Price Data'!F466/'Price Data'!F465-1,0)</f>
        <v>-2.8478787179284426E-2</v>
      </c>
      <c r="G466" s="27">
        <f>B466*Portfolio!$D$5+C466*Portfolio!$D$6+D466*Portfolio!$D$7+E466*Portfolio!$D$8+F466*Portfolio!$D$9</f>
        <v>-1.0314100565348698E-2</v>
      </c>
      <c r="H466" s="27">
        <f>IFERROR('Price Data'!G466/'Price Data'!G465-1,0)</f>
        <v>-3.3527151631265184E-3</v>
      </c>
    </row>
    <row r="467" spans="1:8" ht="15">
      <c r="A467" s="25">
        <f>'Price Data'!A467</f>
        <v>45615</v>
      </c>
      <c r="B467" s="27">
        <f>IFERROR('Price Data'!B467/'Price Data'!B466-1,0)</f>
        <v>-1.5149758756049403E-2</v>
      </c>
      <c r="C467" s="27">
        <f>IFERROR('Price Data'!C467/'Price Data'!C466-1,0)</f>
        <v>2.1787620615456138E-2</v>
      </c>
      <c r="D467" s="27">
        <f>IFERROR('Price Data'!D467/'Price Data'!D466-1,0)</f>
        <v>4.9882203926208124E-3</v>
      </c>
      <c r="E467" s="27">
        <f>IFERROR('Price Data'!E467/'Price Data'!E466-1,0)</f>
        <v>-3.4703882512803208E-3</v>
      </c>
      <c r="F467" s="27">
        <f>IFERROR('Price Data'!F467/'Price Data'!F466-1,0)</f>
        <v>7.3422231169342211E-3</v>
      </c>
      <c r="G467" s="27">
        <f>B467*Portfolio!$D$5+C467*Portfolio!$D$6+D467*Portfolio!$D$7+E467*Portfolio!$D$8+F467*Portfolio!$D$9</f>
        <v>3.237884773223931E-3</v>
      </c>
      <c r="H467" s="27">
        <f>IFERROR('Price Data'!G467/'Price Data'!G466-1,0)</f>
        <v>2.758581406631766E-3</v>
      </c>
    </row>
    <row r="468" spans="1:8" ht="15">
      <c r="A468" s="25">
        <f>'Price Data'!A468</f>
        <v>45617</v>
      </c>
      <c r="B468" s="27">
        <f>IFERROR('Price Data'!B468/'Price Data'!B467-1,0)</f>
        <v>-1.5020367381370248E-2</v>
      </c>
      <c r="C468" s="27">
        <f>IFERROR('Price Data'!C468/'Price Data'!C467-1,0)</f>
        <v>-6.0268351167924727E-4</v>
      </c>
      <c r="D468" s="27">
        <f>IFERROR('Price Data'!D468/'Price Data'!D467-1,0)</f>
        <v>8.2435219259404668E-3</v>
      </c>
      <c r="E468" s="27">
        <f>IFERROR('Price Data'!E468/'Price Data'!E467-1,0)</f>
        <v>1.1608902495854334E-3</v>
      </c>
      <c r="F468" s="27">
        <f>IFERROR('Price Data'!F468/'Price Data'!F467-1,0)</f>
        <v>5.0965575578236777E-3</v>
      </c>
      <c r="G468" s="27">
        <f>B468*Portfolio!$D$5+C468*Portfolio!$D$6+D468*Portfolio!$D$7+E468*Portfolio!$D$8+F468*Portfolio!$D$9</f>
        <v>-1.3184411669629138E-3</v>
      </c>
      <c r="H468" s="27">
        <f>IFERROR('Price Data'!G468/'Price Data'!G467-1,0)</f>
        <v>-7.1688079331164722E-3</v>
      </c>
    </row>
    <row r="469" spans="1:8" ht="15">
      <c r="A469" s="25">
        <f>'Price Data'!A469</f>
        <v>45618</v>
      </c>
      <c r="B469" s="27">
        <f>IFERROR('Price Data'!B469/'Price Data'!B468-1,0)</f>
        <v>3.4668964185565088E-2</v>
      </c>
      <c r="C469" s="27">
        <f>IFERROR('Price Data'!C469/'Price Data'!C468-1,0)</f>
        <v>2.5270332827169728E-3</v>
      </c>
      <c r="D469" s="27">
        <f>IFERROR('Price Data'!D469/'Price Data'!D468-1,0)</f>
        <v>4.216950069114267E-2</v>
      </c>
      <c r="E469" s="27">
        <f>IFERROR('Price Data'!E469/'Price Data'!E468-1,0)</f>
        <v>2.199031995076961E-2</v>
      </c>
      <c r="F469" s="27">
        <f>IFERROR('Price Data'!F469/'Price Data'!F468-1,0)</f>
        <v>3.7185402072266394E-2</v>
      </c>
      <c r="G469" s="27">
        <f>B469*Portfolio!$D$5+C469*Portfolio!$D$6+D469*Portfolio!$D$7+E469*Portfolio!$D$8+F469*Portfolio!$D$9</f>
        <v>2.660925780875445E-2</v>
      </c>
      <c r="H469" s="27">
        <f>IFERROR('Price Data'!G469/'Price Data'!G468-1,0)</f>
        <v>2.3869464111237804E-2</v>
      </c>
    </row>
    <row r="470" spans="1:8" ht="15">
      <c r="A470" s="25">
        <f>'Price Data'!A470</f>
        <v>45621</v>
      </c>
      <c r="B470" s="27">
        <f>IFERROR('Price Data'!B470/'Price Data'!B469-1,0)</f>
        <v>1.7069586263143144E-2</v>
      </c>
      <c r="C470" s="27">
        <f>IFERROR('Price Data'!C470/'Price Data'!C469-1,0)</f>
        <v>2.2914723027816386E-2</v>
      </c>
      <c r="D470" s="27">
        <f>IFERROR('Price Data'!D470/'Price Data'!D469-1,0)</f>
        <v>1.6609212219309111E-2</v>
      </c>
      <c r="E470" s="27">
        <f>IFERROR('Price Data'!E470/'Price Data'!E469-1,0)</f>
        <v>1.7917885150552593E-2</v>
      </c>
      <c r="F470" s="27">
        <f>IFERROR('Price Data'!F470/'Price Data'!F469-1,0)</f>
        <v>-6.5974877706175272E-3</v>
      </c>
      <c r="G470" s="27">
        <f>B470*Portfolio!$D$5+C470*Portfolio!$D$6+D470*Portfolio!$D$7+E470*Portfolio!$D$8+F470*Portfolio!$D$9</f>
        <v>1.5015979373591965E-2</v>
      </c>
      <c r="H470" s="27">
        <f>IFERROR('Price Data'!G470/'Price Data'!G469-1,0)</f>
        <v>1.3161295867362366E-2</v>
      </c>
    </row>
    <row r="471" spans="1:8" ht="15">
      <c r="A471" s="25">
        <f>'Price Data'!A471</f>
        <v>45622</v>
      </c>
      <c r="B471" s="27">
        <f>IFERROR('Price Data'!B471/'Price Data'!B470-1,0)</f>
        <v>6.7598898786578321E-3</v>
      </c>
      <c r="C471" s="27">
        <f>IFERROR('Price Data'!C471/'Price Data'!C470-1,0)</f>
        <v>-2.7962220434107898E-5</v>
      </c>
      <c r="D471" s="27">
        <f>IFERROR('Price Data'!D471/'Price Data'!D470-1,0)</f>
        <v>8.7136023428968645E-3</v>
      </c>
      <c r="E471" s="27">
        <f>IFERROR('Price Data'!E471/'Price Data'!E470-1,0)</f>
        <v>3.0746671238117695E-3</v>
      </c>
      <c r="F471" s="27">
        <f>IFERROR('Price Data'!F471/'Price Data'!F470-1,0)</f>
        <v>1.8230494143163689E-2</v>
      </c>
      <c r="G471" s="27">
        <f>B471*Portfolio!$D$5+C471*Portfolio!$D$6+D471*Portfolio!$D$7+E471*Portfolio!$D$8+F471*Portfolio!$D$9</f>
        <v>6.6214765731816231E-3</v>
      </c>
      <c r="H471" s="27">
        <f>IFERROR('Price Data'!G471/'Price Data'!G470-1,0)</f>
        <v>-1.1312238174179257E-3</v>
      </c>
    </row>
    <row r="472" spans="1:8" ht="15">
      <c r="A472" s="25">
        <f>'Price Data'!A472</f>
        <v>45623</v>
      </c>
      <c r="B472" s="27">
        <f>IFERROR('Price Data'!B472/'Price Data'!B471-1,0)</f>
        <v>-1.9293973968529388E-3</v>
      </c>
      <c r="C472" s="27">
        <f>IFERROR('Price Data'!C472/'Price Data'!C471-1,0)</f>
        <v>1.4981336985099514E-2</v>
      </c>
      <c r="D472" s="27">
        <f>IFERROR('Price Data'!D472/'Price Data'!D471-1,0)</f>
        <v>-4.6293717401859613E-3</v>
      </c>
      <c r="E472" s="27">
        <f>IFERROR('Price Data'!E472/'Price Data'!E471-1,0)</f>
        <v>-3.2568849888804374E-3</v>
      </c>
      <c r="F472" s="27">
        <f>IFERROR('Price Data'!F472/'Price Data'!F471-1,0)</f>
        <v>1.8191175238002621E-4</v>
      </c>
      <c r="G472" s="27">
        <f>B472*Portfolio!$D$5+C472*Portfolio!$D$6+D472*Portfolio!$D$7+E472*Portfolio!$D$8+F472*Portfolio!$D$9</f>
        <v>1.8758645635493902E-3</v>
      </c>
      <c r="H472" s="27">
        <f>IFERROR('Price Data'!G472/'Price Data'!G471-1,0)</f>
        <v>3.3230854378061281E-3</v>
      </c>
    </row>
    <row r="473" spans="1:8" ht="15">
      <c r="A473" s="25">
        <f>'Price Data'!A473</f>
        <v>45624</v>
      </c>
      <c r="B473" s="27">
        <f>IFERROR('Price Data'!B473/'Price Data'!B472-1,0)</f>
        <v>-1.732131069906484E-2</v>
      </c>
      <c r="C473" s="27">
        <f>IFERROR('Price Data'!C473/'Price Data'!C472-1,0)</f>
        <v>-1.056667073327977E-2</v>
      </c>
      <c r="D473" s="27">
        <f>IFERROR('Price Data'!D473/'Price Data'!D472-1,0)</f>
        <v>-2.0230393851510375E-2</v>
      </c>
      <c r="E473" s="27">
        <f>IFERROR('Price Data'!E473/'Price Data'!E472-1,0)</f>
        <v>-1.1032513926474086E-2</v>
      </c>
      <c r="F473" s="27">
        <f>IFERROR('Price Data'!F473/'Price Data'!F472-1,0)</f>
        <v>-3.5255971871923752E-2</v>
      </c>
      <c r="G473" s="27">
        <f>B473*Portfolio!$D$5+C473*Portfolio!$D$6+D473*Portfolio!$D$7+E473*Portfolio!$D$8+F473*Portfolio!$D$9</f>
        <v>-1.7961346998147904E-2</v>
      </c>
      <c r="H473" s="27">
        <f>IFERROR('Price Data'!G473/'Price Data'!G472-1,0)</f>
        <v>-1.4861029054492936E-2</v>
      </c>
    </row>
    <row r="474" spans="1:8" ht="15">
      <c r="A474" s="25">
        <f>'Price Data'!A474</f>
        <v>45625</v>
      </c>
      <c r="B474" s="27">
        <f>IFERROR('Price Data'!B474/'Price Data'!B473-1,0)</f>
        <v>1.6839707555085237E-2</v>
      </c>
      <c r="C474" s="27">
        <f>IFERROR('Price Data'!C474/'Price Data'!C473-1,0)</f>
        <v>1.6172947223125345E-3</v>
      </c>
      <c r="D474" s="27">
        <f>IFERROR('Price Data'!D474/'Price Data'!D473-1,0)</f>
        <v>6.1131779970058364E-3</v>
      </c>
      <c r="E474" s="27">
        <f>IFERROR('Price Data'!E474/'Price Data'!E473-1,0)</f>
        <v>1.0689206013412278E-2</v>
      </c>
      <c r="F474" s="27">
        <f>IFERROR('Price Data'!F474/'Price Data'!F473-1,0)</f>
        <v>6.4635273030089202E-4</v>
      </c>
      <c r="G474" s="27">
        <f>B474*Portfolio!$D$5+C474*Portfolio!$D$6+D474*Portfolio!$D$7+E474*Portfolio!$D$8+F474*Portfolio!$D$9</f>
        <v>7.5372199803075855E-3</v>
      </c>
      <c r="H474" s="27">
        <f>IFERROR('Price Data'!G474/'Price Data'!G473-1,0)</f>
        <v>9.072001940535257E-3</v>
      </c>
    </row>
    <row r="475" spans="1:8" ht="15">
      <c r="A475" s="25">
        <f>'Price Data'!A475</f>
        <v>45628</v>
      </c>
      <c r="B475" s="27">
        <f>IFERROR('Price Data'!B475/'Price Data'!B474-1,0)</f>
        <v>1.3117210209329766E-2</v>
      </c>
      <c r="C475" s="27">
        <f>IFERROR('Price Data'!C475/'Price Data'!C474-1,0)</f>
        <v>4.8161103365289559E-3</v>
      </c>
      <c r="D475" s="27">
        <f>IFERROR('Price Data'!D475/'Price Data'!D474-1,0)</f>
        <v>1.3580028433450853E-3</v>
      </c>
      <c r="E475" s="27">
        <f>IFERROR('Price Data'!E475/'Price Data'!E474-1,0)</f>
        <v>3.4997122208630937E-3</v>
      </c>
      <c r="F475" s="27">
        <f>IFERROR('Price Data'!F475/'Price Data'!F474-1,0)</f>
        <v>1.1814822962534333E-2</v>
      </c>
      <c r="G475" s="27">
        <f>B475*Portfolio!$D$5+C475*Portfolio!$D$6+D475*Portfolio!$D$7+E475*Portfolio!$D$8+F475*Portfolio!$D$9</f>
        <v>7.0521109826433108E-3</v>
      </c>
      <c r="H475" s="27">
        <f>IFERROR('Price Data'!G475/'Price Data'!G474-1,0)</f>
        <v>6.0068200049485654E-3</v>
      </c>
    </row>
    <row r="476" spans="1:8" ht="15">
      <c r="A476" s="25">
        <f>'Price Data'!A476</f>
        <v>45629</v>
      </c>
      <c r="B476" s="27">
        <f>IFERROR('Price Data'!B476/'Price Data'!B475-1,0)</f>
        <v>1.0808603959113761E-2</v>
      </c>
      <c r="C476" s="27">
        <f>IFERROR('Price Data'!C476/'Price Data'!C475-1,0)</f>
        <v>1.1968698493762586E-2</v>
      </c>
      <c r="D476" s="27">
        <f>IFERROR('Price Data'!D476/'Price Data'!D475-1,0)</f>
        <v>6.1030300868922804E-3</v>
      </c>
      <c r="E476" s="27">
        <f>IFERROR('Price Data'!E476/'Price Data'!E475-1,0)</f>
        <v>2.8743551794070399E-3</v>
      </c>
      <c r="F476" s="27">
        <f>IFERROR('Price Data'!F476/'Price Data'!F475-1,0)</f>
        <v>6.5432181154900793E-3</v>
      </c>
      <c r="G476" s="27">
        <f>B476*Portfolio!$D$5+C476*Portfolio!$D$6+D476*Portfolio!$D$7+E476*Portfolio!$D$8+F476*Portfolio!$D$9</f>
        <v>8.3275676248321107E-3</v>
      </c>
      <c r="H476" s="27">
        <f>IFERROR('Price Data'!G476/'Price Data'!G475-1,0)</f>
        <v>7.4600111445999318E-3</v>
      </c>
    </row>
    <row r="477" spans="1:8" ht="15">
      <c r="A477" s="25">
        <f>'Price Data'!A477</f>
        <v>45630</v>
      </c>
      <c r="B477" s="27">
        <f>IFERROR('Price Data'!B477/'Price Data'!B476-1,0)</f>
        <v>-1.0844222992581254E-2</v>
      </c>
      <c r="C477" s="27">
        <f>IFERROR('Price Data'!C477/'Price Data'!C476-1,0)</f>
        <v>1.8507379103985144E-2</v>
      </c>
      <c r="D477" s="27">
        <f>IFERROR('Price Data'!D477/'Price Data'!D476-1,0)</f>
        <v>1.200386554172761E-2</v>
      </c>
      <c r="E477" s="27">
        <f>IFERROR('Price Data'!E477/'Price Data'!E476-1,0)</f>
        <v>5.846840953402932E-3</v>
      </c>
      <c r="F477" s="27">
        <f>IFERROR('Price Data'!F477/'Price Data'!F476-1,0)</f>
        <v>-1.5062756168139346E-3</v>
      </c>
      <c r="G477" s="27">
        <f>B477*Portfolio!$D$5+C477*Portfolio!$D$6+D477*Portfolio!$D$7+E477*Portfolio!$D$8+F477*Portfolio!$D$9</f>
        <v>4.9676469366848443E-3</v>
      </c>
      <c r="H477" s="27">
        <f>IFERROR('Price Data'!G477/'Price Data'!G476-1,0)</f>
        <v>4.2109681465385407E-4</v>
      </c>
    </row>
    <row r="478" spans="1:8" ht="15">
      <c r="A478" s="25">
        <f>'Price Data'!A478</f>
        <v>45631</v>
      </c>
      <c r="B478" s="27">
        <f>IFERROR('Price Data'!B478/'Price Data'!B477-1,0)</f>
        <v>1.0008081942164404E-2</v>
      </c>
      <c r="C478" s="27">
        <f>IFERROR('Price Data'!C478/'Price Data'!C477-1,0)</f>
        <v>3.0375058442828617E-3</v>
      </c>
      <c r="D478" s="27">
        <f>IFERROR('Price Data'!D478/'Price Data'!D477-1,0)</f>
        <v>2.5181482607103511E-2</v>
      </c>
      <c r="E478" s="27">
        <f>IFERROR('Price Data'!E478/'Price Data'!E477-1,0)</f>
        <v>1.5538955768787277E-2</v>
      </c>
      <c r="F478" s="27">
        <f>IFERROR('Price Data'!F478/'Price Data'!F477-1,0)</f>
        <v>2.4136494632441607E-2</v>
      </c>
      <c r="G478" s="27">
        <f>B478*Portfolio!$D$5+C478*Portfolio!$D$6+D478*Portfolio!$D$7+E478*Portfolio!$D$8+F478*Portfolio!$D$9</f>
        <v>1.4249011028216851E-2</v>
      </c>
      <c r="H478" s="27">
        <f>IFERROR('Price Data'!G478/'Price Data'!G477-1,0)</f>
        <v>9.8478255628851041E-3</v>
      </c>
    </row>
    <row r="479" spans="1:8" ht="15">
      <c r="A479" s="25">
        <f>'Price Data'!A479</f>
        <v>45632</v>
      </c>
      <c r="B479" s="27">
        <f>IFERROR('Price Data'!B479/'Price Data'!B478-1,0)</f>
        <v>-7.9421616101692516E-3</v>
      </c>
      <c r="C479" s="27">
        <f>IFERROR('Price Data'!C479/'Price Data'!C478-1,0)</f>
        <v>-5.3062281008047218E-3</v>
      </c>
      <c r="D479" s="27">
        <f>IFERROR('Price Data'!D479/'Price Data'!D478-1,0)</f>
        <v>-4.1554791153184389E-3</v>
      </c>
      <c r="E479" s="27">
        <f>IFERROR('Price Data'!E479/'Price Data'!E478-1,0)</f>
        <v>-5.798739504499606E-3</v>
      </c>
      <c r="F479" s="27">
        <f>IFERROR('Price Data'!F479/'Price Data'!F478-1,0)</f>
        <v>-6.4345644415059189E-3</v>
      </c>
      <c r="G479" s="27">
        <f>B479*Portfolio!$D$5+C479*Portfolio!$D$6+D479*Portfolio!$D$7+E479*Portfolio!$D$8+F479*Portfolio!$D$9</f>
        <v>-5.9781888427080099E-3</v>
      </c>
      <c r="H479" s="27">
        <f>IFERROR('Price Data'!G479/'Price Data'!G478-1,0)</f>
        <v>-1.2384293961259507E-3</v>
      </c>
    </row>
    <row r="480" spans="1:8" ht="15">
      <c r="A480" s="25">
        <f>'Price Data'!A480</f>
        <v>45635</v>
      </c>
      <c r="B480" s="27">
        <f>IFERROR('Price Data'!B480/'Price Data'!B479-1,0)</f>
        <v>-1.2504334774722237E-2</v>
      </c>
      <c r="C480" s="27">
        <f>IFERROR('Price Data'!C480/'Price Data'!C479-1,0)</f>
        <v>7.624538993577179E-3</v>
      </c>
      <c r="D480" s="27">
        <f>IFERROR('Price Data'!D480/'Price Data'!D479-1,0)</f>
        <v>1.4959561445806457E-3</v>
      </c>
      <c r="E480" s="27">
        <f>IFERROR('Price Data'!E480/'Price Data'!E479-1,0)</f>
        <v>-4.8542031016575171E-3</v>
      </c>
      <c r="F480" s="27">
        <f>IFERROR('Price Data'!F480/'Price Data'!F479-1,0)</f>
        <v>6.5029533467209077E-4</v>
      </c>
      <c r="G480" s="27">
        <f>B480*Portfolio!$D$5+C480*Portfolio!$D$6+D480*Portfolio!$D$7+E480*Portfolio!$D$8+F480*Portfolio!$D$9</f>
        <v>-1.5513438814179492E-3</v>
      </c>
      <c r="H480" s="27">
        <f>IFERROR('Price Data'!G480/'Price Data'!G479-1,0)</f>
        <v>-2.3827399277279726E-3</v>
      </c>
    </row>
    <row r="481" spans="1:8" ht="15">
      <c r="A481" s="25">
        <f>'Price Data'!A481</f>
        <v>45636</v>
      </c>
      <c r="B481" s="27">
        <f>IFERROR('Price Data'!B481/'Price Data'!B480-1,0)</f>
        <v>-7.9528268156361381E-3</v>
      </c>
      <c r="C481" s="27">
        <f>IFERROR('Price Data'!C481/'Price Data'!C480-1,0)</f>
        <v>-1.0160193026853559E-3</v>
      </c>
      <c r="D481" s="27">
        <f>IFERROR('Price Data'!D481/'Price Data'!D480-1,0)</f>
        <v>-4.4024615838672565E-3</v>
      </c>
      <c r="E481" s="27">
        <f>IFERROR('Price Data'!E481/'Price Data'!E480-1,0)</f>
        <v>6.1634487478718913E-3</v>
      </c>
      <c r="F481" s="27">
        <f>IFERROR('Price Data'!F481/'Price Data'!F480-1,0)</f>
        <v>1.2944054942814143E-2</v>
      </c>
      <c r="G481" s="27">
        <f>B481*Portfolio!$D$5+C481*Portfolio!$D$6+D481*Portfolio!$D$7+E481*Portfolio!$D$8+F481*Portfolio!$D$9</f>
        <v>-2.5657829275092E-4</v>
      </c>
      <c r="H481" s="27">
        <f>IFERROR('Price Data'!G481/'Price Data'!G480-1,0)</f>
        <v>-3.6350862139000739E-4</v>
      </c>
    </row>
    <row r="482" spans="1:8" ht="15">
      <c r="A482" s="25">
        <f>'Price Data'!A482</f>
        <v>45637</v>
      </c>
      <c r="B482" s="27">
        <f>IFERROR('Price Data'!B482/'Price Data'!B481-1,0)</f>
        <v>-5.1756664904391014E-3</v>
      </c>
      <c r="C482" s="27">
        <f>IFERROR('Price Data'!C482/'Price Data'!C481-1,0)</f>
        <v>-2.6765039429555992E-3</v>
      </c>
      <c r="D482" s="27">
        <f>IFERROR('Price Data'!D482/'Price Data'!D481-1,0)</f>
        <v>-1.1505955605433105E-3</v>
      </c>
      <c r="E482" s="27">
        <f>IFERROR('Price Data'!E482/'Price Data'!E481-1,0)</f>
        <v>-2.2172618937548183E-3</v>
      </c>
      <c r="F482" s="27">
        <f>IFERROR('Price Data'!F482/'Price Data'!F481-1,0)</f>
        <v>1.3137980990839404E-2</v>
      </c>
      <c r="G482" s="27">
        <f>B482*Portfolio!$D$5+C482*Portfolio!$D$6+D482*Portfolio!$D$7+E482*Portfolio!$D$8+F482*Portfolio!$D$9</f>
        <v>-5.5505385589464966E-4</v>
      </c>
      <c r="H482" s="27">
        <f>IFERROR('Price Data'!G482/'Price Data'!G481-1,0)</f>
        <v>1.2901233029631864E-3</v>
      </c>
    </row>
    <row r="483" spans="1:8" ht="15">
      <c r="A483" s="25">
        <f>'Price Data'!A483</f>
        <v>45638</v>
      </c>
      <c r="B483" s="27">
        <f>IFERROR('Price Data'!B483/'Price Data'!B482-1,0)</f>
        <v>-1.1969914156727657E-2</v>
      </c>
      <c r="C483" s="27">
        <f>IFERROR('Price Data'!C483/'Price Data'!C482-1,0)</f>
        <v>-2.0664307673801119E-3</v>
      </c>
      <c r="D483" s="27">
        <f>IFERROR('Price Data'!D483/'Price Data'!D482-1,0)</f>
        <v>6.2113754343700034E-3</v>
      </c>
      <c r="E483" s="27">
        <f>IFERROR('Price Data'!E483/'Price Data'!E482-1,0)</f>
        <v>1.3182461821501512E-3</v>
      </c>
      <c r="F483" s="27">
        <f>IFERROR('Price Data'!F483/'Price Data'!F482-1,0)</f>
        <v>6.5092052599702299E-3</v>
      </c>
      <c r="G483" s="27">
        <f>B483*Portfolio!$D$5+C483*Portfolio!$D$6+D483*Portfolio!$D$7+E483*Portfolio!$D$8+F483*Portfolio!$D$9</f>
        <v>-1.0926934278348843E-3</v>
      </c>
      <c r="H483" s="27">
        <f>IFERROR('Price Data'!G483/'Price Data'!G482-1,0)</f>
        <v>-3.7781963796591489E-3</v>
      </c>
    </row>
    <row r="484" spans="1:8" ht="15">
      <c r="A484" s="25">
        <f>'Price Data'!A484</f>
        <v>45639</v>
      </c>
      <c r="B484" s="27">
        <f>IFERROR('Price Data'!B484/'Price Data'!B483-1,0)</f>
        <v>7.8786424657970588E-3</v>
      </c>
      <c r="C484" s="27">
        <f>IFERROR('Price Data'!C484/'Price Data'!C483-1,0)</f>
        <v>6.7231099446627418E-3</v>
      </c>
      <c r="D484" s="27">
        <f>IFERROR('Price Data'!D484/'Price Data'!D483-1,0)</f>
        <v>4.2535062077360131E-3</v>
      </c>
      <c r="E484" s="27">
        <f>IFERROR('Price Data'!E484/'Price Data'!E483-1,0)</f>
        <v>1.1773636785378017E-2</v>
      </c>
      <c r="F484" s="27">
        <f>IFERROR('Price Data'!F484/'Price Data'!F483-1,0)</f>
        <v>6.3914379313676495E-3</v>
      </c>
      <c r="G484" s="27">
        <f>B484*Portfolio!$D$5+C484*Portfolio!$D$6+D484*Portfolio!$D$7+E484*Portfolio!$D$8+F484*Portfolio!$D$9</f>
        <v>7.2259005516740037E-3</v>
      </c>
      <c r="H484" s="27">
        <f>IFERROR('Price Data'!G484/'Price Data'!G483-1,0)</f>
        <v>8.9455478085889162E-3</v>
      </c>
    </row>
    <row r="485" spans="1:8" ht="15">
      <c r="A485" s="25">
        <f>'Price Data'!A485</f>
        <v>45642</v>
      </c>
      <c r="B485" s="27">
        <f>IFERROR('Price Data'!B485/'Price Data'!B484-1,0)</f>
        <v>-3.5746106877125872E-3</v>
      </c>
      <c r="C485" s="27">
        <f>IFERROR('Price Data'!C485/'Price Data'!C484-1,0)</f>
        <v>-3.4994258780666199E-3</v>
      </c>
      <c r="D485" s="27">
        <f>IFERROR('Price Data'!D485/'Price Data'!D484-1,0)</f>
        <v>-1.312045198456524E-2</v>
      </c>
      <c r="E485" s="27">
        <f>IFERROR('Price Data'!E485/'Price Data'!E484-1,0)</f>
        <v>8.9215636865103143E-4</v>
      </c>
      <c r="F485" s="27">
        <f>IFERROR('Price Data'!F485/'Price Data'!F484-1,0)</f>
        <v>-9.8263922488153188E-3</v>
      </c>
      <c r="G485" s="27">
        <f>B485*Portfolio!$D$5+C485*Portfolio!$D$6+D485*Portfolio!$D$7+E485*Portfolio!$D$8+F485*Portfolio!$D$9</f>
        <v>-5.7327349203824931E-3</v>
      </c>
      <c r="H485" s="27">
        <f>IFERROR('Price Data'!G485/'Price Data'!G484-1,0)</f>
        <v>-4.0394689217332358E-3</v>
      </c>
    </row>
    <row r="486" spans="1:8" ht="15">
      <c r="A486" s="25">
        <f>'Price Data'!A486</f>
        <v>45643</v>
      </c>
      <c r="B486" s="27">
        <f>IFERROR('Price Data'!B486/'Price Data'!B485-1,0)</f>
        <v>-1.8134435108201119E-2</v>
      </c>
      <c r="C486" s="27">
        <f>IFERROR('Price Data'!C486/'Price Data'!C485-1,0)</f>
        <v>-1.7129462870329459E-2</v>
      </c>
      <c r="D486" s="27">
        <f>IFERROR('Price Data'!D486/'Price Data'!D485-1,0)</f>
        <v>-1.9636574537991613E-2</v>
      </c>
      <c r="E486" s="27">
        <f>IFERROR('Price Data'!E486/'Price Data'!E485-1,0)</f>
        <v>-9.1746045236075213E-3</v>
      </c>
      <c r="F486" s="27">
        <f>IFERROR('Price Data'!F486/'Price Data'!F485-1,0)</f>
        <v>-1.7424700586318176E-3</v>
      </c>
      <c r="G486" s="27">
        <f>B486*Portfolio!$D$5+C486*Portfolio!$D$6+D486*Portfolio!$D$7+E486*Portfolio!$D$8+F486*Portfolio!$D$9</f>
        <v>-1.438085058956687E-2</v>
      </c>
      <c r="H486" s="27">
        <f>IFERROR('Price Data'!G486/'Price Data'!G485-1,0)</f>
        <v>-1.3468730047733413E-2</v>
      </c>
    </row>
    <row r="487" spans="1:8" ht="15">
      <c r="A487" s="25">
        <f>'Price Data'!A487</f>
        <v>45644</v>
      </c>
      <c r="B487" s="27">
        <f>IFERROR('Price Data'!B487/'Price Data'!B486-1,0)</f>
        <v>6.3839255743907142E-3</v>
      </c>
      <c r="C487" s="27">
        <f>IFERROR('Price Data'!C487/'Price Data'!C486-1,0)</f>
        <v>-1.2300600860076782E-2</v>
      </c>
      <c r="D487" s="27">
        <f>IFERROR('Price Data'!D487/'Price Data'!D486-1,0)</f>
        <v>4.4701607314787672E-3</v>
      </c>
      <c r="E487" s="27">
        <f>IFERROR('Price Data'!E487/'Price Data'!E486-1,0)</f>
        <v>-1.4695336898527867E-2</v>
      </c>
      <c r="F487" s="27">
        <f>IFERROR('Price Data'!F487/'Price Data'!F486-1,0)</f>
        <v>1.2901324743883613E-3</v>
      </c>
      <c r="G487" s="27">
        <f>B487*Portfolio!$D$5+C487*Portfolio!$D$6+D487*Portfolio!$D$7+E487*Portfolio!$D$8+F487*Portfolio!$D$9</f>
        <v>-2.5959173387466892E-3</v>
      </c>
      <c r="H487" s="27">
        <f>IFERROR('Price Data'!G487/'Price Data'!G486-1,0)</f>
        <v>-5.6356998120069557E-3</v>
      </c>
    </row>
    <row r="488" spans="1:8" ht="15">
      <c r="A488" s="25">
        <f>'Price Data'!A488</f>
        <v>45645</v>
      </c>
      <c r="B488" s="27">
        <f>IFERROR('Price Data'!B488/'Price Data'!B487-1,0)</f>
        <v>-1.8192757223623679E-2</v>
      </c>
      <c r="C488" s="27">
        <f>IFERROR('Price Data'!C488/'Price Data'!C487-1,0)</f>
        <v>-9.4990701036805625E-3</v>
      </c>
      <c r="D488" s="27">
        <f>IFERROR('Price Data'!D488/'Price Data'!D487-1,0)</f>
        <v>-1.7468270648161588E-2</v>
      </c>
      <c r="E488" s="27">
        <f>IFERROR('Price Data'!E488/'Price Data'!E487-1,0)</f>
        <v>-2.0735862277997175E-2</v>
      </c>
      <c r="F488" s="27">
        <f>IFERROR('Price Data'!F488/'Price Data'!F487-1,0)</f>
        <v>-1.6648643654822881E-2</v>
      </c>
      <c r="G488" s="27">
        <f>B488*Portfolio!$D$5+C488*Portfolio!$D$6+D488*Portfolio!$D$7+E488*Portfolio!$D$8+F488*Portfolio!$D$9</f>
        <v>-1.6024286851381388E-2</v>
      </c>
      <c r="H488" s="27">
        <f>IFERROR('Price Data'!G488/'Price Data'!G487-1,0)</f>
        <v>-1.0213311567061067E-2</v>
      </c>
    </row>
    <row r="489" spans="1:8" ht="15">
      <c r="A489" s="25">
        <f>'Price Data'!A489</f>
        <v>45646</v>
      </c>
      <c r="B489" s="27">
        <f>IFERROR('Price Data'!B489/'Price Data'!B488-1,0)</f>
        <v>-2.0439499828989516E-2</v>
      </c>
      <c r="C489" s="27">
        <f>IFERROR('Price Data'!C489/'Price Data'!C488-1,0)</f>
        <v>-1.2266503456425215E-2</v>
      </c>
      <c r="D489" s="27">
        <f>IFERROR('Price Data'!D489/'Price Data'!D488-1,0)</f>
        <v>-2.3783558534325344E-2</v>
      </c>
      <c r="E489" s="27">
        <f>IFERROR('Price Data'!E489/'Price Data'!E488-1,0)</f>
        <v>1.1656002071582794E-3</v>
      </c>
      <c r="F489" s="27">
        <f>IFERROR('Price Data'!F489/'Price Data'!F488-1,0)</f>
        <v>-1.2357250888235805E-2</v>
      </c>
      <c r="G489" s="27">
        <f>B489*Portfolio!$D$5+C489*Portfolio!$D$6+D489*Portfolio!$D$7+E489*Portfolio!$D$8+F489*Portfolio!$D$9</f>
        <v>-1.4611960130380382E-2</v>
      </c>
      <c r="H489" s="27">
        <f>IFERROR('Price Data'!G489/'Price Data'!G488-1,0)</f>
        <v>-1.520556915080562E-2</v>
      </c>
    </row>
    <row r="490" spans="1:8" ht="15">
      <c r="A490" s="25">
        <f>'Price Data'!A490</f>
        <v>45649</v>
      </c>
      <c r="B490" s="27">
        <f>IFERROR('Price Data'!B490/'Price Data'!B489-1,0)</f>
        <v>1.4104307375446101E-2</v>
      </c>
      <c r="C490" s="27">
        <f>IFERROR('Price Data'!C490/'Price Data'!C489-1,0)</f>
        <v>1.66525198471974E-2</v>
      </c>
      <c r="D490" s="27">
        <f>IFERROR('Price Data'!D490/'Price Data'!D489-1,0)</f>
        <v>-2.8775173979210811E-3</v>
      </c>
      <c r="E490" s="27">
        <f>IFERROR('Price Data'!E490/'Price Data'!E489-1,0)</f>
        <v>6.5197235337806081E-3</v>
      </c>
      <c r="F490" s="27">
        <f>IFERROR('Price Data'!F490/'Price Data'!F489-1,0)</f>
        <v>1.118458316468729E-3</v>
      </c>
      <c r="G490" s="27">
        <f>B490*Portfolio!$D$5+C490*Portfolio!$D$6+D490*Portfolio!$D$7+E490*Portfolio!$D$8+F490*Portfolio!$D$9</f>
        <v>8.2594306036140614E-3</v>
      </c>
      <c r="H490" s="27">
        <f>IFERROR('Price Data'!G490/'Price Data'!G489-1,0)</f>
        <v>7.0354729729729115E-3</v>
      </c>
    </row>
    <row r="491" spans="1:8" ht="15">
      <c r="A491" s="25">
        <f>'Price Data'!A491</f>
        <v>45650</v>
      </c>
      <c r="B491" s="27">
        <f>IFERROR('Price Data'!B491/'Price Data'!B490-1,0)</f>
        <v>3.6817478984829677E-4</v>
      </c>
      <c r="C491" s="27">
        <f>IFERROR('Price Data'!C491/'Price Data'!C490-1,0)</f>
        <v>-1.6101756284158109E-3</v>
      </c>
      <c r="D491" s="27">
        <f>IFERROR('Price Data'!D491/'Price Data'!D490-1,0)</f>
        <v>5.0985269006542655E-3</v>
      </c>
      <c r="E491" s="27">
        <f>IFERROR('Price Data'!E491/'Price Data'!E490-1,0)</f>
        <v>3.4699156510753504E-4</v>
      </c>
      <c r="F491" s="27">
        <f>IFERROR('Price Data'!F491/'Price Data'!F490-1,0)</f>
        <v>-7.9249557066727316E-3</v>
      </c>
      <c r="G491" s="27">
        <f>B491*Portfolio!$D$5+C491*Portfolio!$D$6+D491*Portfolio!$D$7+E491*Portfolio!$D$8+F491*Portfolio!$D$9</f>
        <v>-4.274894507458048E-4</v>
      </c>
      <c r="H491" s="27">
        <f>IFERROR('Price Data'!G491/'Price Data'!G490-1,0)</f>
        <v>-1.0861087115143775E-3</v>
      </c>
    </row>
    <row r="492" spans="1:8" ht="15">
      <c r="A492" s="25">
        <f>'Price Data'!A492</f>
        <v>45652</v>
      </c>
      <c r="B492" s="27">
        <f>IFERROR('Price Data'!B492/'Price Data'!B491-1,0)</f>
        <v>-5.0705844977422254E-3</v>
      </c>
      <c r="C492" s="27">
        <f>IFERROR('Price Data'!C492/'Price Data'!C491-1,0)</f>
        <v>-4.0876766850720392E-3</v>
      </c>
      <c r="D492" s="27">
        <f>IFERROR('Price Data'!D492/'Price Data'!D491-1,0)</f>
        <v>-2.4883624097647994E-3</v>
      </c>
      <c r="E492" s="27">
        <f>IFERROR('Price Data'!E492/'Price Data'!E491-1,0)</f>
        <v>7.6998200498890057E-5</v>
      </c>
      <c r="F492" s="27">
        <f>IFERROR('Price Data'!F492/'Price Data'!F491-1,0)</f>
        <v>-8.6429034128976401E-4</v>
      </c>
      <c r="G492" s="27">
        <f>B492*Portfolio!$D$5+C492*Portfolio!$D$6+D492*Portfolio!$D$7+E492*Portfolio!$D$8+F492*Portfolio!$D$9</f>
        <v>-2.9053315987751572E-3</v>
      </c>
      <c r="H492" s="27">
        <f>IFERROR('Price Data'!G492/'Price Data'!G491-1,0)</f>
        <v>9.5031862631911324E-4</v>
      </c>
    </row>
    <row r="493" spans="1:8" ht="15">
      <c r="A493" s="25">
        <f>'Price Data'!A493</f>
        <v>45653</v>
      </c>
      <c r="B493" s="27">
        <f>IFERROR('Price Data'!B493/'Price Data'!B492-1,0)</f>
        <v>3.6990485139185569E-3</v>
      </c>
      <c r="C493" s="27">
        <f>IFERROR('Price Data'!C493/'Price Data'!C492-1,0)</f>
        <v>4.188240241702168E-3</v>
      </c>
      <c r="D493" s="27">
        <f>IFERROR('Price Data'!D493/'Price Data'!D492-1,0)</f>
        <v>-1.0194398971330454E-3</v>
      </c>
      <c r="E493" s="27">
        <f>IFERROR('Price Data'!E493/'Price Data'!E492-1,0)</f>
        <v>7.8623143023670572E-3</v>
      </c>
      <c r="F493" s="27">
        <f>IFERROR('Price Data'!F493/'Price Data'!F492-1,0)</f>
        <v>4.9019716740115182E-3</v>
      </c>
      <c r="G493" s="27">
        <f>B493*Portfolio!$D$5+C493*Portfolio!$D$6+D493*Portfolio!$D$7+E493*Portfolio!$D$8+F493*Portfolio!$D$9</f>
        <v>3.6825771059353584E-3</v>
      </c>
      <c r="H493" s="27">
        <f>IFERROR('Price Data'!G493/'Price Data'!G492-1,0)</f>
        <v>2.6610796521280289E-3</v>
      </c>
    </row>
    <row r="494" spans="1:8" ht="15">
      <c r="A494" s="25">
        <f>'Price Data'!A494</f>
        <v>45656</v>
      </c>
      <c r="B494" s="27">
        <f>IFERROR('Price Data'!B494/'Price Data'!B493-1,0)</f>
        <v>-8.4764870077213006E-3</v>
      </c>
      <c r="C494" s="27">
        <f>IFERROR('Price Data'!C494/'Price Data'!C493-1,0)</f>
        <v>-1.1316580586575586E-2</v>
      </c>
      <c r="D494" s="27">
        <f>IFERROR('Price Data'!D494/'Price Data'!D493-1,0)</f>
        <v>-1.4527226327012421E-3</v>
      </c>
      <c r="E494" s="27">
        <f>IFERROR('Price Data'!E494/'Price Data'!E493-1,0)</f>
        <v>-9.8658131623765577E-3</v>
      </c>
      <c r="F494" s="27">
        <f>IFERROR('Price Data'!F494/'Price Data'!F493-1,0)</f>
        <v>-5.6084488007729361E-3</v>
      </c>
      <c r="G494" s="27">
        <f>B494*Portfolio!$D$5+C494*Portfolio!$D$6+D494*Portfolio!$D$7+E494*Portfolio!$D$8+F494*Portfolio!$D$9</f>
        <v>-7.5599507195868937E-3</v>
      </c>
      <c r="H494" s="27">
        <f>IFERROR('Price Data'!G494/'Price Data'!G493-1,0)</f>
        <v>-7.0758479358679072E-3</v>
      </c>
    </row>
    <row r="495" spans="1:8" ht="15">
      <c r="A495" s="25">
        <f>'Price Data'!A495</f>
        <v>45657</v>
      </c>
      <c r="B495" s="27">
        <f>IFERROR('Price Data'!B495/'Price Data'!B494-1,0)</f>
        <v>3.9233672679159781E-3</v>
      </c>
      <c r="C495" s="27">
        <f>IFERROR('Price Data'!C495/'Price Data'!C494-1,0)</f>
        <v>-2.840447680699576E-3</v>
      </c>
      <c r="D495" s="27">
        <f>IFERROR('Price Data'!D495/'Price Data'!D494-1,0)</f>
        <v>-1.5388965074091154E-2</v>
      </c>
      <c r="E495" s="27">
        <f>IFERROR('Price Data'!E495/'Price Data'!E494-1,0)</f>
        <v>-1.0041365130055269E-2</v>
      </c>
      <c r="F495" s="27">
        <f>IFERROR('Price Data'!F495/'Price Data'!F494-1,0)</f>
        <v>-1.3641193279194996E-2</v>
      </c>
      <c r="G495" s="27">
        <f>B495*Portfolio!$D$5+C495*Portfolio!$D$6+D495*Portfolio!$D$7+E495*Portfolio!$D$8+F495*Portfolio!$D$9</f>
        <v>-6.3594468794016708E-3</v>
      </c>
      <c r="H495" s="27">
        <f>IFERROR('Price Data'!G495/'Price Data'!G494-1,0)</f>
        <v>-4.2127212783737988E-6</v>
      </c>
    </row>
    <row r="496" spans="1:8" ht="15">
      <c r="A496" s="25">
        <f>'Price Data'!A496</f>
        <v>45658</v>
      </c>
      <c r="B496" s="27">
        <f>IFERROR('Price Data'!B496/'Price Data'!B495-1,0)</f>
        <v>4.771917014613658E-3</v>
      </c>
      <c r="C496" s="27">
        <f>IFERROR('Price Data'!C496/'Price Data'!C495-1,0)</f>
        <v>5.584140575397134E-3</v>
      </c>
      <c r="D496" s="27">
        <f>IFERROR('Price Data'!D496/'Price Data'!D495-1,0)</f>
        <v>4.3103508651962663E-3</v>
      </c>
      <c r="E496" s="27">
        <f>IFERROR('Price Data'!E496/'Price Data'!E495-1,0)</f>
        <v>1.56053181895488E-3</v>
      </c>
      <c r="F496" s="27">
        <f>IFERROR('Price Data'!F496/'Price Data'!F495-1,0)</f>
        <v>1.3297865982782042E-3</v>
      </c>
      <c r="G496" s="27">
        <f>B496*Portfolio!$D$5+C496*Portfolio!$D$6+D496*Portfolio!$D$7+E496*Portfolio!$D$8+F496*Portfolio!$D$9</f>
        <v>3.8846323331269139E-3</v>
      </c>
      <c r="H496" s="27">
        <f>IFERROR('Price Data'!G496/'Price Data'!G495-1,0)</f>
        <v>4.1488871182535636E-3</v>
      </c>
    </row>
    <row r="497" spans="1:8" ht="15">
      <c r="A497" s="25">
        <f>'Price Data'!A497</f>
        <v>45659</v>
      </c>
      <c r="B497" s="27">
        <f>IFERROR('Price Data'!B497/'Price Data'!B496-1,0)</f>
        <v>1.6827100720942623E-2</v>
      </c>
      <c r="C497" s="27">
        <f>IFERROR('Price Data'!C497/'Price Data'!C496-1,0)</f>
        <v>6.1703416407372647E-3</v>
      </c>
      <c r="D497" s="27">
        <f>IFERROR('Price Data'!D497/'Price Data'!D496-1,0)</f>
        <v>1.5392315570490256E-2</v>
      </c>
      <c r="E497" s="27">
        <f>IFERROR('Price Data'!E497/'Price Data'!E496-1,0)</f>
        <v>5.4142046735727867E-3</v>
      </c>
      <c r="F497" s="27">
        <f>IFERROR('Price Data'!F497/'Price Data'!F496-1,0)</f>
        <v>4.0026554955600702E-2</v>
      </c>
      <c r="G497" s="27">
        <f>B497*Portfolio!$D$5+C497*Portfolio!$D$6+D497*Portfolio!$D$7+E497*Portfolio!$D$8+F497*Portfolio!$D$9</f>
        <v>1.5643937648894046E-2</v>
      </c>
      <c r="H497" s="27">
        <f>IFERROR('Price Data'!G497/'Price Data'!G496-1,0)</f>
        <v>1.8774033191665485E-2</v>
      </c>
    </row>
    <row r="498" spans="1:8" ht="15">
      <c r="A498" s="25">
        <f>'Price Data'!A498</f>
        <v>45660</v>
      </c>
      <c r="B498" s="27">
        <f>IFERROR('Price Data'!B498/'Price Data'!B497-1,0)</f>
        <v>7.5293538610903266E-3</v>
      </c>
      <c r="C498" s="27">
        <f>IFERROR('Price Data'!C498/'Price Data'!C497-1,0)</f>
        <v>-2.4836335149771127E-2</v>
      </c>
      <c r="D498" s="27">
        <f>IFERROR('Price Data'!D498/'Price Data'!D497-1,0)</f>
        <v>-1.8164482802605075E-2</v>
      </c>
      <c r="E498" s="27">
        <f>IFERROR('Price Data'!E498/'Price Data'!E497-1,0)</f>
        <v>-1.9796998391386045E-2</v>
      </c>
      <c r="F498" s="27">
        <f>IFERROR('Price Data'!F498/'Price Data'!F497-1,0)</f>
        <v>-9.7556077643753403E-3</v>
      </c>
      <c r="G498" s="27">
        <f>B498*Portfolio!$D$5+C498*Portfolio!$D$6+D498*Portfolio!$D$7+E498*Portfolio!$D$8+F498*Portfolio!$D$9</f>
        <v>-1.2392532806055423E-2</v>
      </c>
      <c r="H498" s="27">
        <f>IFERROR('Price Data'!G498/'Price Data'!G497-1,0)</f>
        <v>-7.6027553276091231E-3</v>
      </c>
    </row>
    <row r="499" spans="1:8" ht="15">
      <c r="A499" s="25">
        <f>'Price Data'!A499</f>
        <v>45663</v>
      </c>
      <c r="B499" s="27">
        <f>IFERROR('Price Data'!B499/'Price Data'!B498-1,0)</f>
        <v>-2.6495559536749091E-2</v>
      </c>
      <c r="C499" s="27">
        <f>IFERROR('Price Data'!C499/'Price Data'!C498-1,0)</f>
        <v>-2.2124267937236319E-2</v>
      </c>
      <c r="D499" s="27">
        <f>IFERROR('Price Data'!D499/'Price Data'!D498-1,0)</f>
        <v>-1.1951131990440844E-3</v>
      </c>
      <c r="E499" s="27">
        <f>IFERROR('Price Data'!E499/'Price Data'!E498-1,0)</f>
        <v>-7.5097691176273518E-4</v>
      </c>
      <c r="F499" s="27">
        <f>IFERROR('Price Data'!F499/'Price Data'!F498-1,0)</f>
        <v>-4.6413694371116865E-4</v>
      </c>
      <c r="G499" s="27">
        <f>B499*Portfolio!$D$5+C499*Portfolio!$D$6+D499*Portfolio!$D$7+E499*Portfolio!$D$8+F499*Portfolio!$D$9</f>
        <v>-1.2576246586626256E-2</v>
      </c>
      <c r="H499" s="27">
        <f>IFERROR('Price Data'!G499/'Price Data'!G498-1,0)</f>
        <v>-1.6192595996625703E-2</v>
      </c>
    </row>
    <row r="500" spans="1:8" ht="15">
      <c r="A500" s="25">
        <f>'Price Data'!A500</f>
        <v>45664</v>
      </c>
      <c r="B500" s="27">
        <f>IFERROR('Price Data'!B500/'Price Data'!B499-1,0)</f>
        <v>1.8760110007393527E-2</v>
      </c>
      <c r="C500" s="27">
        <f>IFERROR('Price Data'!C500/'Price Data'!C499-1,0)</f>
        <v>1.6952939765633168E-3</v>
      </c>
      <c r="D500" s="27">
        <f>IFERROR('Price Data'!D500/'Price Data'!D499-1,0)</f>
        <v>-1.6288178332687031E-2</v>
      </c>
      <c r="E500" s="27">
        <f>IFERROR('Price Data'!E500/'Price Data'!E499-1,0)</f>
        <v>1.1984860184416135E-2</v>
      </c>
      <c r="F500" s="27">
        <f>IFERROR('Price Data'!F500/'Price Data'!F499-1,0)</f>
        <v>-3.6123149878770633E-3</v>
      </c>
      <c r="G500" s="27">
        <f>B500*Portfolio!$D$5+C500*Portfolio!$D$6+D500*Portfolio!$D$7+E500*Portfolio!$D$8+F500*Portfolio!$D$9</f>
        <v>3.1120971089326653E-3</v>
      </c>
      <c r="H500" s="27">
        <f>IFERROR('Price Data'!G500/'Price Data'!G499-1,0)</f>
        <v>3.8892874268343647E-3</v>
      </c>
    </row>
    <row r="501" spans="1:8" ht="15">
      <c r="A501" s="25">
        <f>'Price Data'!A501</f>
        <v>45665</v>
      </c>
      <c r="B501" s="27">
        <f>IFERROR('Price Data'!B501/'Price Data'!B500-1,0)</f>
        <v>1.9865530979382928E-2</v>
      </c>
      <c r="C501" s="27">
        <f>IFERROR('Price Data'!C501/'Price Data'!C500-1,0)</f>
        <v>-1.1147307975073906E-2</v>
      </c>
      <c r="D501" s="27">
        <f>IFERROR('Price Data'!D501/'Price Data'!D500-1,0)</f>
        <v>1.9884246249257886E-2</v>
      </c>
      <c r="E501" s="27">
        <f>IFERROR('Price Data'!E501/'Price Data'!E500-1,0)</f>
        <v>-1.2116498550778121E-2</v>
      </c>
      <c r="F501" s="27">
        <f>IFERROR('Price Data'!F501/'Price Data'!F500-1,0)</f>
        <v>1.1912245592957671E-3</v>
      </c>
      <c r="G501" s="27">
        <f>B501*Portfolio!$D$5+C501*Portfolio!$D$6+D501*Portfolio!$D$7+E501*Portfolio!$D$8+F501*Portfolio!$D$9</f>
        <v>4.5176139022064798E-3</v>
      </c>
      <c r="H501" s="27">
        <f>IFERROR('Price Data'!G501/'Price Data'!G500-1,0)</f>
        <v>-7.9936103841971029E-4</v>
      </c>
    </row>
    <row r="502" spans="1:8" ht="15">
      <c r="A502" s="25">
        <f>'Price Data'!A502</f>
        <v>45666</v>
      </c>
      <c r="B502" s="27">
        <f>IFERROR('Price Data'!B502/'Price Data'!B501-1,0)</f>
        <v>-8.4946664858310816E-3</v>
      </c>
      <c r="C502" s="27">
        <f>IFERROR('Price Data'!C502/'Price Data'!C501-1,0)</f>
        <v>-1.5640693684079388E-2</v>
      </c>
      <c r="D502" s="27">
        <f>IFERROR('Price Data'!D502/'Price Data'!D501-1,0)</f>
        <v>-1.6928593036219852E-2</v>
      </c>
      <c r="E502" s="27">
        <f>IFERROR('Price Data'!E502/'Price Data'!E501-1,0)</f>
        <v>-1.0681986534116783E-3</v>
      </c>
      <c r="F502" s="27">
        <f>IFERROR('Price Data'!F502/'Price Data'!F501-1,0)</f>
        <v>-8.1989959735323525E-3</v>
      </c>
      <c r="G502" s="27">
        <f>B502*Portfolio!$D$5+C502*Portfolio!$D$6+D502*Portfolio!$D$7+E502*Portfolio!$D$8+F502*Portfolio!$D$9</f>
        <v>-1.0809637843763192E-2</v>
      </c>
      <c r="H502" s="27">
        <f>IFERROR('Price Data'!G502/'Price Data'!G501-1,0)</f>
        <v>-6.8575949591475061E-3</v>
      </c>
    </row>
    <row r="503" spans="1:8" ht="15">
      <c r="A503" s="25">
        <f>'Price Data'!A503</f>
        <v>45667</v>
      </c>
      <c r="B503" s="27">
        <f>IFERROR('Price Data'!B503/'Price Data'!B502-1,0)</f>
        <v>-1.0241093429984249E-2</v>
      </c>
      <c r="C503" s="27">
        <f>IFERROR('Price Data'!C503/'Price Data'!C502-1,0)</f>
        <v>-6.6255573738264184E-3</v>
      </c>
      <c r="D503" s="27">
        <f>IFERROR('Price Data'!D503/'Price Data'!D502-1,0)</f>
        <v>5.6154509592750035E-2</v>
      </c>
      <c r="E503" s="27">
        <f>IFERROR('Price Data'!E503/'Price Data'!E502-1,0)</f>
        <v>-9.9414405758655455E-3</v>
      </c>
      <c r="F503" s="27">
        <f>IFERROR('Price Data'!F503/'Price Data'!F502-1,0)</f>
        <v>2.5895695676804609E-2</v>
      </c>
      <c r="G503" s="27">
        <f>B503*Portfolio!$D$5+C503*Portfolio!$D$6+D503*Portfolio!$D$7+E503*Portfolio!$D$8+F503*Portfolio!$D$9</f>
        <v>9.4073774827381999E-3</v>
      </c>
      <c r="H503" s="27">
        <f>IFERROR('Price Data'!G503/'Price Data'!G502-1,0)</f>
        <v>-4.037999702463213E-3</v>
      </c>
    </row>
    <row r="504" spans="1:8" ht="15">
      <c r="A504" s="25">
        <f>'Price Data'!A504</f>
        <v>45670</v>
      </c>
      <c r="B504" s="27">
        <f>IFERROR('Price Data'!B504/'Price Data'!B503-1,0)</f>
        <v>-1.6507150421680716E-3</v>
      </c>
      <c r="C504" s="27">
        <f>IFERROR('Price Data'!C504/'Price Data'!C503-1,0)</f>
        <v>-1.5632938696571452E-2</v>
      </c>
      <c r="D504" s="27">
        <f>IFERROR('Price Data'!D504/'Price Data'!D503-1,0)</f>
        <v>5.966336873420186E-3</v>
      </c>
      <c r="E504" s="27">
        <f>IFERROR('Price Data'!E504/'Price Data'!E503-1,0)</f>
        <v>-1.6081889906994551E-2</v>
      </c>
      <c r="F504" s="27">
        <f>IFERROR('Price Data'!F504/'Price Data'!F503-1,0)</f>
        <v>-2.4149051604799299E-3</v>
      </c>
      <c r="G504" s="27">
        <f>B504*Portfolio!$D$5+C504*Portfolio!$D$6+D504*Portfolio!$D$7+E504*Portfolio!$D$8+F504*Portfolio!$D$9</f>
        <v>-5.9021653201220157E-3</v>
      </c>
      <c r="H504" s="27">
        <f>IFERROR('Price Data'!G504/'Price Data'!G503-1,0)</f>
        <v>-1.4747275302477436E-2</v>
      </c>
    </row>
    <row r="505" spans="1:8" ht="15">
      <c r="A505" s="25">
        <f>'Price Data'!A505</f>
        <v>45671</v>
      </c>
      <c r="B505" s="27">
        <f>IFERROR('Price Data'!B505/'Price Data'!B504-1,0)</f>
        <v>-8.8719953985583189E-4</v>
      </c>
      <c r="C505" s="27">
        <f>IFERROR('Price Data'!C505/'Price Data'!C504-1,0)</f>
        <v>9.657464656221082E-3</v>
      </c>
      <c r="D505" s="27">
        <f>IFERROR('Price Data'!D505/'Price Data'!D504-1,0)</f>
        <v>-1.3528033551812535E-2</v>
      </c>
      <c r="E505" s="27">
        <f>IFERROR('Price Data'!E505/'Price Data'!E504-1,0)</f>
        <v>8.5789951460317759E-3</v>
      </c>
      <c r="F505" s="27">
        <f>IFERROR('Price Data'!F505/'Price Data'!F504-1,0)</f>
        <v>-1.1288265819444199E-2</v>
      </c>
      <c r="G505" s="27">
        <f>B505*Portfolio!$D$5+C505*Portfolio!$D$6+D505*Portfolio!$D$7+E505*Portfolio!$D$8+F505*Portfolio!$D$9</f>
        <v>-9.1943103228305824E-4</v>
      </c>
      <c r="H505" s="27">
        <f>IFERROR('Price Data'!G505/'Price Data'!G504-1,0)</f>
        <v>3.9028744993869768E-3</v>
      </c>
    </row>
    <row r="506" spans="1:8" ht="15">
      <c r="A506" s="25">
        <f>'Price Data'!A506</f>
        <v>45672</v>
      </c>
      <c r="B506" s="27">
        <f>IFERROR('Price Data'!B506/'Price Data'!B505-1,0)</f>
        <v>1.0857618472363662E-2</v>
      </c>
      <c r="C506" s="27">
        <f>IFERROR('Price Data'!C506/'Price Data'!C505-1,0)</f>
        <v>-2.1559661687380327E-3</v>
      </c>
      <c r="D506" s="27">
        <f>IFERROR('Price Data'!D506/'Price Data'!D505-1,0)</f>
        <v>3.9097283872024935E-3</v>
      </c>
      <c r="E506" s="27">
        <f>IFERROR('Price Data'!E506/'Price Data'!E505-1,0)</f>
        <v>-1.6529238731658458E-3</v>
      </c>
      <c r="F506" s="27">
        <f>IFERROR('Price Data'!F506/'Price Data'!F505-1,0)</f>
        <v>4.9482703093588487E-3</v>
      </c>
      <c r="G506" s="27">
        <f>B506*Portfolio!$D$5+C506*Portfolio!$D$6+D506*Portfolio!$D$7+E506*Portfolio!$D$8+F506*Portfolio!$D$9</f>
        <v>3.4516607187758562E-3</v>
      </c>
      <c r="H506" s="27">
        <f>IFERROR('Price Data'!G506/'Price Data'!G505-1,0)</f>
        <v>1.6028803979861728E-3</v>
      </c>
    </row>
    <row r="507" spans="1:8" ht="15">
      <c r="A507" s="25">
        <f>'Price Data'!A507</f>
        <v>45673</v>
      </c>
      <c r="B507" s="27">
        <f>IFERROR('Price Data'!B507/'Price Data'!B506-1,0)</f>
        <v>1.1380021144143493E-2</v>
      </c>
      <c r="C507" s="27">
        <f>IFERROR('Price Data'!C507/'Price Data'!C506-1,0)</f>
        <v>5.4776846085420328E-3</v>
      </c>
      <c r="D507" s="27">
        <f>IFERROR('Price Data'!D507/'Price Data'!D506-1,0)</f>
        <v>-1.0189325064653754E-2</v>
      </c>
      <c r="E507" s="27">
        <f>IFERROR('Price Data'!E507/'Price Data'!E506-1,0)</f>
        <v>8.7624041669476238E-3</v>
      </c>
      <c r="F507" s="27">
        <f>IFERROR('Price Data'!F507/'Price Data'!F506-1,0)</f>
        <v>-1.0873767327749251E-2</v>
      </c>
      <c r="G507" s="27">
        <f>B507*Portfolio!$D$5+C507*Portfolio!$D$6+D507*Portfolio!$D$7+E507*Portfolio!$D$8+F507*Portfolio!$D$9</f>
        <v>1.8598569511203865E-3</v>
      </c>
      <c r="H507" s="27">
        <f>IFERROR('Price Data'!G507/'Price Data'!G506-1,0)</f>
        <v>4.2476507253836893E-3</v>
      </c>
    </row>
    <row r="508" spans="1:8" ht="15">
      <c r="A508" s="25">
        <f>'Price Data'!A508</f>
        <v>45674</v>
      </c>
      <c r="B508" s="27">
        <f>IFERROR('Price Data'!B508/'Price Data'!B507-1,0)</f>
        <v>2.8346977701285025E-2</v>
      </c>
      <c r="C508" s="27">
        <f>IFERROR('Price Data'!C508/'Price Data'!C507-1,0)</f>
        <v>-9.2612265937140892E-3</v>
      </c>
      <c r="D508" s="27">
        <f>IFERROR('Price Data'!D508/'Price Data'!D507-1,0)</f>
        <v>-1.4526630616921166E-3</v>
      </c>
      <c r="E508" s="27">
        <f>IFERROR('Price Data'!E508/'Price Data'!E507-1,0)</f>
        <v>-1.8933698473431293E-2</v>
      </c>
      <c r="F508" s="27">
        <f>IFERROR('Price Data'!F508/'Price Data'!F507-1,0)</f>
        <v>-5.8596319700087385E-2</v>
      </c>
      <c r="G508" s="27">
        <f>B508*Portfolio!$D$5+C508*Portfolio!$D$6+D508*Portfolio!$D$7+E508*Portfolio!$D$8+F508*Portfolio!$D$9</f>
        <v>-7.1485975614734906E-3</v>
      </c>
      <c r="H508" s="27">
        <f>IFERROR('Price Data'!G508/'Price Data'!G507-1,0)</f>
        <v>-4.6586517926727744E-3</v>
      </c>
    </row>
    <row r="509" spans="1:8" ht="15">
      <c r="A509" s="25">
        <f>'Price Data'!A509</f>
        <v>45677</v>
      </c>
      <c r="B509" s="27">
        <f>IFERROR('Price Data'!B509/'Price Data'!B508-1,0)</f>
        <v>2.3803347179069956E-3</v>
      </c>
      <c r="C509" s="27">
        <f>IFERROR('Price Data'!C509/'Price Data'!C508-1,0)</f>
        <v>8.8589475470115531E-3</v>
      </c>
      <c r="D509" s="27">
        <f>IFERROR('Price Data'!D509/'Price Data'!D508-1,0)</f>
        <v>-1.1274532320156294E-2</v>
      </c>
      <c r="E509" s="27">
        <f>IFERROR('Price Data'!E509/'Price Data'!E508-1,0)</f>
        <v>6.1202459180458302E-3</v>
      </c>
      <c r="F509" s="27">
        <f>IFERROR('Price Data'!F509/'Price Data'!F508-1,0)</f>
        <v>-1.184193970448999E-3</v>
      </c>
      <c r="G509" s="27">
        <f>B509*Portfolio!$D$5+C509*Portfolio!$D$6+D509*Portfolio!$D$7+E509*Portfolio!$D$8+F509*Portfolio!$D$9</f>
        <v>1.2953218943379029E-3</v>
      </c>
      <c r="H509" s="27">
        <f>IFERROR('Price Data'!G509/'Price Data'!G508-1,0)</f>
        <v>6.100485537167577E-3</v>
      </c>
    </row>
    <row r="510" spans="1:8" ht="15">
      <c r="A510" s="25">
        <f>'Price Data'!A510</f>
        <v>45678</v>
      </c>
      <c r="B510" s="27">
        <f>IFERROR('Price Data'!B510/'Price Data'!B509-1,0)</f>
        <v>-2.4321110451110406E-2</v>
      </c>
      <c r="C510" s="27">
        <f>IFERROR('Price Data'!C510/'Price Data'!C509-1,0)</f>
        <v>-5.3595424464291108E-3</v>
      </c>
      <c r="D510" s="27">
        <f>IFERROR('Price Data'!D510/'Price Data'!D509-1,0)</f>
        <v>-1.0287503539984311E-2</v>
      </c>
      <c r="E510" s="27">
        <f>IFERROR('Price Data'!E510/'Price Data'!E509-1,0)</f>
        <v>-2.9847087515220028E-2</v>
      </c>
      <c r="F510" s="27">
        <f>IFERROR('Price Data'!F510/'Price Data'!F509-1,0)</f>
        <v>-6.9487383787608659E-3</v>
      </c>
      <c r="G510" s="27">
        <f>B510*Portfolio!$D$5+C510*Portfolio!$D$6+D510*Portfolio!$D$7+E510*Portfolio!$D$8+F510*Portfolio!$D$9</f>
        <v>-1.4997037816478875E-2</v>
      </c>
      <c r="H510" s="27">
        <f>IFERROR('Price Data'!G510/'Price Data'!G509-1,0)</f>
        <v>-1.3711845677293555E-2</v>
      </c>
    </row>
    <row r="511" spans="1:8" ht="15">
      <c r="A511" s="25">
        <f>'Price Data'!A511</f>
        <v>45679</v>
      </c>
      <c r="B511" s="27">
        <f>IFERROR('Price Data'!B511/'Price Data'!B510-1,0)</f>
        <v>2.6694537639297966E-3</v>
      </c>
      <c r="C511" s="27">
        <f>IFERROR('Price Data'!C511/'Price Data'!C510-1,0)</f>
        <v>1.4399678507978075E-2</v>
      </c>
      <c r="D511" s="27">
        <f>IFERROR('Price Data'!D511/'Price Data'!D510-1,0)</f>
        <v>2.9919359974667659E-2</v>
      </c>
      <c r="E511" s="27">
        <f>IFERROR('Price Data'!E511/'Price Data'!E510-1,0)</f>
        <v>3.5947765854835723E-3</v>
      </c>
      <c r="F511" s="27">
        <f>IFERROR('Price Data'!F511/'Price Data'!F510-1,0)</f>
        <v>3.0960239329291595E-2</v>
      </c>
      <c r="G511" s="27">
        <f>B511*Portfolio!$D$5+C511*Portfolio!$D$6+D511*Portfolio!$D$7+E511*Portfolio!$D$8+F511*Portfolio!$D$9</f>
        <v>1.5434407450126777E-2</v>
      </c>
      <c r="H511" s="27">
        <f>IFERROR('Price Data'!G511/'Price Data'!G510-1,0)</f>
        <v>5.6764909144164655E-3</v>
      </c>
    </row>
    <row r="512" spans="1:8" ht="15">
      <c r="A512" s="25">
        <f>'Price Data'!A512</f>
        <v>45680</v>
      </c>
      <c r="B512" s="27">
        <f>IFERROR('Price Data'!B512/'Price Data'!B511-1,0)</f>
        <v>-1.0531671080290961E-2</v>
      </c>
      <c r="C512" s="27">
        <f>IFERROR('Price Data'!C512/'Price Data'!C511-1,0)</f>
        <v>-6.90185774186447E-4</v>
      </c>
      <c r="D512" s="27">
        <f>IFERROR('Price Data'!D512/'Price Data'!D511-1,0)</f>
        <v>-2.6824046560134374E-3</v>
      </c>
      <c r="E512" s="27">
        <f>IFERROR('Price Data'!E512/'Price Data'!E511-1,0)</f>
        <v>1.0830240564758675E-3</v>
      </c>
      <c r="F512" s="27">
        <f>IFERROR('Price Data'!F512/'Price Data'!F511-1,0)</f>
        <v>4.8478908621085726E-3</v>
      </c>
      <c r="G512" s="27">
        <f>B512*Portfolio!$D$5+C512*Portfolio!$D$6+D512*Portfolio!$D$7+E512*Portfolio!$D$8+F512*Portfolio!$D$9</f>
        <v>-2.4523079070343737E-3</v>
      </c>
      <c r="H512" s="27">
        <f>IFERROR('Price Data'!G512/'Price Data'!G511-1,0)</f>
        <v>2.1593282262408753E-3</v>
      </c>
    </row>
    <row r="513" spans="1:8" ht="15">
      <c r="A513" s="25">
        <f>'Price Data'!A513</f>
        <v>45681</v>
      </c>
      <c r="B513" s="27">
        <f>IFERROR('Price Data'!B513/'Price Data'!B512-1,0)</f>
        <v>-1.3730040438697966E-2</v>
      </c>
      <c r="C513" s="27">
        <f>IFERROR('Price Data'!C513/'Price Data'!C512-1,0)</f>
        <v>-9.0696377062573497E-3</v>
      </c>
      <c r="D513" s="27">
        <f>IFERROR('Price Data'!D513/'Price Data'!D512-1,0)</f>
        <v>1.6645466145306376E-3</v>
      </c>
      <c r="E513" s="27">
        <f>IFERROR('Price Data'!E513/'Price Data'!E512-1,0)</f>
        <v>6.1992833713178097E-3</v>
      </c>
      <c r="F513" s="27">
        <f>IFERROR('Price Data'!F513/'Price Data'!F512-1,0)</f>
        <v>5.360703314142734E-3</v>
      </c>
      <c r="G513" s="27">
        <f>B513*Portfolio!$D$5+C513*Portfolio!$D$6+D513*Portfolio!$D$7+E513*Portfolio!$D$8+F513*Portfolio!$D$9</f>
        <v>-3.6330122105136201E-3</v>
      </c>
      <c r="H513" s="27">
        <f>IFERROR('Price Data'!G513/'Price Data'!G512-1,0)</f>
        <v>-4.8760476583936674E-3</v>
      </c>
    </row>
    <row r="514" spans="1:8" ht="15">
      <c r="A514" s="25">
        <f>'Price Data'!A514</f>
        <v>45684</v>
      </c>
      <c r="B514" s="27">
        <f>IFERROR('Price Data'!B514/'Price Data'!B513-1,0)</f>
        <v>-1.3600401095603454E-2</v>
      </c>
      <c r="C514" s="27">
        <f>IFERROR('Price Data'!C514/'Price Data'!C513-1,0)</f>
        <v>-1.212270117490144E-2</v>
      </c>
      <c r="D514" s="27">
        <f>IFERROR('Price Data'!D514/'Price Data'!D513-1,0)</f>
        <v>-2.1000247103074021E-2</v>
      </c>
      <c r="E514" s="27">
        <f>IFERROR('Price Data'!E514/'Price Data'!E513-1,0)</f>
        <v>1.550613138380208E-2</v>
      </c>
      <c r="F514" s="27">
        <f>IFERROR('Price Data'!F514/'Price Data'!F513-1,0)</f>
        <v>-2.8499839655068082E-2</v>
      </c>
      <c r="G514" s="27">
        <f>B514*Portfolio!$D$5+C514*Portfolio!$D$6+D514*Portfolio!$D$7+E514*Portfolio!$D$8+F514*Portfolio!$D$9</f>
        <v>-1.2579881228930927E-2</v>
      </c>
      <c r="H514" s="27">
        <f>IFERROR('Price Data'!G514/'Price Data'!G513-1,0)</f>
        <v>-1.1391241935562957E-2</v>
      </c>
    </row>
    <row r="515" spans="1:8" ht="15">
      <c r="A515" s="25">
        <f>'Price Data'!A515</f>
        <v>45685</v>
      </c>
      <c r="B515" s="27">
        <f>IFERROR('Price Data'!B515/'Price Data'!B514-1,0)</f>
        <v>4.1079229149507679E-3</v>
      </c>
      <c r="C515" s="27">
        <f>IFERROR('Price Data'!C515/'Price Data'!C514-1,0)</f>
        <v>2.4910937835434854E-2</v>
      </c>
      <c r="D515" s="27">
        <f>IFERROR('Price Data'!D515/'Price Data'!D514-1,0)</f>
        <v>-6.1129157283661417E-3</v>
      </c>
      <c r="E515" s="27">
        <f>IFERROR('Price Data'!E515/'Price Data'!E514-1,0)</f>
        <v>1.5432250267522374E-2</v>
      </c>
      <c r="F515" s="27">
        <f>IFERROR('Price Data'!F515/'Price Data'!F514-1,0)</f>
        <v>4.2535654098880826E-3</v>
      </c>
      <c r="G515" s="27">
        <f>B515*Portfolio!$D$5+C515*Portfolio!$D$6+D515*Portfolio!$D$7+E515*Portfolio!$D$8+F515*Portfolio!$D$9</f>
        <v>8.985004393534746E-3</v>
      </c>
      <c r="H515" s="27">
        <f>IFERROR('Price Data'!G515/'Price Data'!G514-1,0)</f>
        <v>5.6112298172781294E-3</v>
      </c>
    </row>
    <row r="516" spans="1:8" ht="15">
      <c r="A516" s="25">
        <f>'Price Data'!A516</f>
        <v>45686</v>
      </c>
      <c r="B516" s="27">
        <f>IFERROR('Price Data'!B516/'Price Data'!B515-1,0)</f>
        <v>8.9111660281693261E-4</v>
      </c>
      <c r="C516" s="27">
        <f>IFERROR('Price Data'!C516/'Price Data'!C515-1,0)</f>
        <v>4.1307825138940935E-3</v>
      </c>
      <c r="D516" s="27">
        <f>IFERROR('Price Data'!D516/'Price Data'!D515-1,0)</f>
        <v>1.4726534729500029E-2</v>
      </c>
      <c r="E516" s="27">
        <f>IFERROR('Price Data'!E516/'Price Data'!E515-1,0)</f>
        <v>3.8094422551928631E-3</v>
      </c>
      <c r="F516" s="27">
        <f>IFERROR('Price Data'!F516/'Price Data'!F515-1,0)</f>
        <v>2.814590774801573E-2</v>
      </c>
      <c r="G516" s="27">
        <f>B516*Portfolio!$D$5+C516*Portfolio!$D$6+D516*Portfolio!$D$7+E516*Portfolio!$D$8+F516*Portfolio!$D$9</f>
        <v>8.99408422555905E-3</v>
      </c>
      <c r="H516" s="27">
        <f>IFERROR('Price Data'!G516/'Price Data'!G515-1,0)</f>
        <v>8.966649288351114E-3</v>
      </c>
    </row>
    <row r="517" spans="1:8" ht="15">
      <c r="A517" s="25">
        <f>'Price Data'!A517</f>
        <v>45687</v>
      </c>
      <c r="B517" s="27">
        <f>IFERROR('Price Data'!B517/'Price Data'!B516-1,0)</f>
        <v>1.420481101409754E-2</v>
      </c>
      <c r="C517" s="27">
        <f>IFERROR('Price Data'!C517/'Price Data'!C516-1,0)</f>
        <v>8.4660201105093424E-3</v>
      </c>
      <c r="D517" s="27">
        <f>IFERROR('Price Data'!D517/'Price Data'!D516-1,0)</f>
        <v>6.0944091414105728E-5</v>
      </c>
      <c r="E517" s="27">
        <f>IFERROR('Price Data'!E517/'Price Data'!E516-1,0)</f>
        <v>3.1557720948764967E-3</v>
      </c>
      <c r="F517" s="27">
        <f>IFERROR('Price Data'!F517/'Price Data'!F516-1,0)</f>
        <v>-1.1322226425144355E-2</v>
      </c>
      <c r="G517" s="27">
        <f>B517*Portfolio!$D$5+C517*Portfolio!$D$6+D517*Portfolio!$D$7+E517*Portfolio!$D$8+F517*Portfolio!$D$9</f>
        <v>4.4549284498943634E-3</v>
      </c>
      <c r="H517" s="27">
        <f>IFERROR('Price Data'!G517/'Price Data'!G516-1,0)</f>
        <v>3.730087599762788E-3</v>
      </c>
    </row>
    <row r="518" spans="1:8" ht="15">
      <c r="A518" s="25">
        <f>'Price Data'!A518</f>
        <v>45688</v>
      </c>
      <c r="B518" s="27">
        <f>IFERROR('Price Data'!B518/'Price Data'!B517-1,0)</f>
        <v>9.6164947627010999E-3</v>
      </c>
      <c r="C518" s="27">
        <f>IFERROR('Price Data'!C518/'Price Data'!C517-1,0)</f>
        <v>4.2861018726545463E-3</v>
      </c>
      <c r="D518" s="27">
        <f>IFERROR('Price Data'!D518/'Price Data'!D517-1,0)</f>
        <v>3.0121779603879961E-3</v>
      </c>
      <c r="E518" s="27">
        <f>IFERROR('Price Data'!E518/'Price Data'!E517-1,0)</f>
        <v>-2.2299148946676173E-3</v>
      </c>
      <c r="F518" s="27">
        <f>IFERROR('Price Data'!F518/'Price Data'!F517-1,0)</f>
        <v>1.0672407291862473E-2</v>
      </c>
      <c r="G518" s="27">
        <f>B518*Portfolio!$D$5+C518*Portfolio!$D$6+D518*Portfolio!$D$7+E518*Portfolio!$D$8+F518*Portfolio!$D$9</f>
        <v>5.3444586104957389E-3</v>
      </c>
      <c r="H518" s="27">
        <f>IFERROR('Price Data'!G518/'Price Data'!G517-1,0)</f>
        <v>1.1135740150325812E-2</v>
      </c>
    </row>
    <row r="519" spans="1:8" ht="15">
      <c r="A519" s="25">
        <f>'Price Data'!A519</f>
        <v>45689</v>
      </c>
      <c r="B519" s="27">
        <f>IFERROR('Price Data'!B519/'Price Data'!B518-1,0)</f>
        <v>-3.9523248984307813E-4</v>
      </c>
      <c r="C519" s="27">
        <f>IFERROR('Price Data'!C519/'Price Data'!C518-1,0)</f>
        <v>-4.5916377850774293E-3</v>
      </c>
      <c r="D519" s="27">
        <f>IFERROR('Price Data'!D519/'Price Data'!D518-1,0)</f>
        <v>-9.5442599976991449E-3</v>
      </c>
      <c r="E519" s="27">
        <f>IFERROR('Price Data'!E519/'Price Data'!E518-1,0)</f>
        <v>2.1950334606364308E-3</v>
      </c>
      <c r="F519" s="27">
        <f>IFERROR('Price Data'!F519/'Price Data'!F518-1,0)</f>
        <v>-1.5134675524565044E-2</v>
      </c>
      <c r="G519" s="27">
        <f>B519*Portfolio!$D$5+C519*Portfolio!$D$6+D519*Portfolio!$D$7+E519*Portfolio!$D$8+F519*Portfolio!$D$9</f>
        <v>-5.0965158778592482E-3</v>
      </c>
      <c r="H519" s="27">
        <f>IFERROR('Price Data'!G519/'Price Data'!G518-1,0)</f>
        <v>-1.1166221250199504E-3</v>
      </c>
    </row>
    <row r="520" spans="1:8" ht="15">
      <c r="A520" s="25">
        <f>'Price Data'!A520</f>
        <v>45691</v>
      </c>
      <c r="B520" s="27">
        <f>IFERROR('Price Data'!B520/'Price Data'!B519-1,0)</f>
        <v>-1.4787208604033264E-2</v>
      </c>
      <c r="C520" s="27">
        <f>IFERROR('Price Data'!C520/'Price Data'!C519-1,0)</f>
        <v>-7.6583789402612235E-3</v>
      </c>
      <c r="D520" s="27">
        <f>IFERROR('Price Data'!D520/'Price Data'!D519-1,0)</f>
        <v>-1.1047995867906613E-3</v>
      </c>
      <c r="E520" s="27">
        <f>IFERROR('Price Data'!E520/'Price Data'!E519-1,0)</f>
        <v>-2.0310168506796344E-3</v>
      </c>
      <c r="F520" s="27">
        <f>IFERROR('Price Data'!F520/'Price Data'!F519-1,0)</f>
        <v>6.454773756250809E-3</v>
      </c>
      <c r="G520" s="27">
        <f>B520*Portfolio!$D$5+C520*Portfolio!$D$6+D520*Portfolio!$D$7+E520*Portfolio!$D$8+F520*Portfolio!$D$9</f>
        <v>-5.1687932675960778E-3</v>
      </c>
      <c r="H520" s="27">
        <f>IFERROR('Price Data'!G520/'Price Data'!G519-1,0)</f>
        <v>-5.1570919766934509E-3</v>
      </c>
    </row>
    <row r="521" spans="1:8" ht="15">
      <c r="A521" s="25">
        <f>'Price Data'!A521</f>
        <v>45692</v>
      </c>
      <c r="B521" s="27">
        <f>IFERROR('Price Data'!B521/'Price Data'!B520-1,0)</f>
        <v>3.1543352097326283E-2</v>
      </c>
      <c r="C521" s="27">
        <f>IFERROR('Price Data'!C521/'Price Data'!C520-1,0)</f>
        <v>2.5566221399434541E-2</v>
      </c>
      <c r="D521" s="27">
        <f>IFERROR('Price Data'!D521/'Price Data'!D520-1,0)</f>
        <v>9.4379915686151339E-3</v>
      </c>
      <c r="E521" s="27">
        <f>IFERROR('Price Data'!E521/'Price Data'!E520-1,0)</f>
        <v>1.2130889713115378E-2</v>
      </c>
      <c r="F521" s="27">
        <f>IFERROR('Price Data'!F521/'Price Data'!F520-1,0)</f>
        <v>1.9052278114264576E-2</v>
      </c>
      <c r="G521" s="27">
        <f>B521*Portfolio!$D$5+C521*Portfolio!$D$6+D521*Portfolio!$D$7+E521*Portfolio!$D$8+F521*Portfolio!$D$9</f>
        <v>2.0842466862020226E-2</v>
      </c>
      <c r="H521" s="27">
        <f>IFERROR('Price Data'!G521/'Price Data'!G520-1,0)</f>
        <v>1.6189306820631133E-2</v>
      </c>
    </row>
    <row r="522" spans="1:8" ht="15">
      <c r="A522" s="25">
        <f>'Price Data'!A522</f>
        <v>45693</v>
      </c>
      <c r="B522" s="27">
        <f>IFERROR('Price Data'!B522/'Price Data'!B521-1,0)</f>
        <v>-5.4466214239332622E-3</v>
      </c>
      <c r="C522" s="27">
        <f>IFERROR('Price Data'!C522/'Price Data'!C521-1,0)</f>
        <v>9.8204495353599874E-3</v>
      </c>
      <c r="D522" s="27">
        <f>IFERROR('Price Data'!D522/'Price Data'!D521-1,0)</f>
        <v>-3.8835010762950928E-3</v>
      </c>
      <c r="E522" s="27">
        <f>IFERROR('Price Data'!E522/'Price Data'!E521-1,0)</f>
        <v>-3.9429480156494279E-4</v>
      </c>
      <c r="F522" s="27">
        <f>IFERROR('Price Data'!F522/'Price Data'!F521-1,0)</f>
        <v>-9.2163418067914282E-4</v>
      </c>
      <c r="G522" s="27">
        <f>B522*Portfolio!$D$5+C522*Portfolio!$D$6+D522*Portfolio!$D$7+E522*Portfolio!$D$8+F522*Portfolio!$D$9</f>
        <v>1.1936746526104987E-4</v>
      </c>
      <c r="H522" s="27">
        <f>IFERROR('Price Data'!G522/'Price Data'!G521-1,0)</f>
        <v>-1.809207062143936E-3</v>
      </c>
    </row>
    <row r="523" spans="1:8" ht="15">
      <c r="A523" s="25">
        <f>'Price Data'!A523</f>
        <v>45694</v>
      </c>
      <c r="B523" s="27">
        <f>IFERROR('Price Data'!B523/'Price Data'!B522-1,0)</f>
        <v>2.6209472919784815E-3</v>
      </c>
      <c r="C523" s="27">
        <f>IFERROR('Price Data'!C523/'Price Data'!C522-1,0)</f>
        <v>3.4813419927830491E-3</v>
      </c>
      <c r="D523" s="27">
        <f>IFERROR('Price Data'!D523/'Price Data'!D522-1,0)</f>
        <v>-2.0409625488754246E-3</v>
      </c>
      <c r="E523" s="27">
        <f>IFERROR('Price Data'!E523/'Price Data'!E522-1,0)</f>
        <v>3.7075420067769205E-3</v>
      </c>
      <c r="F523" s="27">
        <f>IFERROR('Price Data'!F523/'Price Data'!F522-1,0)</f>
        <v>9.8046369104483055E-3</v>
      </c>
      <c r="G523" s="27">
        <f>B523*Portfolio!$D$5+C523*Portfolio!$D$6+D523*Portfolio!$D$7+E523*Portfolio!$D$8+F523*Portfolio!$D$9</f>
        <v>3.144206648999082E-3</v>
      </c>
      <c r="H523" s="27">
        <f>IFERROR('Price Data'!G523/'Price Data'!G522-1,0)</f>
        <v>-3.9226026346081966E-3</v>
      </c>
    </row>
    <row r="524" spans="1:8" ht="15">
      <c r="A524" s="25">
        <f>'Price Data'!A524</f>
        <v>45695</v>
      </c>
      <c r="B524" s="27">
        <f>IFERROR('Price Data'!B524/'Price Data'!B523-1,0)</f>
        <v>-1.158756678390982E-2</v>
      </c>
      <c r="C524" s="27">
        <f>IFERROR('Price Data'!C524/'Price Data'!C523-1,0)</f>
        <v>-6.3652460838076186E-3</v>
      </c>
      <c r="D524" s="27">
        <f>IFERROR('Price Data'!D524/'Price Data'!D523-1,0)</f>
        <v>-1.306727913750616E-2</v>
      </c>
      <c r="E524" s="27">
        <f>IFERROR('Price Data'!E524/'Price Data'!E523-1,0)</f>
        <v>-1.2181631928573244E-2</v>
      </c>
      <c r="F524" s="27">
        <f>IFERROR('Price Data'!F524/'Price Data'!F523-1,0)</f>
        <v>-6.2641890356583962E-3</v>
      </c>
      <c r="G524" s="27">
        <f>B524*Portfolio!$D$5+C524*Portfolio!$D$6+D524*Portfolio!$D$7+E524*Portfolio!$D$8+F524*Portfolio!$D$9</f>
        <v>-9.8685321890653373E-3</v>
      </c>
      <c r="H524" s="27">
        <f>IFERROR('Price Data'!G524/'Price Data'!G523-1,0)</f>
        <v>-1.8387386257991967E-3</v>
      </c>
    </row>
    <row r="525" spans="1:8" ht="15">
      <c r="A525" s="25">
        <f>'Price Data'!A525</f>
        <v>45698</v>
      </c>
      <c r="B525" s="27">
        <f>IFERROR('Price Data'!B525/'Price Data'!B524-1,0)</f>
        <v>-1.0302333990412138E-2</v>
      </c>
      <c r="C525" s="27">
        <f>IFERROR('Price Data'!C525/'Price Data'!C524-1,0)</f>
        <v>-9.8109926289265958E-3</v>
      </c>
      <c r="D525" s="27">
        <f>IFERROR('Price Data'!D525/'Price Data'!D524-1,0)</f>
        <v>1.8737355604601102E-3</v>
      </c>
      <c r="E525" s="27">
        <f>IFERROR('Price Data'!E525/'Price Data'!E524-1,0)</f>
        <v>4.5348824122097842E-3</v>
      </c>
      <c r="F525" s="27">
        <f>IFERROR('Price Data'!F525/'Price Data'!F524-1,0)</f>
        <v>-1.2265917261953141E-2</v>
      </c>
      <c r="G525" s="27">
        <f>B525*Portfolio!$D$5+C525*Portfolio!$D$6+D525*Portfolio!$D$7+E525*Portfolio!$D$8+F525*Portfolio!$D$9</f>
        <v>-5.8132397702041648E-3</v>
      </c>
      <c r="H525" s="27">
        <f>IFERROR('Price Data'!G525/'Price Data'!G524-1,0)</f>
        <v>-7.5700336923079092E-3</v>
      </c>
    </row>
    <row r="526" spans="1:8" ht="15">
      <c r="A526" s="25">
        <f>'Price Data'!A526</f>
        <v>45699</v>
      </c>
      <c r="B526" s="27">
        <f>IFERROR('Price Data'!B526/'Price Data'!B525-1,0)</f>
        <v>-1.4996213895739241E-2</v>
      </c>
      <c r="C526" s="27">
        <f>IFERROR('Price Data'!C526/'Price Data'!C525-1,0)</f>
        <v>-8.3635981936814874E-3</v>
      </c>
      <c r="D526" s="27">
        <f>IFERROR('Price Data'!D526/'Price Data'!D525-1,0)</f>
        <v>-1.8181993437449084E-2</v>
      </c>
      <c r="E526" s="27">
        <f>IFERROR('Price Data'!E526/'Price Data'!E525-1,0)</f>
        <v>-7.8013285436574487E-3</v>
      </c>
      <c r="F526" s="27">
        <f>IFERROR('Price Data'!F526/'Price Data'!F525-1,0)</f>
        <v>-2.4729946849803008E-3</v>
      </c>
      <c r="G526" s="27">
        <f>B526*Portfolio!$D$5+C526*Portfolio!$D$6+D526*Portfolio!$D$7+E526*Portfolio!$D$8+F526*Portfolio!$D$9</f>
        <v>-1.1017500194140663E-2</v>
      </c>
      <c r="H526" s="27">
        <f>IFERROR('Price Data'!G526/'Price Data'!G525-1,0)</f>
        <v>-1.3249684936046169E-2</v>
      </c>
    </row>
    <row r="527" spans="1:8" ht="15">
      <c r="A527" s="25">
        <f>'Price Data'!A527</f>
        <v>45700</v>
      </c>
      <c r="B527" s="27">
        <f>IFERROR('Price Data'!B527/'Price Data'!B526-1,0)</f>
        <v>-1.4819609664862288E-2</v>
      </c>
      <c r="C527" s="27">
        <f>IFERROR('Price Data'!C527/'Price Data'!C526-1,0)</f>
        <v>3.1738064869510918E-3</v>
      </c>
      <c r="D527" s="27">
        <f>IFERROR('Price Data'!D527/'Price Data'!D526-1,0)</f>
        <v>-3.3807939281992327E-3</v>
      </c>
      <c r="E527" s="27">
        <f>IFERROR('Price Data'!E527/'Price Data'!E526-1,0)</f>
        <v>-7.5835029793946962E-4</v>
      </c>
      <c r="F527" s="27">
        <f>IFERROR('Price Data'!F527/'Price Data'!F526-1,0)</f>
        <v>-6.6643527978986761E-3</v>
      </c>
      <c r="G527" s="27">
        <f>B527*Portfolio!$D$5+C527*Portfolio!$D$6+D527*Portfolio!$D$7+E527*Portfolio!$D$8+F527*Portfolio!$D$9</f>
        <v>-4.7010150444933676E-3</v>
      </c>
      <c r="H527" s="27">
        <f>IFERROR('Price Data'!G527/'Price Data'!G526-1,0)</f>
        <v>-1.1507892904301098E-3</v>
      </c>
    </row>
    <row r="528" spans="1:8" ht="15">
      <c r="A528" s="25">
        <f>'Price Data'!A528</f>
        <v>45701</v>
      </c>
      <c r="B528" s="27">
        <f>IFERROR('Price Data'!B528/'Price Data'!B527-1,0)</f>
        <v>-3.7001618011123227E-4</v>
      </c>
      <c r="C528" s="27">
        <f>IFERROR('Price Data'!C528/'Price Data'!C527-1,0)</f>
        <v>-5.3316696105295547E-3</v>
      </c>
      <c r="D528" s="27">
        <f>IFERROR('Price Data'!D528/'Price Data'!D527-1,0)</f>
        <v>-1.0126172099170994E-2</v>
      </c>
      <c r="E528" s="27">
        <f>IFERROR('Price Data'!E528/'Price Data'!E527-1,0)</f>
        <v>-2.3166744052927069E-3</v>
      </c>
      <c r="F528" s="27">
        <f>IFERROR('Price Data'!F528/'Price Data'!F527-1,0)</f>
        <v>-1.0680885610280244E-2</v>
      </c>
      <c r="G528" s="27">
        <f>B528*Portfolio!$D$5+C528*Portfolio!$D$6+D528*Portfolio!$D$7+E528*Portfolio!$D$8+F528*Portfolio!$D$9</f>
        <v>-5.4002898698303388E-3</v>
      </c>
      <c r="H528" s="27">
        <f>IFERROR('Price Data'!G528/'Price Data'!G527-1,0)</f>
        <v>-6.0097457719054947E-4</v>
      </c>
    </row>
    <row r="529" spans="1:8" ht="15">
      <c r="A529" s="25">
        <f>'Price Data'!A529</f>
        <v>45702</v>
      </c>
      <c r="B529" s="27">
        <f>IFERROR('Price Data'!B529/'Price Data'!B528-1,0)</f>
        <v>9.4573318012880492E-4</v>
      </c>
      <c r="C529" s="27">
        <f>IFERROR('Price Data'!C529/'Price Data'!C528-1,0)</f>
        <v>-1.6787400730168267E-3</v>
      </c>
      <c r="D529" s="27">
        <f>IFERROR('Price Data'!D529/'Price Data'!D528-1,0)</f>
        <v>6.3168024181432525E-3</v>
      </c>
      <c r="E529" s="27">
        <f>IFERROR('Price Data'!E529/'Price Data'!E528-1,0)</f>
        <v>8.9679049312247905E-3</v>
      </c>
      <c r="F529" s="27">
        <f>IFERROR('Price Data'!F529/'Price Data'!F528-1,0)</f>
        <v>7.1341206603470209E-3</v>
      </c>
      <c r="G529" s="27">
        <f>B529*Portfolio!$D$5+C529*Portfolio!$D$6+D529*Portfolio!$D$7+E529*Portfolio!$D$8+F529*Portfolio!$D$9</f>
        <v>3.4954125991424169E-3</v>
      </c>
      <c r="H529" s="27">
        <f>IFERROR('Price Data'!G529/'Price Data'!G528-1,0)</f>
        <v>-4.4352661537063742E-3</v>
      </c>
    </row>
    <row r="530" spans="1:8" ht="15">
      <c r="A530" s="25">
        <f>'Price Data'!A530</f>
        <v>45705</v>
      </c>
      <c r="B530" s="27">
        <f>IFERROR('Price Data'!B530/'Price Data'!B529-1,0)</f>
        <v>6.2847360811397746E-3</v>
      </c>
      <c r="C530" s="27">
        <f>IFERROR('Price Data'!C530/'Price Data'!C529-1,0)</f>
        <v>1.327552455066372E-2</v>
      </c>
      <c r="D530" s="27">
        <f>IFERROR('Price Data'!D530/'Price Data'!D529-1,0)</f>
        <v>-7.7130324106499115E-3</v>
      </c>
      <c r="E530" s="27">
        <f>IFERROR('Price Data'!E530/'Price Data'!E529-1,0)</f>
        <v>-7.1026107954373918E-3</v>
      </c>
      <c r="F530" s="27">
        <f>IFERROR('Price Data'!F530/'Price Data'!F529-1,0)</f>
        <v>-7.5952869242235099E-3</v>
      </c>
      <c r="G530" s="27">
        <f>B530*Portfolio!$D$5+C530*Portfolio!$D$6+D530*Portfolio!$D$7+E530*Portfolio!$D$8+F530*Portfolio!$D$9</f>
        <v>1.1427740178717562E-3</v>
      </c>
      <c r="H530" s="27">
        <f>IFERROR('Price Data'!G530/'Price Data'!G529-1,0)</f>
        <v>1.3192755977626813E-3</v>
      </c>
    </row>
    <row r="531" spans="1:8" ht="15">
      <c r="A531" s="25">
        <f>'Price Data'!A531</f>
        <v>45706</v>
      </c>
      <c r="B531" s="27">
        <f>IFERROR('Price Data'!B531/'Price Data'!B530-1,0)</f>
        <v>4.0820359558924046E-4</v>
      </c>
      <c r="C531" s="27">
        <f>IFERROR('Price Data'!C531/'Price Data'!C530-1,0)</f>
        <v>3.3190636493911629E-3</v>
      </c>
      <c r="D531" s="27">
        <f>IFERROR('Price Data'!D531/'Price Data'!D530-1,0)</f>
        <v>-8.0164979903679656E-3</v>
      </c>
      <c r="E531" s="27">
        <f>IFERROR('Price Data'!E531/'Price Data'!E530-1,0)</f>
        <v>-6.4740322453940014E-3</v>
      </c>
      <c r="F531" s="27">
        <f>IFERROR('Price Data'!F531/'Price Data'!F530-1,0)</f>
        <v>5.2380009813324246E-3</v>
      </c>
      <c r="G531" s="27">
        <f>B531*Portfolio!$D$5+C531*Portfolio!$D$6+D531*Portfolio!$D$7+E531*Portfolio!$D$8+F531*Portfolio!$D$9</f>
        <v>-8.5688747643772887E-4</v>
      </c>
      <c r="H531" s="27">
        <f>IFERROR('Price Data'!G531/'Price Data'!G530-1,0)</f>
        <v>-6.1844634029484258E-4</v>
      </c>
    </row>
    <row r="532" spans="1:8" ht="15">
      <c r="A532" s="25">
        <f>'Price Data'!A532</f>
        <v>45707</v>
      </c>
      <c r="B532" s="27">
        <f>IFERROR('Price Data'!B532/'Price Data'!B531-1,0)</f>
        <v>1.6727408352932294E-3</v>
      </c>
      <c r="C532" s="27">
        <f>IFERROR('Price Data'!C532/'Price Data'!C531-1,0)</f>
        <v>2.4085466838943415E-3</v>
      </c>
      <c r="D532" s="27">
        <f>IFERROR('Price Data'!D532/'Price Data'!D531-1,0)</f>
        <v>-2.3004149963406051E-2</v>
      </c>
      <c r="E532" s="27">
        <f>IFERROR('Price Data'!E532/'Price Data'!E531-1,0)</f>
        <v>1.4963245270157799E-2</v>
      </c>
      <c r="F532" s="27">
        <f>IFERROR('Price Data'!F532/'Price Data'!F531-1,0)</f>
        <v>-2.2219797082353332E-2</v>
      </c>
      <c r="G532" s="27">
        <f>B532*Portfolio!$D$5+C532*Portfolio!$D$6+D532*Portfolio!$D$7+E532*Portfolio!$D$8+F532*Portfolio!$D$9</f>
        <v>-4.6689908847136474E-3</v>
      </c>
      <c r="H532" s="27">
        <f>IFERROR('Price Data'!G532/'Price Data'!G531-1,0)</f>
        <v>-5.4043269004055983E-4</v>
      </c>
    </row>
    <row r="533" spans="1:8" ht="15">
      <c r="A533" s="25">
        <f>'Price Data'!A533</f>
        <v>45708</v>
      </c>
      <c r="B533" s="27">
        <f>IFERROR('Price Data'!B533/'Price Data'!B532-1,0)</f>
        <v>4.5216374954157867E-3</v>
      </c>
      <c r="C533" s="27">
        <f>IFERROR('Price Data'!C533/'Price Data'!C532-1,0)</f>
        <v>-2.3216796802184692E-2</v>
      </c>
      <c r="D533" s="27">
        <f>IFERROR('Price Data'!D533/'Price Data'!D532-1,0)</f>
        <v>-1.2420940813202552E-3</v>
      </c>
      <c r="E533" s="27">
        <f>IFERROR('Price Data'!E533/'Price Data'!E532-1,0)</f>
        <v>-9.2736180955722558E-3</v>
      </c>
      <c r="F533" s="27">
        <f>IFERROR('Price Data'!F533/'Price Data'!F532-1,0)</f>
        <v>7.9246840883309133E-3</v>
      </c>
      <c r="G533" s="27">
        <f>B533*Portfolio!$D$5+C533*Portfolio!$D$6+D533*Portfolio!$D$7+E533*Portfolio!$D$8+F533*Portfolio!$D$9</f>
        <v>-5.1245487440424791E-3</v>
      </c>
      <c r="H533" s="27">
        <f>IFERROR('Price Data'!G533/'Price Data'!G532-1,0)</f>
        <v>-8.6120811862389068E-4</v>
      </c>
    </row>
    <row r="534" spans="1:8" ht="15">
      <c r="A534" s="25">
        <f>'Price Data'!A534</f>
        <v>45709</v>
      </c>
      <c r="B534" s="27">
        <f>IFERROR('Price Data'!B534/'Price Data'!B533-1,0)</f>
        <v>-3.9334935915839031E-3</v>
      </c>
      <c r="C534" s="27">
        <f>IFERROR('Price Data'!C534/'Price Data'!C533-1,0)</f>
        <v>3.2007827929281252E-3</v>
      </c>
      <c r="D534" s="27">
        <f>IFERROR('Price Data'!D534/'Price Data'!D533-1,0)</f>
        <v>1.7463100132770748E-3</v>
      </c>
      <c r="E534" s="27">
        <f>IFERROR('Price Data'!E534/'Price Data'!E533-1,0)</f>
        <v>-1.3600577727836072E-2</v>
      </c>
      <c r="F534" s="27">
        <f>IFERROR('Price Data'!F534/'Price Data'!F533-1,0)</f>
        <v>-5.5612399815508917E-3</v>
      </c>
      <c r="G534" s="27">
        <f>B534*Portfolio!$D$5+C534*Portfolio!$D$6+D534*Portfolio!$D$7+E534*Portfolio!$D$8+F534*Portfolio!$D$9</f>
        <v>-2.708188353416574E-3</v>
      </c>
      <c r="H534" s="27">
        <f>IFERROR('Price Data'!G534/'Price Data'!G533-1,0)</f>
        <v>-5.117148798882476E-3</v>
      </c>
    </row>
    <row r="535" spans="1:8" ht="15">
      <c r="A535" s="25">
        <f>'Price Data'!A535</f>
        <v>45712</v>
      </c>
      <c r="B535" s="27">
        <f>IFERROR('Price Data'!B535/'Price Data'!B534-1,0)</f>
        <v>-1.1073436404433479E-2</v>
      </c>
      <c r="C535" s="27">
        <f>IFERROR('Price Data'!C535/'Price Data'!C534-1,0)</f>
        <v>-9.098962746929784E-3</v>
      </c>
      <c r="D535" s="27">
        <f>IFERROR('Price Data'!D535/'Price Data'!D534-1,0)</f>
        <v>-2.9160025992449712E-2</v>
      </c>
      <c r="E535" s="27">
        <f>IFERROR('Price Data'!E535/'Price Data'!E534-1,0)</f>
        <v>-1.1841478808514938E-2</v>
      </c>
      <c r="F535" s="27">
        <f>IFERROR('Price Data'!F535/'Price Data'!F534-1,0)</f>
        <v>-2.8044119843282367E-2</v>
      </c>
      <c r="G535" s="27">
        <f>B535*Portfolio!$D$5+C535*Portfolio!$D$6+D535*Portfolio!$D$7+E535*Portfolio!$D$8+F535*Portfolio!$D$9</f>
        <v>-1.6857944784100354E-2</v>
      </c>
      <c r="H535" s="27">
        <f>IFERROR('Price Data'!G535/'Price Data'!G534-1,0)</f>
        <v>-1.0640105330068539E-2</v>
      </c>
    </row>
    <row r="536" spans="1:8" ht="15">
      <c r="A536" s="25">
        <f>'Price Data'!A536</f>
        <v>45713</v>
      </c>
      <c r="B536" s="27">
        <f>IFERROR('Price Data'!B536/'Price Data'!B535-1,0)</f>
        <v>-8.6863821298515109E-3</v>
      </c>
      <c r="C536" s="27">
        <f>IFERROR('Price Data'!C536/'Price Data'!C535-1,0)</f>
        <v>3.130404238644191E-3</v>
      </c>
      <c r="D536" s="27">
        <f>IFERROR('Price Data'!D536/'Price Data'!D535-1,0)</f>
        <v>-1.2528569234621423E-2</v>
      </c>
      <c r="E536" s="27">
        <f>IFERROR('Price Data'!E536/'Price Data'!E535-1,0)</f>
        <v>4.7605580646226109E-3</v>
      </c>
      <c r="F536" s="27">
        <f>IFERROR('Price Data'!F536/'Price Data'!F535-1,0)</f>
        <v>2.0407142769278686E-3</v>
      </c>
      <c r="G536" s="27">
        <f>B536*Portfolio!$D$5+C536*Portfolio!$D$6+D536*Portfolio!$D$7+E536*Portfolio!$D$8+F536*Portfolio!$D$9</f>
        <v>-2.8745174684935426E-3</v>
      </c>
      <c r="H536" s="27">
        <f>IFERROR('Price Data'!G536/'Price Data'!G535-1,0)</f>
        <v>-2.5711604818956513E-4</v>
      </c>
    </row>
    <row r="537" spans="1:8" ht="15">
      <c r="A537" s="25">
        <f>'Price Data'!A537</f>
        <v>45715</v>
      </c>
      <c r="B537" s="27">
        <f>IFERROR('Price Data'!B537/'Price Data'!B536-1,0)</f>
        <v>2.5746723497552804E-3</v>
      </c>
      <c r="C537" s="27">
        <f>IFERROR('Price Data'!C537/'Price Data'!C536-1,0)</f>
        <v>1.0907347315639804E-2</v>
      </c>
      <c r="D537" s="27">
        <f>IFERROR('Price Data'!D537/'Price Data'!D536-1,0)</f>
        <v>-4.6838772547247443E-3</v>
      </c>
      <c r="E537" s="27">
        <f>IFERROR('Price Data'!E537/'Price Data'!E536-1,0)</f>
        <v>-1.3887422045287812E-3</v>
      </c>
      <c r="F537" s="27">
        <f>IFERROR('Price Data'!F537/'Price Data'!F536-1,0)</f>
        <v>-1.9233152323689939E-3</v>
      </c>
      <c r="G537" s="27">
        <f>B537*Portfolio!$D$5+C537*Portfolio!$D$6+D537*Portfolio!$D$7+E537*Portfolio!$D$8+F537*Portfolio!$D$9</f>
        <v>1.9369208498691557E-3</v>
      </c>
      <c r="H537" s="27">
        <f>IFERROR('Price Data'!G537/'Price Data'!G536-1,0)</f>
        <v>-1.1087678764998277E-4</v>
      </c>
    </row>
    <row r="538" spans="1:8" ht="15">
      <c r="A538" s="25">
        <f>'Price Data'!A538</f>
        <v>45716</v>
      </c>
      <c r="B538" s="27">
        <f>IFERROR('Price Data'!B538/'Price Data'!B537-1,0)</f>
        <v>-5.7990205323454891E-3</v>
      </c>
      <c r="C538" s="27">
        <f>IFERROR('Price Data'!C538/'Price Data'!C537-1,0)</f>
        <v>1.8639443044819348E-2</v>
      </c>
      <c r="D538" s="27">
        <f>IFERROR('Price Data'!D538/'Price Data'!D537-1,0)</f>
        <v>-3.579182952875537E-2</v>
      </c>
      <c r="E538" s="27">
        <f>IFERROR('Price Data'!E538/'Price Data'!E537-1,0)</f>
        <v>-1.5010820989428963E-2</v>
      </c>
      <c r="F538" s="27">
        <f>IFERROR('Price Data'!F538/'Price Data'!F537-1,0)</f>
        <v>-4.3416715816219309E-2</v>
      </c>
      <c r="G538" s="27">
        <f>B538*Portfolio!$D$5+C538*Portfolio!$D$6+D538*Portfolio!$D$7+E538*Portfolio!$D$8+F538*Portfolio!$D$9</f>
        <v>-1.271239079847985E-2</v>
      </c>
      <c r="H538" s="27">
        <f>IFERROR('Price Data'!G538/'Price Data'!G537-1,0)</f>
        <v>-1.8644959666695105E-2</v>
      </c>
    </row>
    <row r="539" spans="1:8" ht="15">
      <c r="A539" s="25">
        <f>'Price Data'!A539</f>
        <v>45719</v>
      </c>
      <c r="B539" s="27">
        <f>IFERROR('Price Data'!B539/'Price Data'!B538-1,0)</f>
        <v>-2.4039698599903736E-2</v>
      </c>
      <c r="C539" s="27">
        <f>IFERROR('Price Data'!C539/'Price Data'!C538-1,0)</f>
        <v>-1.7807617619606586E-2</v>
      </c>
      <c r="D539" s="27">
        <f>IFERROR('Price Data'!D539/'Price Data'!D538-1,0)</f>
        <v>2.8135485717835085E-3</v>
      </c>
      <c r="E539" s="27">
        <f>IFERROR('Price Data'!E539/'Price Data'!E538-1,0)</f>
        <v>1.7439925937270395E-3</v>
      </c>
      <c r="F539" s="27">
        <f>IFERROR('Price Data'!F539/'Price Data'!F538-1,0)</f>
        <v>1.2383696239158581E-2</v>
      </c>
      <c r="G539" s="27">
        <f>B539*Portfolio!$D$5+C539*Portfolio!$D$6+D539*Portfolio!$D$7+E539*Portfolio!$D$8+F539*Portfolio!$D$9</f>
        <v>-7.7799660155880353E-3</v>
      </c>
      <c r="H539" s="27">
        <f>IFERROR('Price Data'!G539/'Price Data'!G538-1,0)</f>
        <v>-2.4400049223838316E-4</v>
      </c>
    </row>
    <row r="540" spans="1:8" ht="15">
      <c r="A540" s="25">
        <f>'Price Data'!A540</f>
        <v>45720</v>
      </c>
      <c r="B540" s="27">
        <f>IFERROR('Price Data'!B540/'Price Data'!B539-1,0)</f>
        <v>-7.9828835639996765E-3</v>
      </c>
      <c r="C540" s="27">
        <f>IFERROR('Price Data'!C540/'Price Data'!C539-1,0)</f>
        <v>4.965989692986339E-3</v>
      </c>
      <c r="D540" s="27">
        <f>IFERROR('Price Data'!D540/'Price Data'!D539-1,0)</f>
        <v>1.1165013642406407E-2</v>
      </c>
      <c r="E540" s="27">
        <f>IFERROR('Price Data'!E540/'Price Data'!E539-1,0)</f>
        <v>3.4820147406615654E-3</v>
      </c>
      <c r="F540" s="27">
        <f>IFERROR('Price Data'!F540/'Price Data'!F539-1,0)</f>
        <v>-1.1880961475985274E-2</v>
      </c>
      <c r="G540" s="27">
        <f>B540*Portfolio!$D$5+C540*Portfolio!$D$6+D540*Portfolio!$D$7+E540*Portfolio!$D$8+F540*Portfolio!$D$9</f>
        <v>2.1893725042939054E-4</v>
      </c>
      <c r="H540" s="27">
        <f>IFERROR('Price Data'!G540/'Price Data'!G539-1,0)</f>
        <v>-1.6569416451024388E-3</v>
      </c>
    </row>
    <row r="541" spans="1:8" ht="15">
      <c r="A541" s="25">
        <f>'Price Data'!A541</f>
        <v>45721</v>
      </c>
      <c r="B541" s="27">
        <f>IFERROR('Price Data'!B541/'Price Data'!B540-1,0)</f>
        <v>1.1790981021192692E-2</v>
      </c>
      <c r="C541" s="27">
        <f>IFERROR('Price Data'!C541/'Price Data'!C540-1,0)</f>
        <v>-1.1695925787411077E-2</v>
      </c>
      <c r="D541" s="27">
        <f>IFERROR('Price Data'!D541/'Price Data'!D540-1,0)</f>
        <v>4.2467421554464035E-3</v>
      </c>
      <c r="E541" s="27">
        <f>IFERROR('Price Data'!E541/'Price Data'!E540-1,0)</f>
        <v>4.3787024223265192E-3</v>
      </c>
      <c r="F541" s="27">
        <f>IFERROR('Price Data'!F541/'Price Data'!F540-1,0)</f>
        <v>1.3741580020455668E-2</v>
      </c>
      <c r="G541" s="27">
        <f>B541*Portfolio!$D$5+C541*Portfolio!$D$6+D541*Portfolio!$D$7+E541*Portfolio!$D$8+F541*Portfolio!$D$9</f>
        <v>3.591154605952013E-3</v>
      </c>
      <c r="H541" s="27">
        <f>IFERROR('Price Data'!G541/'Price Data'!G540-1,0)</f>
        <v>1.1531695069225467E-2</v>
      </c>
    </row>
    <row r="542" spans="1:8" ht="15">
      <c r="A542" s="25">
        <f>'Price Data'!A542</f>
        <v>45722</v>
      </c>
      <c r="B542" s="27">
        <f>IFERROR('Price Data'!B542/'Price Data'!B541-1,0)</f>
        <v>2.892137856724375E-2</v>
      </c>
      <c r="C542" s="27">
        <f>IFERROR('Price Data'!C542/'Price Data'!C541-1,0)</f>
        <v>7.1002315147294937E-4</v>
      </c>
      <c r="D542" s="27">
        <f>IFERROR('Price Data'!D542/'Price Data'!D541-1,0)</f>
        <v>1.5378923679593148E-2</v>
      </c>
      <c r="E542" s="27">
        <f>IFERROR('Price Data'!E542/'Price Data'!E541-1,0)</f>
        <v>1.9331648108755761E-3</v>
      </c>
      <c r="F542" s="27">
        <f>IFERROR('Price Data'!F542/'Price Data'!F541-1,0)</f>
        <v>2.5416438189056478E-3</v>
      </c>
      <c r="G542" s="27">
        <f>B542*Portfolio!$D$5+C542*Portfolio!$D$6+D542*Portfolio!$D$7+E542*Portfolio!$D$8+F542*Portfolio!$D$9</f>
        <v>1.1154856460064987E-2</v>
      </c>
      <c r="H542" s="27">
        <f>IFERROR('Price Data'!G542/'Price Data'!G541-1,0)</f>
        <v>9.2848477768670001E-3</v>
      </c>
    </row>
    <row r="543" spans="1:8" ht="15">
      <c r="A543" s="25">
        <f>'Price Data'!A543</f>
        <v>45723</v>
      </c>
      <c r="B543" s="27">
        <f>IFERROR('Price Data'!B543/'Price Data'!B542-1,0)</f>
        <v>3.3234254877317682E-2</v>
      </c>
      <c r="C543" s="27">
        <f>IFERROR('Price Data'!C543/'Price Data'!C542-1,0)</f>
        <v>-1.1530340561120012E-3</v>
      </c>
      <c r="D543" s="27">
        <f>IFERROR('Price Data'!D543/'Price Data'!D542-1,0)</f>
        <v>2.6655807498738859E-3</v>
      </c>
      <c r="E543" s="27">
        <f>IFERROR('Price Data'!E543/'Price Data'!E542-1,0)</f>
        <v>-2.8734996636491372E-3</v>
      </c>
      <c r="F543" s="27">
        <f>IFERROR('Price Data'!F543/'Price Data'!F542-1,0)</f>
        <v>-1.7396631172516219E-2</v>
      </c>
      <c r="G543" s="27">
        <f>B543*Portfolio!$D$5+C543*Portfolio!$D$6+D543*Portfolio!$D$7+E543*Portfolio!$D$8+F543*Portfolio!$D$9</f>
        <v>5.5129017298513952E-3</v>
      </c>
      <c r="H543" s="27">
        <f>IFERROR('Price Data'!G543/'Price Data'!G542-1,0)</f>
        <v>3.4601398645017767E-4</v>
      </c>
    </row>
    <row r="544" spans="1:8" ht="15">
      <c r="A544" s="25">
        <f>'Price Data'!A544</f>
        <v>45726</v>
      </c>
      <c r="B544" s="27">
        <f>IFERROR('Price Data'!B544/'Price Data'!B543-1,0)</f>
        <v>-9.1214390020945002E-3</v>
      </c>
      <c r="C544" s="27">
        <f>IFERROR('Price Data'!C544/'Price Data'!C543-1,0)</f>
        <v>-1.035913298955804E-3</v>
      </c>
      <c r="D544" s="27">
        <f>IFERROR('Price Data'!D544/'Price Data'!D543-1,0)</f>
        <v>-5.9676289096104451E-3</v>
      </c>
      <c r="E544" s="27">
        <f>IFERROR('Price Data'!E544/'Price Data'!E543-1,0)</f>
        <v>2.4692583413421509E-4</v>
      </c>
      <c r="F544" s="27">
        <f>IFERROR('Price Data'!F544/'Price Data'!F543-1,0)</f>
        <v>9.1637266456343625E-3</v>
      </c>
      <c r="G544" s="27">
        <f>B544*Portfolio!$D$5+C544*Portfolio!$D$6+D544*Portfolio!$D$7+E544*Portfolio!$D$8+F544*Portfolio!$D$9</f>
        <v>-2.3212659852193786E-3</v>
      </c>
      <c r="H544" s="27">
        <f>IFERROR('Price Data'!G544/'Price Data'!G543-1,0)</f>
        <v>-4.0882039130917258E-3</v>
      </c>
    </row>
    <row r="545" spans="1:8" ht="15">
      <c r="A545" s="25">
        <f>'Price Data'!A545</f>
        <v>45727</v>
      </c>
      <c r="B545" s="27">
        <f>IFERROR('Price Data'!B545/'Price Data'!B544-1,0)</f>
        <v>7.1866370149784586E-3</v>
      </c>
      <c r="C545" s="27">
        <f>IFERROR('Price Data'!C545/'Price Data'!C544-1,0)</f>
        <v>-1.1851498973893815E-3</v>
      </c>
      <c r="D545" s="27">
        <f>IFERROR('Price Data'!D545/'Price Data'!D544-1,0)</f>
        <v>-3.9975253041218961E-3</v>
      </c>
      <c r="E545" s="27">
        <f>IFERROR('Price Data'!E545/'Price Data'!E544-1,0)</f>
        <v>2.5147207611943889E-2</v>
      </c>
      <c r="F545" s="27">
        <f>IFERROR('Price Data'!F545/'Price Data'!F544-1,0)</f>
        <v>-2.3421277045332811E-2</v>
      </c>
      <c r="G545" s="27">
        <f>B545*Portfolio!$D$5+C545*Portfolio!$D$6+D545*Portfolio!$D$7+E545*Portfolio!$D$8+F545*Portfolio!$D$9</f>
        <v>9.5975630356455238E-4</v>
      </c>
      <c r="H545" s="27">
        <f>IFERROR('Price Data'!G545/'Price Data'!G544-1,0)</f>
        <v>1.6740474556060647E-3</v>
      </c>
    </row>
    <row r="546" spans="1:8" ht="15">
      <c r="A546" s="25">
        <f>'Price Data'!A546</f>
        <v>45728</v>
      </c>
      <c r="B546" s="27">
        <f>IFERROR('Price Data'!B546/'Price Data'!B545-1,0)</f>
        <v>7.8169698400734067E-3</v>
      </c>
      <c r="C546" s="27">
        <f>IFERROR('Price Data'!C546/'Price Data'!C545-1,0)</f>
        <v>1.5218019058619747E-2</v>
      </c>
      <c r="D546" s="27">
        <f>IFERROR('Price Data'!D546/'Price Data'!D545-1,0)</f>
        <v>-1.9327042378735837E-2</v>
      </c>
      <c r="E546" s="27">
        <f>IFERROR('Price Data'!E546/'Price Data'!E545-1,0)</f>
        <v>-1.1643391407398784E-3</v>
      </c>
      <c r="F546" s="27">
        <f>IFERROR('Price Data'!F546/'Price Data'!F545-1,0)</f>
        <v>-4.2579421101750947E-2</v>
      </c>
      <c r="G546" s="27">
        <f>B546*Portfolio!$D$5+C546*Portfolio!$D$6+D546*Portfolio!$D$7+E546*Portfolio!$D$8+F546*Portfolio!$D$9</f>
        <v>-4.6682252874475031E-3</v>
      </c>
      <c r="H546" s="27">
        <f>IFERROR('Price Data'!G546/'Price Data'!G545-1,0)</f>
        <v>-1.2179087892316698E-3</v>
      </c>
    </row>
    <row r="547" spans="1:8" ht="15">
      <c r="A547" s="25">
        <f>'Price Data'!A547</f>
        <v>45729</v>
      </c>
      <c r="B547" s="27">
        <f>IFERROR('Price Data'!B547/'Price Data'!B546-1,0)</f>
        <v>-7.2790421941734129E-3</v>
      </c>
      <c r="C547" s="27">
        <f>IFERROR('Price Data'!C547/'Price Data'!C546-1,0)</f>
        <v>-2.6590945789940479E-3</v>
      </c>
      <c r="D547" s="27">
        <f>IFERROR('Price Data'!D547/'Price Data'!D546-1,0)</f>
        <v>1.3832553309724993E-3</v>
      </c>
      <c r="E547" s="27">
        <f>IFERROR('Price Data'!E547/'Price Data'!E546-1,0)</f>
        <v>4.9037766467143751E-3</v>
      </c>
      <c r="F547" s="27">
        <f>IFERROR('Price Data'!F547/'Price Data'!F546-1,0)</f>
        <v>-6.914539079963089E-3</v>
      </c>
      <c r="G547" s="27">
        <f>B547*Portfolio!$D$5+C547*Portfolio!$D$6+D547*Portfolio!$D$7+E547*Portfolio!$D$8+F547*Portfolio!$D$9</f>
        <v>-2.5094974920846728E-3</v>
      </c>
      <c r="H547" s="27">
        <f>IFERROR('Price Data'!G547/'Price Data'!G546-1,0)</f>
        <v>-3.2620894617386709E-3</v>
      </c>
    </row>
    <row r="548" spans="1:8" ht="15">
      <c r="A548" s="25">
        <f>'Price Data'!A548</f>
        <v>45733</v>
      </c>
      <c r="B548" s="27">
        <f>IFERROR('Price Data'!B548/'Price Data'!B547-1,0)</f>
        <v>-7.2522002129395968E-3</v>
      </c>
      <c r="C548" s="27">
        <f>IFERROR('Price Data'!C548/'Price Data'!C547-1,0)</f>
        <v>2.2267454114275331E-3</v>
      </c>
      <c r="D548" s="27">
        <f>IFERROR('Price Data'!D548/'Price Data'!D547-1,0)</f>
        <v>-3.8022885769912751E-3</v>
      </c>
      <c r="E548" s="27">
        <f>IFERROR('Price Data'!E548/'Price Data'!E547-1,0)</f>
        <v>1.5159418929287405E-2</v>
      </c>
      <c r="F548" s="27">
        <f>IFERROR('Price Data'!F548/'Price Data'!F547-1,0)</f>
        <v>6.456419675162639E-3</v>
      </c>
      <c r="G548" s="27">
        <f>B548*Portfolio!$D$5+C548*Portfolio!$D$6+D548*Portfolio!$D$7+E548*Portfolio!$D$8+F548*Portfolio!$D$9</f>
        <v>1.2255543748912355E-3</v>
      </c>
      <c r="H548" s="27">
        <f>IFERROR('Price Data'!G548/'Price Data'!G547-1,0)</f>
        <v>4.980568336268254E-3</v>
      </c>
    </row>
    <row r="549" spans="1:8" ht="15">
      <c r="A549" s="25">
        <f>'Price Data'!A549</f>
        <v>45734</v>
      </c>
      <c r="B549" s="27">
        <f>IFERROR('Price Data'!B549/'Price Data'!B548-1,0)</f>
        <v>0</v>
      </c>
      <c r="C549" s="27">
        <f>IFERROR('Price Data'!C549/'Price Data'!C548-1,0)</f>
        <v>0</v>
      </c>
      <c r="D549" s="27">
        <f>IFERROR('Price Data'!D549/'Price Data'!D548-1,0)</f>
        <v>0</v>
      </c>
      <c r="E549" s="27">
        <f>IFERROR('Price Data'!E549/'Price Data'!E548-1,0)</f>
        <v>0</v>
      </c>
      <c r="F549" s="27">
        <f>IFERROR('Price Data'!F549/'Price Data'!F548-1,0)</f>
        <v>0</v>
      </c>
      <c r="G549" s="27">
        <f>B549*Portfolio!$D$5+C549*Portfolio!$D$6+D549*Portfolio!$D$7+E549*Portfolio!$D$8+F549*Portfolio!$D$9</f>
        <v>0</v>
      </c>
      <c r="H549" s="27">
        <f>IFERROR('Price Data'!G549/'Price Data'!G548-1,0)</f>
        <v>1.446329899483545E-2</v>
      </c>
    </row>
    <row r="550" spans="1:8" ht="15">
      <c r="A550" s="25">
        <f>'Price Data'!A550</f>
        <v>45735</v>
      </c>
      <c r="B550" s="27">
        <f>IFERROR('Price Data'!B550/'Price Data'!B549-1,0)</f>
        <v>6.6998179047297324E-3</v>
      </c>
      <c r="C550" s="27">
        <f>IFERROR('Price Data'!C550/'Price Data'!C549-1,0)</f>
        <v>1.9702942602962681E-2</v>
      </c>
      <c r="D550" s="27">
        <f>IFERROR('Price Data'!D550/'Price Data'!D549-1,0)</f>
        <v>-1.7156136209772743E-4</v>
      </c>
      <c r="E550" s="27">
        <f>IFERROR('Price Data'!E550/'Price Data'!E549-1,0)</f>
        <v>3.4751676732051262E-2</v>
      </c>
      <c r="F550" s="27">
        <f>IFERROR('Price Data'!F550/'Price Data'!F549-1,0)</f>
        <v>-2.2012680447411892E-3</v>
      </c>
      <c r="G550" s="27">
        <f>B550*Portfolio!$D$5+C550*Portfolio!$D$6+D550*Portfolio!$D$7+E550*Portfolio!$D$8+F550*Portfolio!$D$9</f>
        <v>1.1448939157600068E-2</v>
      </c>
      <c r="H550" s="27">
        <f>IFERROR('Price Data'!G550/'Price Data'!G549-1,0)</f>
        <v>3.2100316461272094E-3</v>
      </c>
    </row>
    <row r="551" spans="1:8" ht="15">
      <c r="A551" s="25">
        <f>'Price Data'!A551</f>
        <v>45736</v>
      </c>
      <c r="B551" s="27">
        <f>IFERROR('Price Data'!B551/'Price Data'!B550-1,0)</f>
        <v>1.7640128350000284E-2</v>
      </c>
      <c r="C551" s="27">
        <f>IFERROR('Price Data'!C551/'Price Data'!C550-1,0)</f>
        <v>1.4133292836502998E-2</v>
      </c>
      <c r="D551" s="27">
        <f>IFERROR('Price Data'!D551/'Price Data'!D550-1,0)</f>
        <v>1.8886993549093622E-2</v>
      </c>
      <c r="E551" s="27">
        <f>IFERROR('Price Data'!E551/'Price Data'!E550-1,0)</f>
        <v>6.5494101905383406E-3</v>
      </c>
      <c r="F551" s="27">
        <f>IFERROR('Price Data'!F551/'Price Data'!F550-1,0)</f>
        <v>1.8278645179554909E-2</v>
      </c>
      <c r="G551" s="27">
        <f>B551*Portfolio!$D$5+C551*Portfolio!$D$6+D551*Portfolio!$D$7+E551*Portfolio!$D$8+F551*Portfolio!$D$9</f>
        <v>1.5444962311958532E-2</v>
      </c>
      <c r="H551" s="27">
        <f>IFERROR('Price Data'!G551/'Price Data'!G550-1,0)</f>
        <v>1.2356195589090069E-2</v>
      </c>
    </row>
    <row r="552" spans="1:8" ht="15">
      <c r="A552" s="25">
        <f>'Price Data'!A552</f>
        <v>45737</v>
      </c>
      <c r="B552" s="27">
        <f>IFERROR('Price Data'!B552/'Price Data'!B551-1,0)</f>
        <v>5.6731476122391378E-3</v>
      </c>
      <c r="C552" s="27">
        <f>IFERROR('Price Data'!C552/'Price Data'!C551-1,0)</f>
        <v>9.0466631621488602E-4</v>
      </c>
      <c r="D552" s="27">
        <f>IFERROR('Price Data'!D552/'Price Data'!D551-1,0)</f>
        <v>4.1958815698057705E-3</v>
      </c>
      <c r="E552" s="27">
        <f>IFERROR('Price Data'!E552/'Price Data'!E551-1,0)</f>
        <v>1.619131941565044E-2</v>
      </c>
      <c r="F552" s="27">
        <f>IFERROR('Price Data'!F552/'Price Data'!F551-1,0)</f>
        <v>-1.4236630209562784E-2</v>
      </c>
      <c r="G552" s="27">
        <f>B552*Portfolio!$D$5+C552*Portfolio!$D$6+D552*Portfolio!$D$7+E552*Portfolio!$D$8+F552*Portfolio!$D$9</f>
        <v>2.7768331769878088E-3</v>
      </c>
      <c r="H552" s="27">
        <f>IFERROR('Price Data'!G552/'Price Data'!G551-1,0)</f>
        <v>6.8885519512889015E-3</v>
      </c>
    </row>
    <row r="553" spans="1:8" ht="15">
      <c r="A553" s="25">
        <f>'Price Data'!A553</f>
        <v>45740</v>
      </c>
      <c r="B553" s="27">
        <f>IFERROR('Price Data'!B553/'Price Data'!B552-1,0)</f>
        <v>2.0174727116697655E-2</v>
      </c>
      <c r="C553" s="27">
        <f>IFERROR('Price Data'!C553/'Price Data'!C552-1,0)</f>
        <v>1.6748088583559806E-2</v>
      </c>
      <c r="D553" s="27">
        <f>IFERROR('Price Data'!D553/'Price Data'!D552-1,0)</f>
        <v>1.4211325760312921E-2</v>
      </c>
      <c r="E553" s="27">
        <f>IFERROR('Price Data'!E553/'Price Data'!E552-1,0)</f>
        <v>1.1205459247430216E-2</v>
      </c>
      <c r="F553" s="27">
        <f>IFERROR('Price Data'!F553/'Price Data'!F552-1,0)</f>
        <v>1.2561693800083873E-4</v>
      </c>
      <c r="G553" s="27">
        <f>B553*Portfolio!$D$5+C553*Portfolio!$D$6+D553*Portfolio!$D$7+E553*Portfolio!$D$8+F553*Portfolio!$D$9</f>
        <v>1.3772630504941607E-2</v>
      </c>
      <c r="H553" s="27">
        <f>IFERROR('Price Data'!G553/'Price Data'!G552-1,0)</f>
        <v>1.3188177230298859E-2</v>
      </c>
    </row>
    <row r="554" spans="1:8" ht="15">
      <c r="A554" s="25">
        <f>'Price Data'!A554</f>
        <v>45741</v>
      </c>
      <c r="B554" s="27">
        <f>IFERROR('Price Data'!B554/'Price Data'!B553-1,0)</f>
        <v>-1.2787039143588252E-2</v>
      </c>
      <c r="C554" s="27">
        <f>IFERROR('Price Data'!C554/'Price Data'!C553-1,0)</f>
        <v>1.1916664815102784E-2</v>
      </c>
      <c r="D554" s="27">
        <f>IFERROR('Price Data'!D554/'Price Data'!D553-1,0)</f>
        <v>7.9361916057767434E-3</v>
      </c>
      <c r="E554" s="27">
        <f>IFERROR('Price Data'!E554/'Price Data'!E553-1,0)</f>
        <v>-1.0639562045197226E-2</v>
      </c>
      <c r="F554" s="27">
        <f>IFERROR('Price Data'!F554/'Price Data'!F553-1,0)</f>
        <v>2.2413922090519289E-2</v>
      </c>
      <c r="G554" s="27">
        <f>B554*Portfolio!$D$5+C554*Portfolio!$D$6+D554*Portfolio!$D$7+E554*Portfolio!$D$8+F554*Portfolio!$D$9</f>
        <v>3.1357987458322913E-3</v>
      </c>
      <c r="H554" s="27">
        <f>IFERROR('Price Data'!G554/'Price Data'!G553-1,0)</f>
        <v>4.3539728764163677E-4</v>
      </c>
    </row>
    <row r="555" spans="1:8" ht="15">
      <c r="A555" s="25">
        <f>'Price Data'!A555</f>
        <v>45742</v>
      </c>
      <c r="B555" s="27">
        <f>IFERROR('Price Data'!B555/'Price Data'!B554-1,0)</f>
        <v>-9.6464211328374239E-3</v>
      </c>
      <c r="C555" s="27">
        <f>IFERROR('Price Data'!C555/'Price Data'!C554-1,0)</f>
        <v>-8.1802664957970617E-3</v>
      </c>
      <c r="D555" s="27">
        <f>IFERROR('Price Data'!D555/'Price Data'!D554-1,0)</f>
        <v>-6.0009358943187152E-3</v>
      </c>
      <c r="E555" s="27">
        <f>IFERROR('Price Data'!E555/'Price Data'!E554-1,0)</f>
        <v>-5.8048365398567503E-3</v>
      </c>
      <c r="F555" s="27">
        <f>IFERROR('Price Data'!F555/'Price Data'!F554-1,0)</f>
        <v>-1.780833777650781E-2</v>
      </c>
      <c r="G555" s="27">
        <f>B555*Portfolio!$D$5+C555*Portfolio!$D$6+D555*Portfolio!$D$7+E555*Portfolio!$D$8+F555*Portfolio!$D$9</f>
        <v>-9.1988352334770492E-3</v>
      </c>
      <c r="H555" s="27">
        <f>IFERROR('Price Data'!G555/'Price Data'!G554-1,0)</f>
        <v>-7.6810793285454482E-3</v>
      </c>
    </row>
    <row r="556" spans="1:8" ht="15">
      <c r="A556" s="25">
        <f>'Price Data'!A556</f>
        <v>45743</v>
      </c>
      <c r="B556" s="27">
        <f>IFERROR('Price Data'!B556/'Price Data'!B555-1,0)</f>
        <v>4.045346724523613E-3</v>
      </c>
      <c r="C556" s="27">
        <f>IFERROR('Price Data'!C556/'Price Data'!C555-1,0)</f>
        <v>1.0406558422902057E-2</v>
      </c>
      <c r="D556" s="27">
        <f>IFERROR('Price Data'!D556/'Price Data'!D555-1,0)</f>
        <v>4.2356826905021183E-3</v>
      </c>
      <c r="E556" s="27">
        <f>IFERROR('Price Data'!E556/'Price Data'!E555-1,0)</f>
        <v>5.6142337261588793E-4</v>
      </c>
      <c r="F556" s="27">
        <f>IFERROR('Price Data'!F556/'Price Data'!F555-1,0)</f>
        <v>2.5634763861051013E-3</v>
      </c>
      <c r="G556" s="27">
        <f>B556*Portfolio!$D$5+C556*Portfolio!$D$6+D556*Portfolio!$D$7+E556*Portfolio!$D$8+F556*Portfolio!$D$9</f>
        <v>4.9288477887649892E-3</v>
      </c>
      <c r="H556" s="27">
        <f>IFERROR('Price Data'!G556/'Price Data'!G555-1,0)</f>
        <v>4.4748278770025962E-3</v>
      </c>
    </row>
    <row r="557" spans="1:8" ht="15">
      <c r="A557" s="25">
        <f>'Price Data'!A557</f>
        <v>45744</v>
      </c>
      <c r="B557" s="27">
        <f>IFERROR('Price Data'!B557/'Price Data'!B556-1,0)</f>
        <v>-2.425308203808707E-3</v>
      </c>
      <c r="C557" s="27">
        <f>IFERROR('Price Data'!C557/'Price Data'!C556-1,0)</f>
        <v>1.561273795473106E-3</v>
      </c>
      <c r="D557" s="27">
        <f>IFERROR('Price Data'!D557/'Price Data'!D556-1,0)</f>
        <v>-1.2338497020793149E-2</v>
      </c>
      <c r="E557" s="27">
        <f>IFERROR('Price Data'!E557/'Price Data'!E556-1,0)</f>
        <v>8.7531798747542133E-3</v>
      </c>
      <c r="F557" s="27">
        <f>IFERROR('Price Data'!F557/'Price Data'!F556-1,0)</f>
        <v>-2.0516951097389602E-2</v>
      </c>
      <c r="G557" s="27">
        <f>B557*Portfolio!$D$5+C557*Portfolio!$D$6+D557*Portfolio!$D$7+E557*Portfolio!$D$8+F557*Portfolio!$D$9</f>
        <v>-4.448273689637839E-3</v>
      </c>
      <c r="H557" s="27">
        <f>IFERROR('Price Data'!G557/'Price Data'!G556-1,0)</f>
        <v>-3.0773044101545244E-3</v>
      </c>
    </row>
    <row r="558" spans="1:8" ht="15">
      <c r="A558" s="25">
        <f>'Price Data'!A558</f>
        <v>45748</v>
      </c>
      <c r="B558" s="27">
        <f>IFERROR('Price Data'!B558/'Price Data'!B557-1,0)</f>
        <v>-1.7645690501992828E-2</v>
      </c>
      <c r="C558" s="27">
        <f>IFERROR('Price Data'!C558/'Price Data'!C557-1,0)</f>
        <v>-3.3010535584685363E-2</v>
      </c>
      <c r="D558" s="27">
        <f>IFERROR('Price Data'!D558/'Price Data'!D557-1,0)</f>
        <v>-1.5348659204563408E-2</v>
      </c>
      <c r="E558" s="27">
        <f>IFERROR('Price Data'!E558/'Price Data'!E557-1,0)</f>
        <v>-2.217522574820463E-2</v>
      </c>
      <c r="F558" s="27">
        <f>IFERROR('Price Data'!F558/'Price Data'!F557-1,0)</f>
        <v>-2.8109431241027272E-2</v>
      </c>
      <c r="G558" s="27">
        <f>B558*Portfolio!$D$5+C558*Portfolio!$D$6+D558*Portfolio!$D$7+E558*Portfolio!$D$8+F558*Portfolio!$D$9</f>
        <v>-2.3276486910967016E-2</v>
      </c>
      <c r="H558" s="27">
        <f>IFERROR('Price Data'!G558/'Price Data'!G557-1,0)</f>
        <v>-1.5036571865236992E-2</v>
      </c>
    </row>
    <row r="559" spans="1:8" ht="15">
      <c r="A559" s="25">
        <f>'Price Data'!A559</f>
        <v>45749</v>
      </c>
      <c r="B559" s="27">
        <f>IFERROR('Price Data'!B559/'Price Data'!B558-1,0)</f>
        <v>-1.1575237916060521E-3</v>
      </c>
      <c r="C559" s="27">
        <f>IFERROR('Price Data'!C559/'Price Data'!C558-1,0)</f>
        <v>1.6432359076459013E-2</v>
      </c>
      <c r="D559" s="27">
        <f>IFERROR('Price Data'!D559/'Price Data'!D558-1,0)</f>
        <v>-1.9291039691654577E-3</v>
      </c>
      <c r="E559" s="27">
        <f>IFERROR('Price Data'!E559/'Price Data'!E558-1,0)</f>
        <v>9.7083972714790967E-3</v>
      </c>
      <c r="F559" s="27">
        <f>IFERROR('Price Data'!F559/'Price Data'!F558-1,0)</f>
        <v>1.5493017219828209E-2</v>
      </c>
      <c r="G559" s="27">
        <f>B559*Portfolio!$D$5+C559*Portfolio!$D$6+D559*Portfolio!$D$7+E559*Portfolio!$D$8+F559*Portfolio!$D$9</f>
        <v>7.2131002010762443E-3</v>
      </c>
      <c r="H559" s="27">
        <f>IFERROR('Price Data'!G559/'Price Data'!G558-1,0)</f>
        <v>7.1938424586863725E-3</v>
      </c>
    </row>
    <row r="560" spans="1:8" ht="15">
      <c r="A560" s="25">
        <f>'Price Data'!A560</f>
        <v>45750</v>
      </c>
      <c r="B560" s="27">
        <f>IFERROR('Price Data'!B560/'Price Data'!B559-1,0)</f>
        <v>-1.9582420794229671E-3</v>
      </c>
      <c r="C560" s="27">
        <f>IFERROR('Price Data'!C560/'Price Data'!C559-1,0)</f>
        <v>-1.1408512444062158E-3</v>
      </c>
      <c r="D560" s="27">
        <f>IFERROR('Price Data'!D560/'Price Data'!D559-1,0)</f>
        <v>-3.9729870083338503E-2</v>
      </c>
      <c r="E560" s="27">
        <f>IFERROR('Price Data'!E560/'Price Data'!E559-1,0)</f>
        <v>-1.2769245440069632E-3</v>
      </c>
      <c r="F560" s="27">
        <f>IFERROR('Price Data'!F560/'Price Data'!F559-1,0)</f>
        <v>-3.460960068585206E-2</v>
      </c>
      <c r="G560" s="27">
        <f>B560*Portfolio!$D$5+C560*Portfolio!$D$6+D560*Portfolio!$D$7+E560*Portfolio!$D$8+F560*Portfolio!$D$9</f>
        <v>-1.4103726132103851E-2</v>
      </c>
      <c r="H560" s="27">
        <f>IFERROR('Price Data'!G560/'Price Data'!G559-1,0)</f>
        <v>-3.5251486188494496E-3</v>
      </c>
    </row>
    <row r="561" spans="1:8" ht="15">
      <c r="A561" s="25">
        <f>'Price Data'!A561</f>
        <v>45751</v>
      </c>
      <c r="B561" s="27">
        <f>IFERROR('Price Data'!B561/'Price Data'!B560-1,0)</f>
        <v>-3.5236663910407695E-2</v>
      </c>
      <c r="C561" s="27">
        <f>IFERROR('Price Data'!C561/'Price Data'!C560-1,0)</f>
        <v>1.2508130842110443E-2</v>
      </c>
      <c r="D561" s="27">
        <f>IFERROR('Price Data'!D561/'Price Data'!D560-1,0)</f>
        <v>-3.0486294869580544E-2</v>
      </c>
      <c r="E561" s="27">
        <f>IFERROR('Price Data'!E561/'Price Data'!E560-1,0)</f>
        <v>4.324741122012421E-3</v>
      </c>
      <c r="F561" s="27">
        <f>IFERROR('Price Data'!F561/'Price Data'!F560-1,0)</f>
        <v>-2.9969845765862924E-2</v>
      </c>
      <c r="G561" s="27">
        <f>B561*Portfolio!$D$5+C561*Portfolio!$D$6+D561*Portfolio!$D$7+E561*Portfolio!$D$8+F561*Portfolio!$D$9</f>
        <v>-1.5626157937567997E-2</v>
      </c>
      <c r="H561" s="27">
        <f>IFERROR('Price Data'!G561/'Price Data'!G560-1,0)</f>
        <v>-1.4866619775066536E-2</v>
      </c>
    </row>
    <row r="562" spans="1:8" ht="15">
      <c r="A562" s="25">
        <f>'Price Data'!A562</f>
        <v>45754</v>
      </c>
      <c r="B562" s="27">
        <f>IFERROR('Price Data'!B562/'Price Data'!B561-1,0)</f>
        <v>-3.2373152212439305E-2</v>
      </c>
      <c r="C562" s="27">
        <f>IFERROR('Price Data'!C562/'Price Data'!C561-1,0)</f>
        <v>-3.279606117295597E-2</v>
      </c>
      <c r="D562" s="27">
        <f>IFERROR('Price Data'!D562/'Price Data'!D561-1,0)</f>
        <v>-7.6831824337226795E-3</v>
      </c>
      <c r="E562" s="27">
        <f>IFERROR('Price Data'!E562/'Price Data'!E561-1,0)</f>
        <v>-3.5759768291537042E-2</v>
      </c>
      <c r="F562" s="27">
        <f>IFERROR('Price Data'!F562/'Price Data'!F561-1,0)</f>
        <v>-3.7819081528504328E-2</v>
      </c>
      <c r="G562" s="27">
        <f>B562*Portfolio!$D$5+C562*Portfolio!$D$6+D562*Portfolio!$D$7+E562*Portfolio!$D$8+F562*Portfolio!$D$9</f>
        <v>-2.8865767306099556E-2</v>
      </c>
      <c r="H562" s="27">
        <f>IFERROR('Price Data'!G562/'Price Data'!G561-1,0)</f>
        <v>-3.2432546283055363E-2</v>
      </c>
    </row>
    <row r="563" spans="1:8" ht="15">
      <c r="A563" s="25">
        <f>'Price Data'!A563</f>
        <v>45755</v>
      </c>
      <c r="B563" s="27">
        <f>IFERROR('Price Data'!B563/'Price Data'!B562-1,0)</f>
        <v>1.4154618272830488E-2</v>
      </c>
      <c r="C563" s="27">
        <f>IFERROR('Price Data'!C563/'Price Data'!C562-1,0)</f>
        <v>6.514290898725017E-3</v>
      </c>
      <c r="D563" s="27">
        <f>IFERROR('Price Data'!D563/'Price Data'!D562-1,0)</f>
        <v>5.7725597689348707E-3</v>
      </c>
      <c r="E563" s="27">
        <f>IFERROR('Price Data'!E563/'Price Data'!E562-1,0)</f>
        <v>9.5918092621398721E-3</v>
      </c>
      <c r="F563" s="27">
        <f>IFERROR('Price Data'!F563/'Price Data'!F562-1,0)</f>
        <v>2.2946167434048537E-2</v>
      </c>
      <c r="G563" s="27">
        <f>B563*Portfolio!$D$5+C563*Portfolio!$D$6+D563*Portfolio!$D$7+E563*Portfolio!$D$8+F563*Portfolio!$D$9</f>
        <v>1.1202435751104111E-2</v>
      </c>
      <c r="H563" s="27">
        <f>IFERROR('Price Data'!G563/'Price Data'!G562-1,0)</f>
        <v>1.6887318902814252E-2</v>
      </c>
    </row>
    <row r="564" spans="1:8" ht="15">
      <c r="A564" s="25">
        <f>'Price Data'!A564</f>
        <v>45756</v>
      </c>
      <c r="B564" s="27">
        <f>IFERROR('Price Data'!B564/'Price Data'!B563-1,0)</f>
        <v>2.6645384242292014E-3</v>
      </c>
      <c r="C564" s="27">
        <f>IFERROR('Price Data'!C564/'Price Data'!C563-1,0)</f>
        <v>-2.345785303134007E-3</v>
      </c>
      <c r="D564" s="27">
        <f>IFERROR('Price Data'!D564/'Price Data'!D563-1,0)</f>
        <v>-1.4075461521160793E-2</v>
      </c>
      <c r="E564" s="27">
        <f>IFERROR('Price Data'!E564/'Price Data'!E563-1,0)</f>
        <v>6.9242280129255818E-4</v>
      </c>
      <c r="F564" s="27">
        <f>IFERROR('Price Data'!F564/'Price Data'!F563-1,0)</f>
        <v>-1.7567286671104299E-2</v>
      </c>
      <c r="G564" s="27">
        <f>B564*Portfolio!$D$5+C564*Portfolio!$D$6+D564*Portfolio!$D$7+E564*Portfolio!$D$8+F564*Portfolio!$D$9</f>
        <v>-5.2666336044301211E-3</v>
      </c>
      <c r="H564" s="27">
        <f>IFERROR('Price Data'!G564/'Price Data'!G563-1,0)</f>
        <v>-6.0658560080705248E-3</v>
      </c>
    </row>
    <row r="565" spans="1:8" ht="15">
      <c r="A565" s="25">
        <f>'Price Data'!A565</f>
        <v>45758</v>
      </c>
      <c r="B565" s="27">
        <f>IFERROR('Price Data'!B565/'Price Data'!B564-1,0)</f>
        <v>2.834600587270697E-2</v>
      </c>
      <c r="C565" s="27">
        <f>IFERROR('Price Data'!C565/'Price Data'!C564-1,0)</f>
        <v>2.3654381134639912E-2</v>
      </c>
      <c r="D565" s="27">
        <f>IFERROR('Price Data'!D565/'Price Data'!D564-1,0)</f>
        <v>-4.6510377269148862E-3</v>
      </c>
      <c r="E565" s="27">
        <f>IFERROR('Price Data'!E565/'Price Data'!E564-1,0)</f>
        <v>8.3409617043168627E-3</v>
      </c>
      <c r="F565" s="27">
        <f>IFERROR('Price Data'!F565/'Price Data'!F564-1,0)</f>
        <v>4.0963148534016725E-3</v>
      </c>
      <c r="G565" s="27">
        <f>B565*Portfolio!$D$5+C565*Portfolio!$D$6+D565*Portfolio!$D$7+E565*Portfolio!$D$8+F565*Portfolio!$D$9</f>
        <v>1.3935480690111524E-2</v>
      </c>
      <c r="H565" s="27">
        <f>IFERROR('Price Data'!G565/'Price Data'!G564-1,0)</f>
        <v>1.9170387409190415E-2</v>
      </c>
    </row>
    <row r="566" spans="1:8" ht="15">
      <c r="A566" s="25">
        <f>'Price Data'!A566</f>
        <v>45762</v>
      </c>
      <c r="B566" s="27">
        <f>IFERROR('Price Data'!B566/'Price Data'!B565-1,0)</f>
        <v>1.7351066010069971E-2</v>
      </c>
      <c r="C566" s="27">
        <f>IFERROR('Price Data'!C566/'Price Data'!C565-1,0)</f>
        <v>3.2184902898858336E-2</v>
      </c>
      <c r="D566" s="27">
        <f>IFERROR('Price Data'!D566/'Price Data'!D565-1,0)</f>
        <v>5.1679021576391815E-3</v>
      </c>
      <c r="E566" s="27">
        <f>IFERROR('Price Data'!E566/'Price Data'!E565-1,0)</f>
        <v>2.9390414978783141E-2</v>
      </c>
      <c r="F566" s="27">
        <f>IFERROR('Price Data'!F566/'Price Data'!F565-1,0)</f>
        <v>1.1742217815352785E-2</v>
      </c>
      <c r="G566" s="27">
        <f>B566*Portfolio!$D$5+C566*Portfolio!$D$6+D566*Portfolio!$D$7+E566*Portfolio!$D$8+F566*Portfolio!$D$9</f>
        <v>1.9587467577880303E-2</v>
      </c>
      <c r="H566" s="27">
        <f>IFERROR('Price Data'!G566/'Price Data'!G565-1,0)</f>
        <v>2.1902397782108451E-2</v>
      </c>
    </row>
    <row r="567" spans="1:8" ht="15">
      <c r="A567" s="25">
        <f>'Price Data'!A567</f>
        <v>45763</v>
      </c>
      <c r="B567" s="27">
        <f>IFERROR('Price Data'!B567/'Price Data'!B566-1,0)</f>
        <v>-6.4506078732362582E-4</v>
      </c>
      <c r="C567" s="27">
        <f>IFERROR('Price Data'!C567/'Price Data'!C566-1,0)</f>
        <v>7.0244914744559406E-3</v>
      </c>
      <c r="D567" s="27">
        <f>IFERROR('Price Data'!D567/'Price Data'!D566-1,0)</f>
        <v>7.8812113758734981E-3</v>
      </c>
      <c r="E567" s="27">
        <f>IFERROR('Price Data'!E567/'Price Data'!E566-1,0)</f>
        <v>4.5919582877229637E-3</v>
      </c>
      <c r="F567" s="27">
        <f>IFERROR('Price Data'!F567/'Price Data'!F566-1,0)</f>
        <v>-9.0463504577021903E-3</v>
      </c>
      <c r="G567" s="27">
        <f>B567*Portfolio!$D$5+C567*Portfolio!$D$6+D567*Portfolio!$D$7+E567*Portfolio!$D$8+F567*Portfolio!$D$9</f>
        <v>2.5029411214608941E-3</v>
      </c>
      <c r="H567" s="27">
        <f>IFERROR('Price Data'!G567/'Price Data'!G566-1,0)</f>
        <v>4.6573162010270508E-3</v>
      </c>
    </row>
    <row r="568" spans="1:8" ht="15">
      <c r="A568" s="25">
        <f>'Price Data'!A568</f>
        <v>45764</v>
      </c>
      <c r="B568" s="27">
        <f>IFERROR('Price Data'!B568/'Price Data'!B567-1,0)</f>
        <v>2.8403081361119353E-2</v>
      </c>
      <c r="C568" s="27">
        <f>IFERROR('Price Data'!C568/'Price Data'!C567-1,0)</f>
        <v>1.5282181599061362E-2</v>
      </c>
      <c r="D568" s="27">
        <f>IFERROR('Price Data'!D568/'Price Data'!D567-1,0)</f>
        <v>7.6669422603692361E-3</v>
      </c>
      <c r="E568" s="27">
        <f>IFERROR('Price Data'!E568/'Price Data'!E567-1,0)</f>
        <v>3.7083413329667136E-2</v>
      </c>
      <c r="F568" s="27">
        <f>IFERROR('Price Data'!F568/'Price Data'!F567-1,0)</f>
        <v>4.5291201599821918E-3</v>
      </c>
      <c r="G568" s="27">
        <f>B568*Portfolio!$D$5+C568*Portfolio!$D$6+D568*Portfolio!$D$7+E568*Portfolio!$D$8+F568*Portfolio!$D$9</f>
        <v>1.8696584215566425E-2</v>
      </c>
      <c r="H568" s="27">
        <f>IFERROR('Price Data'!G568/'Price Data'!G567-1,0)</f>
        <v>1.7683476937954135E-2</v>
      </c>
    </row>
    <row r="569" spans="1:8" ht="15">
      <c r="A569" s="25">
        <f>'Price Data'!A569</f>
        <v>45768</v>
      </c>
      <c r="B569" s="27">
        <f>IFERROR('Price Data'!B569/'Price Data'!B568-1,0)</f>
        <v>1.6477043342625786E-2</v>
      </c>
      <c r="C569" s="27">
        <f>IFERROR('Price Data'!C569/'Price Data'!C568-1,0)</f>
        <v>1.0699098579260324E-2</v>
      </c>
      <c r="D569" s="27">
        <f>IFERROR('Price Data'!D569/'Price Data'!D568-1,0)</f>
        <v>6.8810847577582823E-3</v>
      </c>
      <c r="E569" s="27">
        <f>IFERROR('Price Data'!E569/'Price Data'!E568-1,0)</f>
        <v>2.2038487513695859E-3</v>
      </c>
      <c r="F569" s="27">
        <f>IFERROR('Price Data'!F569/'Price Data'!F568-1,0)</f>
        <v>2.2190900249224876E-2</v>
      </c>
      <c r="G569" s="27">
        <f>B569*Portfolio!$D$5+C569*Portfolio!$D$6+D569*Portfolio!$D$7+E569*Portfolio!$D$8+F569*Portfolio!$D$9</f>
        <v>1.1829464782112354E-2</v>
      </c>
      <c r="H569" s="27">
        <f>IFERROR('Price Data'!G569/'Price Data'!G568-1,0)</f>
        <v>1.1483498464016417E-2</v>
      </c>
    </row>
    <row r="570" spans="1:8" ht="15">
      <c r="A570" s="25">
        <f>'Price Data'!A570</f>
        <v>45769</v>
      </c>
      <c r="B570" s="27">
        <f>IFERROR('Price Data'!B570/'Price Data'!B569-1,0)</f>
        <v>-3.3192768965972785E-3</v>
      </c>
      <c r="C570" s="27">
        <f>IFERROR('Price Data'!C570/'Price Data'!C569-1,0)</f>
        <v>1.7954453316319841E-2</v>
      </c>
      <c r="D570" s="27">
        <f>IFERROR('Price Data'!D570/'Price Data'!D569-1,0)</f>
        <v>-2.1675753722620872E-3</v>
      </c>
      <c r="E570" s="27">
        <f>IFERROR('Price Data'!E570/'Price Data'!E569-1,0)</f>
        <v>4.7524350929104564E-3</v>
      </c>
      <c r="F570" s="27">
        <f>IFERROR('Price Data'!F570/'Price Data'!F569-1,0)</f>
        <v>-1.9434809087187532E-2</v>
      </c>
      <c r="G570" s="27">
        <f>B570*Portfolio!$D$5+C570*Portfolio!$D$6+D570*Portfolio!$D$7+E570*Portfolio!$D$8+F570*Portfolio!$D$9</f>
        <v>1.0229229313366618E-3</v>
      </c>
      <c r="H570" s="27">
        <f>IFERROR('Price Data'!G570/'Price Data'!G569-1,0)</f>
        <v>1.7284255654137493E-3</v>
      </c>
    </row>
    <row r="571" spans="1:8" ht="15">
      <c r="A571" s="25">
        <f>'Price Data'!A571</f>
        <v>45770</v>
      </c>
      <c r="B571" s="27">
        <f>IFERROR('Price Data'!B571/'Price Data'!B570-1,0)</f>
        <v>6.8154262275619271E-3</v>
      </c>
      <c r="C571" s="27">
        <f>IFERROR('Price Data'!C571/'Price Data'!C570-1,0)</f>
        <v>-1.9269017622261853E-2</v>
      </c>
      <c r="D571" s="27">
        <f>IFERROR('Price Data'!D571/'Price Data'!D570-1,0)</f>
        <v>2.9748874272770731E-2</v>
      </c>
      <c r="E571" s="27">
        <f>IFERROR('Price Data'!E571/'Price Data'!E570-1,0)</f>
        <v>5.5771035587393047E-3</v>
      </c>
      <c r="F571" s="27">
        <f>IFERROR('Price Data'!F571/'Price Data'!F570-1,0)</f>
        <v>3.6617932701987543E-2</v>
      </c>
      <c r="G571" s="27">
        <f>B571*Portfolio!$D$5+C571*Portfolio!$D$6+D571*Portfolio!$D$7+E571*Portfolio!$D$8+F571*Portfolio!$D$9</f>
        <v>9.1656324449881921E-3</v>
      </c>
      <c r="H571" s="27">
        <f>IFERROR('Price Data'!G571/'Price Data'!G570-1,0)</f>
        <v>6.6908406521222208E-3</v>
      </c>
    </row>
    <row r="572" spans="1:8" ht="15">
      <c r="A572" s="25">
        <f>'Price Data'!A572</f>
        <v>45771</v>
      </c>
      <c r="B572" s="27">
        <f>IFERROR('Price Data'!B572/'Price Data'!B571-1,0)</f>
        <v>1.2307715038371025E-3</v>
      </c>
      <c r="C572" s="27">
        <f>IFERROR('Price Data'!C572/'Price Data'!C571-1,0)</f>
        <v>-3.690369542923122E-3</v>
      </c>
      <c r="D572" s="27">
        <f>IFERROR('Price Data'!D572/'Price Data'!D571-1,0)</f>
        <v>-3.3400358073680803E-3</v>
      </c>
      <c r="E572" s="27">
        <f>IFERROR('Price Data'!E572/'Price Data'!E571-1,0)</f>
        <v>-1.523454967805582E-2</v>
      </c>
      <c r="F572" s="27">
        <f>IFERROR('Price Data'!F572/'Price Data'!F571-1,0)</f>
        <v>-2.3731278938248224E-3</v>
      </c>
      <c r="G572" s="27">
        <f>B572*Portfolio!$D$5+C572*Portfolio!$D$6+D572*Portfolio!$D$7+E572*Portfolio!$D$8+F572*Portfolio!$D$9</f>
        <v>-3.9240583070272173E-3</v>
      </c>
      <c r="H572" s="27">
        <f>IFERROR('Price Data'!G572/'Price Data'!G571-1,0)</f>
        <v>-3.3807460922566923E-3</v>
      </c>
    </row>
    <row r="573" spans="1:8" ht="15">
      <c r="A573" s="25">
        <f>'Price Data'!A573</f>
        <v>45772</v>
      </c>
      <c r="B573" s="27">
        <f>IFERROR('Price Data'!B573/'Price Data'!B572-1,0)</f>
        <v>-9.2192027688253742E-4</v>
      </c>
      <c r="C573" s="27">
        <f>IFERROR('Price Data'!C573/'Price Data'!C572-1,0)</f>
        <v>-2.9216062981979318E-3</v>
      </c>
      <c r="D573" s="27">
        <f>IFERROR('Price Data'!D573/'Price Data'!D572-1,0)</f>
        <v>1.3640553536427458E-2</v>
      </c>
      <c r="E573" s="27">
        <f>IFERROR('Price Data'!E573/'Price Data'!E572-1,0)</f>
        <v>1.4971588009118353E-3</v>
      </c>
      <c r="F573" s="27">
        <f>IFERROR('Price Data'!F573/'Price Data'!F572-1,0)</f>
        <v>5.9806607210284302E-3</v>
      </c>
      <c r="G573" s="27">
        <f>B573*Portfolio!$D$5+C573*Portfolio!$D$6+D573*Portfolio!$D$7+E573*Portfolio!$D$8+F573*Portfolio!$D$9</f>
        <v>2.888901991806414E-3</v>
      </c>
      <c r="H573" s="27">
        <f>IFERROR('Price Data'!G573/'Price Data'!G572-1,0)</f>
        <v>-8.5516633626838701E-3</v>
      </c>
    </row>
    <row r="574" spans="1:8" ht="15">
      <c r="A574" s="25">
        <f>'Price Data'!A574</f>
        <v>45775</v>
      </c>
      <c r="B574" s="27">
        <f>IFERROR('Price Data'!B574/'Price Data'!B573-1,0)</f>
        <v>5.2599177762373994E-2</v>
      </c>
      <c r="C574" s="27">
        <f>IFERROR('Price Data'!C574/'Price Data'!C573-1,0)</f>
        <v>4.7090749041072133E-3</v>
      </c>
      <c r="D574" s="27">
        <f>IFERROR('Price Data'!D574/'Price Data'!D573-1,0)</f>
        <v>-1.3050343498672845E-3</v>
      </c>
      <c r="E574" s="27">
        <f>IFERROR('Price Data'!E574/'Price Data'!E573-1,0)</f>
        <v>1.7084319760308331E-2</v>
      </c>
      <c r="F574" s="27">
        <f>IFERROR('Price Data'!F574/'Price Data'!F573-1,0)</f>
        <v>1.2835923722847031E-3</v>
      </c>
      <c r="G574" s="27">
        <f>B574*Portfolio!$D$5+C574*Portfolio!$D$6+D574*Portfolio!$D$7+E574*Portfolio!$D$8+F574*Portfolio!$D$9</f>
        <v>1.6821243116535798E-2</v>
      </c>
      <c r="H574" s="27">
        <f>IFERROR('Price Data'!G574/'Price Data'!G573-1,0)</f>
        <v>1.2028211882747275E-2</v>
      </c>
    </row>
    <row r="575" spans="1:8" ht="15">
      <c r="A575" s="25">
        <f>'Price Data'!A575</f>
        <v>45776</v>
      </c>
      <c r="B575" s="27">
        <f>IFERROR('Price Data'!B575/'Price Data'!B574-1,0)</f>
        <v>2.2574475124226501E-2</v>
      </c>
      <c r="C575" s="27">
        <f>IFERROR('Price Data'!C575/'Price Data'!C574-1,0)</f>
        <v>-5.9368099112625528E-3</v>
      </c>
      <c r="D575" s="27">
        <f>IFERROR('Price Data'!D575/'Price Data'!D574-1,0)</f>
        <v>8.4216573982343057E-3</v>
      </c>
      <c r="E575" s="27">
        <f>IFERROR('Price Data'!E575/'Price Data'!E574-1,0)</f>
        <v>6.9986440934211025E-4</v>
      </c>
      <c r="F575" s="27">
        <f>IFERROR('Price Data'!F575/'Price Data'!F574-1,0)</f>
        <v>1.039072652608608E-2</v>
      </c>
      <c r="G575" s="27">
        <f>B575*Portfolio!$D$5+C575*Portfolio!$D$6+D575*Portfolio!$D$7+E575*Portfolio!$D$8+F575*Portfolio!$D$9</f>
        <v>7.5073364232020766E-3</v>
      </c>
      <c r="H575" s="27">
        <f>IFERROR('Price Data'!G575/'Price Data'!G574-1,0)</f>
        <v>3.0619309657398119E-4</v>
      </c>
    </row>
    <row r="576" spans="1:8" ht="15">
      <c r="A576" s="25">
        <f>'Price Data'!A576</f>
        <v>45777</v>
      </c>
      <c r="B576" s="27">
        <f>IFERROR('Price Data'!B576/'Price Data'!B575-1,0)</f>
        <v>3.7865383223170124E-3</v>
      </c>
      <c r="C576" s="27">
        <f>IFERROR('Price Data'!C576/'Price Data'!C575-1,0)</f>
        <v>8.4869391640329805E-3</v>
      </c>
      <c r="D576" s="27">
        <f>IFERROR('Price Data'!D576/'Price Data'!D575-1,0)</f>
        <v>-5.413985550614675E-3</v>
      </c>
      <c r="E576" s="27">
        <f>IFERROR('Price Data'!E576/'Price Data'!E575-1,0)</f>
        <v>-1.9583186644407391E-3</v>
      </c>
      <c r="F576" s="27">
        <f>IFERROR('Price Data'!F576/'Price Data'!F575-1,0)</f>
        <v>1.7362433007710454E-3</v>
      </c>
      <c r="G576" s="27">
        <f>B576*Portfolio!$D$5+C576*Portfolio!$D$6+D576*Portfolio!$D$7+E576*Portfolio!$D$8+F576*Portfolio!$D$9</f>
        <v>1.9522609569141091E-3</v>
      </c>
      <c r="H576" s="27">
        <f>IFERROR('Price Data'!G576/'Price Data'!G575-1,0)</f>
        <v>-7.1910077731884847E-5</v>
      </c>
    </row>
    <row r="577" spans="1:8" ht="15">
      <c r="A577" s="25">
        <f>'Price Data'!A577</f>
        <v>45779</v>
      </c>
      <c r="B577" s="27">
        <f>IFERROR('Price Data'!B577/'Price Data'!B576-1,0)</f>
        <v>1.0533849468939094E-2</v>
      </c>
      <c r="C577" s="27">
        <f>IFERROR('Price Data'!C577/'Price Data'!C576-1,0)</f>
        <v>-1.6102698722668674E-3</v>
      </c>
      <c r="D577" s="27">
        <f>IFERROR('Price Data'!D577/'Price Data'!D576-1,0)</f>
        <v>-6.572663882414731E-3</v>
      </c>
      <c r="E577" s="27">
        <f>IFERROR('Price Data'!E577/'Price Data'!E576-1,0)</f>
        <v>2.1723250274083838E-3</v>
      </c>
      <c r="F577" s="27">
        <f>IFERROR('Price Data'!F577/'Price Data'!F576-1,0)</f>
        <v>4.5330800832164009E-3</v>
      </c>
      <c r="G577" s="27">
        <f>B577*Portfolio!$D$5+C577*Portfolio!$D$6+D577*Portfolio!$D$7+E577*Portfolio!$D$8+F577*Portfolio!$D$9</f>
        <v>1.9221728892788279E-3</v>
      </c>
      <c r="H577" s="27">
        <f>IFERROR('Price Data'!G577/'Price Data'!G576-1,0)</f>
        <v>5.1368035116472477E-4</v>
      </c>
    </row>
    <row r="578" spans="1:8" ht="15">
      <c r="A578" s="25">
        <f>'Price Data'!A578</f>
        <v>45782</v>
      </c>
      <c r="B578" s="27">
        <f>IFERROR('Price Data'!B578/'Price Data'!B577-1,0)</f>
        <v>8.0997851348190153E-3</v>
      </c>
      <c r="C578" s="27">
        <f>IFERROR('Price Data'!C578/'Price Data'!C577-1,0)</f>
        <v>7.7526507080496465E-3</v>
      </c>
      <c r="D578" s="27">
        <f>IFERROR('Price Data'!D578/'Price Data'!D577-1,0)</f>
        <v>6.791046190455452E-3</v>
      </c>
      <c r="E578" s="27">
        <f>IFERROR('Price Data'!E578/'Price Data'!E577-1,0)</f>
        <v>-4.8943398894552015E-4</v>
      </c>
      <c r="F578" s="27">
        <f>IFERROR('Price Data'!F578/'Price Data'!F577-1,0)</f>
        <v>1.1280068822223654E-3</v>
      </c>
      <c r="G578" s="27">
        <f>B578*Portfolio!$D$5+C578*Portfolio!$D$6+D578*Portfolio!$D$7+E578*Portfolio!$D$8+F578*Portfolio!$D$9</f>
        <v>5.4171041327997823E-3</v>
      </c>
      <c r="H578" s="27">
        <f>IFERROR('Price Data'!G578/'Price Data'!G577-1,0)</f>
        <v>4.700890697612925E-3</v>
      </c>
    </row>
    <row r="579" spans="1:8" ht="15">
      <c r="A579" s="25">
        <f>'Price Data'!A579</f>
        <v>45783</v>
      </c>
      <c r="B579" s="27">
        <f>IFERROR('Price Data'!B579/'Price Data'!B578-1,0)</f>
        <v>-7.2661776497336961E-3</v>
      </c>
      <c r="C579" s="27">
        <f>IFERROR('Price Data'!C579/'Price Data'!C578-1,0)</f>
        <v>-2.6332544478214759E-3</v>
      </c>
      <c r="D579" s="27">
        <f>IFERROR('Price Data'!D579/'Price Data'!D578-1,0)</f>
        <v>1.6500878478162839E-3</v>
      </c>
      <c r="E579" s="27">
        <f>IFERROR('Price Data'!E579/'Price Data'!E578-1,0)</f>
        <v>1.5390726871913341E-3</v>
      </c>
      <c r="F579" s="27">
        <f>IFERROR('Price Data'!F579/'Price Data'!F578-1,0)</f>
        <v>1.9223793176292858E-3</v>
      </c>
      <c r="G579" s="27">
        <f>B579*Portfolio!$D$5+C579*Portfolio!$D$6+D579*Portfolio!$D$7+E579*Portfolio!$D$8+F579*Portfolio!$D$9</f>
        <v>-1.625622654102443E-3</v>
      </c>
      <c r="H579" s="27">
        <f>IFERROR('Price Data'!G579/'Price Data'!G578-1,0)</f>
        <v>-3.3338898599493128E-3</v>
      </c>
    </row>
    <row r="580" spans="1:8" ht="15">
      <c r="A580" s="25">
        <f>'Price Data'!A580</f>
        <v>45784</v>
      </c>
      <c r="B580" s="27">
        <f>IFERROR('Price Data'!B580/'Price Data'!B579-1,0)</f>
        <v>-1.0486336160832499E-2</v>
      </c>
      <c r="C580" s="27">
        <f>IFERROR('Price Data'!C580/'Price Data'!C579-1,0)</f>
        <v>7.1957874925216991E-3</v>
      </c>
      <c r="D580" s="27">
        <f>IFERROR('Price Data'!D580/'Price Data'!D579-1,0)</f>
        <v>-4.3063934215905597E-3</v>
      </c>
      <c r="E580" s="27">
        <f>IFERROR('Price Data'!E580/'Price Data'!E579-1,0)</f>
        <v>2.654438080926802E-3</v>
      </c>
      <c r="F580" s="27">
        <f>IFERROR('Price Data'!F580/'Price Data'!F579-1,0)</f>
        <v>-2.1170501669786068E-3</v>
      </c>
      <c r="G580" s="27">
        <f>B580*Portfolio!$D$5+C580*Portfolio!$D$6+D580*Portfolio!$D$7+E580*Portfolio!$D$8+F580*Portfolio!$D$9</f>
        <v>-1.6033076643035826E-3</v>
      </c>
      <c r="H580" s="27">
        <f>IFERROR('Price Data'!G580/'Price Data'!G579-1,0)</f>
        <v>1.4274549954715887E-3</v>
      </c>
    </row>
    <row r="581" spans="1:8" ht="15">
      <c r="A581" s="25">
        <f>'Price Data'!A581</f>
        <v>45785</v>
      </c>
      <c r="B581" s="27">
        <f>IFERROR('Price Data'!B581/'Price Data'!B580-1,0)</f>
        <v>7.1124982321646435E-4</v>
      </c>
      <c r="C581" s="27">
        <f>IFERROR('Price Data'!C581/'Price Data'!C580-1,0)</f>
        <v>-8.7890530310229531E-3</v>
      </c>
      <c r="D581" s="27">
        <f>IFERROR('Price Data'!D581/'Price Data'!D580-1,0)</f>
        <v>1.1029715285024722E-3</v>
      </c>
      <c r="E581" s="27">
        <f>IFERROR('Price Data'!E581/'Price Data'!E580-1,0)</f>
        <v>6.96732129206179E-5</v>
      </c>
      <c r="F581" s="27">
        <f>IFERROR('Price Data'!F581/'Price Data'!F580-1,0)</f>
        <v>2.0552247803138357E-3</v>
      </c>
      <c r="G581" s="27">
        <f>B581*Portfolio!$D$5+C581*Portfolio!$D$6+D581*Portfolio!$D$7+E581*Portfolio!$D$8+F581*Portfolio!$D$9</f>
        <v>-1.4801217972659599E-3</v>
      </c>
      <c r="H581" s="27">
        <f>IFERROR('Price Data'!G581/'Price Data'!G580-1,0)</f>
        <v>-5.7588802970967023E-3</v>
      </c>
    </row>
    <row r="582" spans="1:8" ht="15">
      <c r="A582" s="25">
        <f>'Price Data'!A582</f>
        <v>45786</v>
      </c>
      <c r="B582" s="27">
        <f>IFERROR('Price Data'!B582/'Price Data'!B581-1,0)</f>
        <v>-2.1179777793082E-2</v>
      </c>
      <c r="C582" s="27">
        <f>IFERROR('Price Data'!C582/'Price Data'!C581-1,0)</f>
        <v>-2.0119329905647354E-2</v>
      </c>
      <c r="D582" s="27">
        <f>IFERROR('Price Data'!D582/'Price Data'!D581-1,0)</f>
        <v>-2.4933703856392375E-3</v>
      </c>
      <c r="E582" s="27">
        <f>IFERROR('Price Data'!E582/'Price Data'!E581-1,0)</f>
        <v>-3.2462541688543345E-2</v>
      </c>
      <c r="F582" s="27">
        <f>IFERROR('Price Data'!F582/'Price Data'!F581-1,0)</f>
        <v>-2.5141900003474715E-3</v>
      </c>
      <c r="G582" s="27">
        <f>B582*Portfolio!$D$5+C582*Portfolio!$D$6+D582*Portfolio!$D$7+E582*Portfolio!$D$8+F582*Portfolio!$D$9</f>
        <v>-1.606996075514381E-2</v>
      </c>
      <c r="H582" s="27">
        <f>IFERROR('Price Data'!G582/'Price Data'!G581-1,0)</f>
        <v>-1.09501096942064E-2</v>
      </c>
    </row>
    <row r="583" spans="1:8" ht="15">
      <c r="A583" s="25">
        <f>'Price Data'!A583</f>
        <v>45789</v>
      </c>
      <c r="B583" s="27">
        <f>IFERROR('Price Data'!B583/'Price Data'!B582-1,0)</f>
        <v>4.3058351107950754E-2</v>
      </c>
      <c r="C583" s="27">
        <f>IFERROR('Price Data'!C583/'Price Data'!C582-1,0)</f>
        <v>3.5720059251466152E-2</v>
      </c>
      <c r="D583" s="27">
        <f>IFERROR('Price Data'!D583/'Price Data'!D582-1,0)</f>
        <v>5.2349977136644688E-2</v>
      </c>
      <c r="E583" s="27">
        <f>IFERROR('Price Data'!E583/'Price Data'!E582-1,0)</f>
        <v>4.291159071909223E-2</v>
      </c>
      <c r="F583" s="27">
        <f>IFERROR('Price Data'!F583/'Price Data'!F582-1,0)</f>
        <v>7.9132405176815412E-2</v>
      </c>
      <c r="G583" s="27">
        <f>B583*Portfolio!$D$5+C583*Portfolio!$D$6+D583*Portfolio!$D$7+E583*Portfolio!$D$8+F583*Portfolio!$D$9</f>
        <v>4.8471197401569313E-2</v>
      </c>
      <c r="H583" s="27">
        <f>IFERROR('Price Data'!G583/'Price Data'!G582-1,0)</f>
        <v>3.8183073090219954E-2</v>
      </c>
    </row>
    <row r="584" spans="1:8" ht="15">
      <c r="A584" s="25">
        <f>'Price Data'!A584</f>
        <v>45790</v>
      </c>
      <c r="B584" s="27">
        <f>IFERROR('Price Data'!B584/'Price Data'!B583-1,0)</f>
        <v>-1.4479664614505894E-2</v>
      </c>
      <c r="C584" s="27">
        <f>IFERROR('Price Data'!C584/'Price Data'!C583-1,0)</f>
        <v>-1.7678393122908864E-2</v>
      </c>
      <c r="D584" s="27">
        <f>IFERROR('Price Data'!D584/'Price Data'!D583-1,0)</f>
        <v>-2.9112768863223559E-2</v>
      </c>
      <c r="E584" s="27">
        <f>IFERROR('Price Data'!E584/'Price Data'!E583-1,0)</f>
        <v>-1.2357611339645969E-2</v>
      </c>
      <c r="F584" s="27">
        <f>IFERROR('Price Data'!F584/'Price Data'!F583-1,0)</f>
        <v>-3.5835051787234118E-2</v>
      </c>
      <c r="G584" s="27">
        <f>B584*Portfolio!$D$5+C584*Portfolio!$D$6+D584*Portfolio!$D$7+E584*Portfolio!$D$8+F584*Portfolio!$D$9</f>
        <v>-2.1090967676030414E-2</v>
      </c>
      <c r="H584" s="27">
        <f>IFERROR('Price Data'!G584/'Price Data'!G583-1,0)</f>
        <v>-1.389583907654357E-2</v>
      </c>
    </row>
    <row r="585" spans="1:8" ht="15">
      <c r="A585" s="25">
        <f>'Price Data'!A585</f>
        <v>45791</v>
      </c>
      <c r="B585" s="27">
        <f>IFERROR('Price Data'!B585/'Price Data'!B584-1,0)</f>
        <v>6.1453540610170165E-3</v>
      </c>
      <c r="C585" s="27">
        <f>IFERROR('Price Data'!C585/'Price Data'!C584-1,0)</f>
        <v>-6.2414932066343631E-3</v>
      </c>
      <c r="D585" s="27">
        <f>IFERROR('Price Data'!D585/'Price Data'!D584-1,0)</f>
        <v>9.5874621494840273E-3</v>
      </c>
      <c r="E585" s="27">
        <f>IFERROR('Price Data'!E585/'Price Data'!E584-1,0)</f>
        <v>-3.0756494191314099E-3</v>
      </c>
      <c r="F585" s="27">
        <f>IFERROR('Price Data'!F585/'Price Data'!F584-1,0)</f>
        <v>1.5172806937768124E-2</v>
      </c>
      <c r="G585" s="27">
        <f>B585*Portfolio!$D$5+C585*Portfolio!$D$6+D585*Portfolio!$D$7+E585*Portfolio!$D$8+F585*Portfolio!$D$9</f>
        <v>3.7080312712879757E-3</v>
      </c>
      <c r="H585" s="27">
        <f>IFERROR('Price Data'!G585/'Price Data'!G584-1,0)</f>
        <v>3.6027960647213586E-3</v>
      </c>
    </row>
    <row r="586" spans="1:8" ht="15">
      <c r="A586" s="25">
        <f>'Price Data'!A586</f>
        <v>45792</v>
      </c>
      <c r="B586" s="27">
        <f>IFERROR('Price Data'!B586/'Price Data'!B585-1,0)</f>
        <v>2.092113971943621E-2</v>
      </c>
      <c r="C586" s="27">
        <f>IFERROR('Price Data'!C586/'Price Data'!C585-1,0)</f>
        <v>1.2142802554537813E-2</v>
      </c>
      <c r="D586" s="27">
        <f>IFERROR('Price Data'!D586/'Price Data'!D585-1,0)</f>
        <v>8.7918980040855299E-3</v>
      </c>
      <c r="E586" s="27">
        <f>IFERROR('Price Data'!E586/'Price Data'!E585-1,0)</f>
        <v>1.7248707733416691E-2</v>
      </c>
      <c r="F586" s="27">
        <f>IFERROR('Price Data'!F586/'Price Data'!F585-1,0)</f>
        <v>1.2936457162283199E-2</v>
      </c>
      <c r="G586" s="27">
        <f>B586*Portfolio!$D$5+C586*Portfolio!$D$6+D586*Portfolio!$D$7+E586*Portfolio!$D$8+F586*Portfolio!$D$9</f>
        <v>1.4552139903665596E-2</v>
      </c>
      <c r="H586" s="27">
        <f>IFERROR('Price Data'!G586/'Price Data'!G585-1,0)</f>
        <v>1.6021438141461841E-2</v>
      </c>
    </row>
    <row r="587" spans="1:8" ht="15">
      <c r="A587" s="25">
        <f>'Price Data'!A587</f>
        <v>45793</v>
      </c>
      <c r="B587" s="27">
        <f>IFERROR('Price Data'!B587/'Price Data'!B586-1,0)</f>
        <v>1.5128514905287105E-3</v>
      </c>
      <c r="C587" s="27">
        <f>IFERROR('Price Data'!C587/'Price Data'!C586-1,0)</f>
        <v>4.6539753703500608E-4</v>
      </c>
      <c r="D587" s="27">
        <f>IFERROR('Price Data'!D587/'Price Data'!D586-1,0)</f>
        <v>-5.195640110298716E-3</v>
      </c>
      <c r="E587" s="27">
        <f>IFERROR('Price Data'!E587/'Price Data'!E586-1,0)</f>
        <v>2.205622187170464E-3</v>
      </c>
      <c r="F587" s="27">
        <f>IFERROR('Price Data'!F587/'Price Data'!F586-1,0)</f>
        <v>-1.4321148672298833E-2</v>
      </c>
      <c r="G587" s="27">
        <f>B587*Portfolio!$D$5+C587*Portfolio!$D$6+D587*Portfolio!$D$7+E587*Portfolio!$D$8+F587*Portfolio!$D$9</f>
        <v>-2.3618947379380694E-3</v>
      </c>
      <c r="H587" s="27">
        <f>IFERROR('Price Data'!G587/'Price Data'!G586-1,0)</f>
        <v>-1.6877607536591732E-3</v>
      </c>
    </row>
    <row r="588" spans="1:8" ht="15">
      <c r="A588" s="25">
        <f>'Price Data'!A588</f>
        <v>45796</v>
      </c>
      <c r="B588" s="27">
        <f>IFERROR('Price Data'!B588/'Price Data'!B587-1,0)</f>
        <v>-1.0711341598050206E-2</v>
      </c>
      <c r="C588" s="27">
        <f>IFERROR('Price Data'!C588/'Price Data'!C587-1,0)</f>
        <v>2.067442410443876E-3</v>
      </c>
      <c r="D588" s="27">
        <f>IFERROR('Price Data'!D588/'Price Data'!D587-1,0)</f>
        <v>-1.193385035135397E-2</v>
      </c>
      <c r="E588" s="27">
        <f>IFERROR('Price Data'!E588/'Price Data'!E587-1,0)</f>
        <v>-3.4387583583165293E-3</v>
      </c>
      <c r="F588" s="27">
        <f>IFERROR('Price Data'!F588/'Price Data'!F587-1,0)</f>
        <v>-1.8931933296226111E-2</v>
      </c>
      <c r="G588" s="27">
        <f>B588*Portfolio!$D$5+C588*Portfolio!$D$6+D588*Portfolio!$D$7+E588*Portfolio!$D$8+F588*Portfolio!$D$9</f>
        <v>-7.9033486153537724E-3</v>
      </c>
      <c r="H588" s="27">
        <f>IFERROR('Price Data'!G588/'Price Data'!G587-1,0)</f>
        <v>-2.9717088137536374E-3</v>
      </c>
    </row>
    <row r="589" spans="1:8" ht="15">
      <c r="A589" s="25">
        <f>'Price Data'!A589</f>
        <v>45797</v>
      </c>
      <c r="B589" s="27">
        <f>IFERROR('Price Data'!B589/'Price Data'!B588-1,0)</f>
        <v>-1.1243742082533759E-2</v>
      </c>
      <c r="C589" s="27">
        <f>IFERROR('Price Data'!C589/'Price Data'!C588-1,0)</f>
        <v>-1.2276239952846102E-2</v>
      </c>
      <c r="D589" s="27">
        <f>IFERROR('Price Data'!D589/'Price Data'!D588-1,0)</f>
        <v>-5.8259006017459258E-3</v>
      </c>
      <c r="E589" s="27">
        <f>IFERROR('Price Data'!E589/'Price Data'!E588-1,0)</f>
        <v>-7.4534875448646343E-3</v>
      </c>
      <c r="F589" s="27">
        <f>IFERROR('Price Data'!F589/'Price Data'!F588-1,0)</f>
        <v>5.1277069872313064E-4</v>
      </c>
      <c r="G589" s="27">
        <f>B589*Portfolio!$D$5+C589*Portfolio!$D$6+D589*Portfolio!$D$7+E589*Portfolio!$D$8+F589*Portfolio!$D$9</f>
        <v>-8.0862831561153772E-3</v>
      </c>
      <c r="H589" s="27">
        <f>IFERROR('Price Data'!G589/'Price Data'!G588-1,0)</f>
        <v>-1.0484831354666824E-2</v>
      </c>
    </row>
    <row r="590" spans="1:8" ht="15">
      <c r="A590" s="25">
        <f>'Price Data'!A590</f>
        <v>45798</v>
      </c>
      <c r="B590" s="27">
        <f>IFERROR('Price Data'!B590/'Price Data'!B589-1,0)</f>
        <v>3.2289284330828671E-3</v>
      </c>
      <c r="C590" s="27">
        <f>IFERROR('Price Data'!C590/'Price Data'!C589-1,0)</f>
        <v>6.2144423982861685E-3</v>
      </c>
      <c r="D590" s="27">
        <f>IFERROR('Price Data'!D590/'Price Data'!D589-1,0)</f>
        <v>7.8609783336271999E-3</v>
      </c>
      <c r="E590" s="27">
        <f>IFERROR('Price Data'!E590/'Price Data'!E589-1,0)</f>
        <v>4.5196001444123279E-3</v>
      </c>
      <c r="F590" s="27">
        <f>IFERROR('Price Data'!F590/'Price Data'!F589-1,0)</f>
        <v>5.0621365433272114E-3</v>
      </c>
      <c r="G590" s="27">
        <f>B590*Portfolio!$D$5+C590*Portfolio!$D$6+D590*Portfolio!$D$7+E590*Portfolio!$D$8+F590*Portfolio!$D$9</f>
        <v>5.3702988777286301E-3</v>
      </c>
      <c r="H590" s="27">
        <f>IFERROR('Price Data'!G590/'Price Data'!G589-1,0)</f>
        <v>5.2483127088862602E-3</v>
      </c>
    </row>
    <row r="591" spans="1:8" ht="15">
      <c r="A591" s="25">
        <f>'Price Data'!A591</f>
        <v>45799</v>
      </c>
      <c r="B591" s="27">
        <f>IFERROR('Price Data'!B591/'Price Data'!B590-1,0)</f>
        <v>-1.3853833322909237E-2</v>
      </c>
      <c r="C591" s="27">
        <f>IFERROR('Price Data'!C591/'Price Data'!C590-1,0)</f>
        <v>-3.5810322194991251E-3</v>
      </c>
      <c r="D591" s="27">
        <f>IFERROR('Price Data'!D591/'Price Data'!D590-1,0)</f>
        <v>-1.3840828188666165E-2</v>
      </c>
      <c r="E591" s="27">
        <f>IFERROR('Price Data'!E591/'Price Data'!E590-1,0)</f>
        <v>-1.7996720468936855E-3</v>
      </c>
      <c r="F591" s="27">
        <f>IFERROR('Price Data'!F591/'Price Data'!F590-1,0)</f>
        <v>-1.338858124655562E-2</v>
      </c>
      <c r="G591" s="27">
        <f>B591*Portfolio!$D$5+C591*Portfolio!$D$6+D591*Portfolio!$D$7+E591*Portfolio!$D$8+F591*Portfolio!$D$9</f>
        <v>-9.4051200173527194E-3</v>
      </c>
      <c r="H591" s="27">
        <f>IFERROR('Price Data'!G591/'Price Data'!G590-1,0)</f>
        <v>-8.2112727740422109E-3</v>
      </c>
    </row>
    <row r="592" spans="1:8" ht="15">
      <c r="A592" s="25">
        <f>'Price Data'!A592</f>
        <v>45800</v>
      </c>
      <c r="B592" s="27">
        <f>IFERROR('Price Data'!B592/'Price Data'!B591-1,0)</f>
        <v>1.2345734016484755E-2</v>
      </c>
      <c r="C592" s="27">
        <f>IFERROR('Price Data'!C592/'Price Data'!C591-1,0)</f>
        <v>7.1357262547508959E-3</v>
      </c>
      <c r="D592" s="27">
        <f>IFERROR('Price Data'!D592/'Price Data'!D591-1,0)</f>
        <v>1.0813958085807096E-2</v>
      </c>
      <c r="E592" s="27">
        <f>IFERROR('Price Data'!E592/'Price Data'!E591-1,0)</f>
        <v>5.3394859060125199E-3</v>
      </c>
      <c r="F592" s="27">
        <f>IFERROR('Price Data'!F592/'Price Data'!F591-1,0)</f>
        <v>1.1179365705227706E-2</v>
      </c>
      <c r="G592" s="27">
        <f>B592*Portfolio!$D$5+C592*Portfolio!$D$6+D592*Portfolio!$D$7+E592*Portfolio!$D$8+F592*Portfolio!$D$9</f>
        <v>9.5109844266563666E-3</v>
      </c>
      <c r="H592" s="27">
        <f>IFERROR('Price Data'!G592/'Price Data'!G591-1,0)</f>
        <v>9.8924887180058541E-3</v>
      </c>
    </row>
    <row r="593" spans="1:8" ht="15">
      <c r="A593" s="25">
        <f>'Price Data'!A593</f>
        <v>45803</v>
      </c>
      <c r="B593" s="27">
        <f>IFERROR('Price Data'!B593/'Price Data'!B592-1,0)</f>
        <v>5.6068761250060994E-3</v>
      </c>
      <c r="C593" s="27">
        <f>IFERROR('Price Data'!C593/'Price Data'!C592-1,0)</f>
        <v>3.4132467692793433E-3</v>
      </c>
      <c r="D593" s="27">
        <f>IFERROR('Price Data'!D593/'Price Data'!D592-1,0)</f>
        <v>6.4587018570132493E-3</v>
      </c>
      <c r="E593" s="27">
        <f>IFERROR('Price Data'!E593/'Price Data'!E592-1,0)</f>
        <v>7.4492046460570283E-3</v>
      </c>
      <c r="F593" s="27">
        <f>IFERROR('Price Data'!F593/'Price Data'!F592-1,0)</f>
        <v>1.0033176415967349E-2</v>
      </c>
      <c r="G593" s="27">
        <f>B593*Portfolio!$D$5+C593*Portfolio!$D$6+D593*Portfolio!$D$7+E593*Portfolio!$D$8+F593*Portfolio!$D$9</f>
        <v>6.1691282542776669E-3</v>
      </c>
      <c r="H593" s="27">
        <f>IFERROR('Price Data'!G593/'Price Data'!G592-1,0)</f>
        <v>5.9549794562796521E-3</v>
      </c>
    </row>
    <row r="594" spans="1:8" ht="15">
      <c r="A594" s="25">
        <f>'Price Data'!A594</f>
        <v>45804</v>
      </c>
      <c r="B594" s="27">
        <f>IFERROR('Price Data'!B594/'Price Data'!B593-1,0)</f>
        <v>-8.8514400924377679E-3</v>
      </c>
      <c r="C594" s="27">
        <f>IFERROR('Price Data'!C594/'Price Data'!C593-1,0)</f>
        <v>-7.1641334005057011E-3</v>
      </c>
      <c r="D594" s="27">
        <f>IFERROR('Price Data'!D594/'Price Data'!D593-1,0)</f>
        <v>-1.0912227920739315E-2</v>
      </c>
      <c r="E594" s="27">
        <f>IFERROR('Price Data'!E594/'Price Data'!E593-1,0)</f>
        <v>-9.7219743570977624E-3</v>
      </c>
      <c r="F594" s="27">
        <f>IFERROR('Price Data'!F594/'Price Data'!F593-1,0)</f>
        <v>-6.5801766845885457E-3</v>
      </c>
      <c r="G594" s="27">
        <f>B594*Portfolio!$D$5+C594*Portfolio!$D$6+D594*Portfolio!$D$7+E594*Portfolio!$D$8+F594*Portfolio!$D$9</f>
        <v>-8.6316616136366767E-3</v>
      </c>
      <c r="H594" s="27">
        <f>IFERROR('Price Data'!G594/'Price Data'!G593-1,0)</f>
        <v>-6.9977248703164685E-3</v>
      </c>
    </row>
    <row r="595" spans="1:8" ht="15">
      <c r="A595" s="25">
        <f>'Price Data'!A595</f>
        <v>45805</v>
      </c>
      <c r="B595" s="27">
        <f>IFERROR('Price Data'!B595/'Price Data'!B594-1,0)</f>
        <v>-6.4692963184638241E-3</v>
      </c>
      <c r="C595" s="27">
        <f>IFERROR('Price Data'!C595/'Price Data'!C594-1,0)</f>
        <v>-1.4535989272199679E-3</v>
      </c>
      <c r="D595" s="27">
        <f>IFERROR('Price Data'!D595/'Price Data'!D594-1,0)</f>
        <v>-2.8580510111619883E-4</v>
      </c>
      <c r="E595" s="27">
        <f>IFERROR('Price Data'!E595/'Price Data'!E594-1,0)</f>
        <v>5.116182076446929E-3</v>
      </c>
      <c r="F595" s="27">
        <f>IFERROR('Price Data'!F595/'Price Data'!F594-1,0)</f>
        <v>1.0827657468199803E-3</v>
      </c>
      <c r="G595" s="27">
        <f>B595*Portfolio!$D$5+C595*Portfolio!$D$6+D595*Portfolio!$D$7+E595*Portfolio!$D$8+F595*Portfolio!$D$9</f>
        <v>-1.1080426581541512E-3</v>
      </c>
      <c r="H595" s="27">
        <f>IFERROR('Price Data'!G595/'Price Data'!G594-1,0)</f>
        <v>-2.9706520659956714E-3</v>
      </c>
    </row>
    <row r="596" spans="1:8" ht="15">
      <c r="A596" s="25">
        <f>'Price Data'!A596</f>
        <v>45806</v>
      </c>
      <c r="B596" s="27">
        <f>IFERROR('Price Data'!B596/'Price Data'!B595-1,0)</f>
        <v>3.4681216545757731E-3</v>
      </c>
      <c r="C596" s="27">
        <f>IFERROR('Price Data'!C596/'Price Data'!C595-1,0)</f>
        <v>2.0795460868408E-3</v>
      </c>
      <c r="D596" s="27">
        <f>IFERROR('Price Data'!D596/'Price Data'!D595-1,0)</f>
        <v>1.1439863863427213E-4</v>
      </c>
      <c r="E596" s="27">
        <f>IFERROR('Price Data'!E596/'Price Data'!E595-1,0)</f>
        <v>1.857113761925433E-3</v>
      </c>
      <c r="F596" s="27">
        <f>IFERROR('Price Data'!F596/'Price Data'!F595-1,0)</f>
        <v>8.7797055595515427E-3</v>
      </c>
      <c r="G596" s="27">
        <f>B596*Portfolio!$D$5+C596*Portfolio!$D$6+D596*Portfolio!$D$7+E596*Portfolio!$D$8+F596*Portfolio!$D$9</f>
        <v>3.0053195613025437E-3</v>
      </c>
      <c r="H596" s="27">
        <f>IFERROR('Price Data'!G596/'Price Data'!G595-1,0)</f>
        <v>3.2784792287758879E-3</v>
      </c>
    </row>
    <row r="597" spans="1:8" ht="15">
      <c r="A597" s="25">
        <f>'Price Data'!A597</f>
        <v>45807</v>
      </c>
      <c r="B597" s="27">
        <f>IFERROR('Price Data'!B597/'Price Data'!B596-1,0)</f>
        <v>2.1864194149390226E-3</v>
      </c>
      <c r="C597" s="27">
        <f>IFERROR('Price Data'!C597/'Price Data'!C596-1,0)</f>
        <v>9.0272692014776723E-3</v>
      </c>
      <c r="D597" s="27">
        <f>IFERROR('Price Data'!D597/'Price Data'!D596-1,0)</f>
        <v>-9.919708367336133E-3</v>
      </c>
      <c r="E597" s="27">
        <f>IFERROR('Price Data'!E597/'Price Data'!E596-1,0)</f>
        <v>-7.3462746299983728E-3</v>
      </c>
      <c r="F597" s="27">
        <f>IFERROR('Price Data'!F597/'Price Data'!F596-1,0)</f>
        <v>-5.7560906006071111E-4</v>
      </c>
      <c r="G597" s="27">
        <f>B597*Portfolio!$D$5+C597*Portfolio!$D$6+D597*Portfolio!$D$7+E597*Portfolio!$D$8+F597*Portfolio!$D$9</f>
        <v>-3.6880207287191558E-4</v>
      </c>
      <c r="H597" s="27">
        <f>IFERROR('Price Data'!G597/'Price Data'!G596-1,0)</f>
        <v>-3.3382349691143398E-3</v>
      </c>
    </row>
    <row r="598" spans="1:8" ht="15">
      <c r="A598" s="25">
        <f>'Price Data'!A598</f>
        <v>45810</v>
      </c>
      <c r="B598" s="27">
        <f>IFERROR('Price Data'!B598/'Price Data'!B597-1,0)</f>
        <v>-5.0672635520357945E-3</v>
      </c>
      <c r="C598" s="27">
        <f>IFERROR('Price Data'!C598/'Price Data'!C597-1,0)</f>
        <v>-6.5813910177983104E-3</v>
      </c>
      <c r="D598" s="27">
        <f>IFERROR('Price Data'!D598/'Price Data'!D597-1,0)</f>
        <v>-3.9267436566835512E-3</v>
      </c>
      <c r="E598" s="27">
        <f>IFERROR('Price Data'!E598/'Price Data'!E597-1,0)</f>
        <v>3.2507452159200589E-3</v>
      </c>
      <c r="F598" s="27">
        <f>IFERROR('Price Data'!F598/'Price Data'!F597-1,0)</f>
        <v>-5.6952323091319368E-3</v>
      </c>
      <c r="G598" s="27">
        <f>B598*Portfolio!$D$5+C598*Portfolio!$D$6+D598*Portfolio!$D$7+E598*Portfolio!$D$8+F598*Portfolio!$D$9</f>
        <v>-4.0641854377770183E-3</v>
      </c>
      <c r="H598" s="27">
        <f>IFERROR('Price Data'!G598/'Price Data'!G597-1,0)</f>
        <v>-1.3777230725331435E-3</v>
      </c>
    </row>
    <row r="599" spans="1:8" ht="15">
      <c r="A599" s="25">
        <f>'Price Data'!A599</f>
        <v>45811</v>
      </c>
      <c r="B599" s="27">
        <f>IFERROR('Price Data'!B599/'Price Data'!B598-1,0)</f>
        <v>-5.8002731784265738E-3</v>
      </c>
      <c r="C599" s="27">
        <f>IFERROR('Price Data'!C599/'Price Data'!C598-1,0)</f>
        <v>-3.8817040077179232E-3</v>
      </c>
      <c r="D599" s="27">
        <f>IFERROR('Price Data'!D599/'Price Data'!D598-1,0)</f>
        <v>-1.2928362676274507E-2</v>
      </c>
      <c r="E599" s="27">
        <f>IFERROR('Price Data'!E599/'Price Data'!E598-1,0)</f>
        <v>-8.6866722435595678E-3</v>
      </c>
      <c r="F599" s="27">
        <f>IFERROR('Price Data'!F599/'Price Data'!F598-1,0)</f>
        <v>-6.9507107785075073E-3</v>
      </c>
      <c r="G599" s="27">
        <f>B599*Portfolio!$D$5+C599*Portfolio!$D$6+D599*Portfolio!$D$7+E599*Portfolio!$D$8+F599*Portfolio!$D$9</f>
        <v>-7.351774285101087E-3</v>
      </c>
      <c r="H599" s="27">
        <f>IFERROR('Price Data'!G599/'Price Data'!G598-1,0)</f>
        <v>-7.0438333802584907E-3</v>
      </c>
    </row>
    <row r="600" spans="1:8" ht="15">
      <c r="A600" s="25">
        <f>'Price Data'!A600</f>
        <v>45812</v>
      </c>
      <c r="B600" s="27">
        <f>IFERROR('Price Data'!B600/'Price Data'!B599-1,0)</f>
        <v>1.2806787396711927E-2</v>
      </c>
      <c r="C600" s="27">
        <f>IFERROR('Price Data'!C600/'Price Data'!C599-1,0)</f>
        <v>8.6251343695169513E-3</v>
      </c>
      <c r="D600" s="27">
        <f>IFERROR('Price Data'!D600/'Price Data'!D599-1,0)</f>
        <v>1.6888416090756753E-3</v>
      </c>
      <c r="E600" s="27">
        <f>IFERROR('Price Data'!E600/'Price Data'!E599-1,0)</f>
        <v>-4.7986655582820115E-3</v>
      </c>
      <c r="F600" s="27">
        <f>IFERROR('Price Data'!F600/'Price Data'!F599-1,0)</f>
        <v>5.3143086118141447E-3</v>
      </c>
      <c r="G600" s="27">
        <f>B600*Portfolio!$D$5+C600*Portfolio!$D$6+D600*Portfolio!$D$7+E600*Portfolio!$D$8+F600*Portfolio!$D$9</f>
        <v>5.7730952214021742E-3</v>
      </c>
      <c r="H600" s="27">
        <f>IFERROR('Price Data'!G600/'Price Data'!G599-1,0)</f>
        <v>3.1659048079861751E-3</v>
      </c>
    </row>
    <row r="601" spans="1:8" ht="15">
      <c r="A601" s="25">
        <f>'Price Data'!A601</f>
        <v>45813</v>
      </c>
      <c r="B601" s="27">
        <f>IFERROR('Price Data'!B601/'Price Data'!B600-1,0)</f>
        <v>1.3277120171936607E-2</v>
      </c>
      <c r="C601" s="27">
        <f>IFERROR('Price Data'!C601/'Price Data'!C600-1,0)</f>
        <v>4.3271953114167871E-3</v>
      </c>
      <c r="D601" s="27">
        <f>IFERROR('Price Data'!D601/'Price Data'!D600-1,0)</f>
        <v>-2.8987032239611299E-3</v>
      </c>
      <c r="E601" s="27">
        <f>IFERROR('Price Data'!E601/'Price Data'!E600-1,0)</f>
        <v>1.6631750166401726E-2</v>
      </c>
      <c r="F601" s="27">
        <f>IFERROR('Price Data'!F601/'Price Data'!F600-1,0)</f>
        <v>1.998493314153027E-3</v>
      </c>
      <c r="G601" s="27">
        <f>B601*Portfolio!$D$5+C601*Portfolio!$D$6+D601*Portfolio!$D$7+E601*Portfolio!$D$8+F601*Portfolio!$D$9</f>
        <v>6.6158747481293361E-3</v>
      </c>
      <c r="H601" s="27">
        <f>IFERROR('Price Data'!G601/'Price Data'!G600-1,0)</f>
        <v>5.3086967621067682E-3</v>
      </c>
    </row>
    <row r="602" spans="1:8" ht="15">
      <c r="A602" s="25">
        <f>'Price Data'!A602</f>
        <v>45814</v>
      </c>
      <c r="B602" s="27">
        <f>IFERROR('Price Data'!B602/'Price Data'!B601-1,0)</f>
        <v>7.6261392367094061E-4</v>
      </c>
      <c r="C602" s="27">
        <f>IFERROR('Price Data'!C602/'Price Data'!C601-1,0)</f>
        <v>1.4926140501737573E-2</v>
      </c>
      <c r="D602" s="27">
        <f>IFERROR('Price Data'!D602/'Price Data'!D601-1,0)</f>
        <v>3.8859587842683396E-3</v>
      </c>
      <c r="E602" s="27">
        <f>IFERROR('Price Data'!E602/'Price Data'!E601-1,0)</f>
        <v>3.3681230947397722E-3</v>
      </c>
      <c r="F602" s="27">
        <f>IFERROR('Price Data'!F602/'Price Data'!F601-1,0)</f>
        <v>6.1120736652042762E-3</v>
      </c>
      <c r="G602" s="27">
        <f>B602*Portfolio!$D$5+C602*Portfolio!$D$6+D602*Portfolio!$D$7+E602*Portfolio!$D$8+F602*Portfolio!$D$9</f>
        <v>6.1214098771974037E-3</v>
      </c>
      <c r="H602" s="27">
        <f>IFERROR('Price Data'!G602/'Price Data'!G601-1,0)</f>
        <v>1.018752395450262E-2</v>
      </c>
    </row>
    <row r="603" spans="1:8" ht="15">
      <c r="A603" s="25">
        <f>'Price Data'!A603</f>
        <v>45817</v>
      </c>
      <c r="B603" s="27">
        <f>IFERROR('Price Data'!B603/'Price Data'!B602-1,0)</f>
        <v>3.6716435351531462E-3</v>
      </c>
      <c r="C603" s="27">
        <f>IFERROR('Price Data'!C603/'Price Data'!C602-1,0)</f>
        <v>1.0118787059987255E-4</v>
      </c>
      <c r="D603" s="27">
        <f>IFERROR('Price Data'!D603/'Price Data'!D602-1,0)</f>
        <v>1.1140075878242506E-2</v>
      </c>
      <c r="E603" s="27">
        <f>IFERROR('Price Data'!E603/'Price Data'!E602-1,0)</f>
        <v>-1.7058222271624457E-2</v>
      </c>
      <c r="F603" s="27">
        <f>IFERROR('Price Data'!F603/'Price Data'!F602-1,0)</f>
        <v>5.8191586413833818E-3</v>
      </c>
      <c r="G603" s="27">
        <f>B603*Portfolio!$D$5+C603*Portfolio!$D$6+D603*Portfolio!$D$7+E603*Portfolio!$D$8+F603*Portfolio!$D$9</f>
        <v>1.4853634825505945E-3</v>
      </c>
      <c r="H603" s="27">
        <f>IFERROR('Price Data'!G603/'Price Data'!G602-1,0)</f>
        <v>4.0054487100871228E-3</v>
      </c>
    </row>
    <row r="604" spans="1:8" ht="15">
      <c r="A604" s="25">
        <f>'Price Data'!A604</f>
        <v>45818</v>
      </c>
      <c r="B604" s="27">
        <f>IFERROR('Price Data'!B604/'Price Data'!B603-1,0)</f>
        <v>-7.1094032770255833E-3</v>
      </c>
      <c r="C604" s="27">
        <f>IFERROR('Price Data'!C604/'Price Data'!C603-1,0)</f>
        <v>-6.8725161193065043E-3</v>
      </c>
      <c r="D604" s="27">
        <f>IFERROR('Price Data'!D604/'Price Data'!D603-1,0)</f>
        <v>1.198163919721873E-2</v>
      </c>
      <c r="E604" s="27">
        <f>IFERROR('Price Data'!E604/'Price Data'!E603-1,0)</f>
        <v>-8.2938932086338291E-3</v>
      </c>
      <c r="F604" s="27">
        <f>IFERROR('Price Data'!F604/'Price Data'!F603-1,0)</f>
        <v>1.4686236400958341E-2</v>
      </c>
      <c r="G604" s="27">
        <f>B604*Portfolio!$D$5+C604*Portfolio!$D$6+D604*Portfolio!$D$7+E604*Portfolio!$D$8+F604*Portfolio!$D$9</f>
        <v>-1.4030053079059886E-4</v>
      </c>
      <c r="H604" s="27">
        <f>IFERROR('Price Data'!G604/'Price Data'!G603-1,0)</f>
        <v>4.1858459586929797E-5</v>
      </c>
    </row>
    <row r="605" spans="1:8" ht="15">
      <c r="A605" s="25">
        <f>'Price Data'!A605</f>
        <v>45819</v>
      </c>
      <c r="B605" s="27">
        <f>IFERROR('Price Data'!B605/'Price Data'!B604-1,0)</f>
        <v>7.2298097411731543E-3</v>
      </c>
      <c r="C605" s="27">
        <f>IFERROR('Price Data'!C605/'Price Data'!C604-1,0)</f>
        <v>-7.5815761441124785E-3</v>
      </c>
      <c r="D605" s="27">
        <f>IFERROR('Price Data'!D605/'Price Data'!D604-1,0)</f>
        <v>2.5989509084201057E-3</v>
      </c>
      <c r="E605" s="27">
        <f>IFERROR('Price Data'!E605/'Price Data'!E604-1,0)</f>
        <v>5.6925892856525273E-3</v>
      </c>
      <c r="F605" s="27">
        <f>IFERROR('Price Data'!F605/'Price Data'!F604-1,0)</f>
        <v>2.1992470808734677E-2</v>
      </c>
      <c r="G605" s="27">
        <f>B605*Portfolio!$D$5+C605*Portfolio!$D$6+D605*Portfolio!$D$7+E605*Portfolio!$D$8+F605*Portfolio!$D$9</f>
        <v>4.58460759510727E-3</v>
      </c>
      <c r="H605" s="27">
        <f>IFERROR('Price Data'!G605/'Price Data'!G604-1,0)</f>
        <v>1.4798446727146697E-3</v>
      </c>
    </row>
    <row r="606" spans="1:8" ht="15">
      <c r="A606" s="25">
        <f>'Price Data'!A606</f>
        <v>45820</v>
      </c>
      <c r="B606" s="27">
        <f>IFERROR('Price Data'!B606/'Price Data'!B605-1,0)</f>
        <v>-5.0382557840432662E-3</v>
      </c>
      <c r="C606" s="27">
        <f>IFERROR('Price Data'!C606/'Price Data'!C605-1,0)</f>
        <v>-3.5890295208462764E-3</v>
      </c>
      <c r="D606" s="27">
        <f>IFERROR('Price Data'!D606/'Price Data'!D605-1,0)</f>
        <v>-1.0858604702220997E-2</v>
      </c>
      <c r="E606" s="27">
        <f>IFERROR('Price Data'!E606/'Price Data'!E605-1,0)</f>
        <v>-4.0531278671152027E-3</v>
      </c>
      <c r="F606" s="27">
        <f>IFERROR('Price Data'!F606/'Price Data'!F605-1,0)</f>
        <v>-1.3794403336317873E-2</v>
      </c>
      <c r="G606" s="27">
        <f>B606*Portfolio!$D$5+C606*Portfolio!$D$6+D606*Portfolio!$D$7+E606*Portfolio!$D$8+F606*Portfolio!$D$9</f>
        <v>-7.0056719471815465E-3</v>
      </c>
      <c r="H606" s="27">
        <f>IFERROR('Price Data'!G606/'Price Data'!G605-1,0)</f>
        <v>-1.0071084662786611E-2</v>
      </c>
    </row>
    <row r="607" spans="1:8" ht="15">
      <c r="A607" s="25">
        <f>'Price Data'!A607</f>
        <v>45821</v>
      </c>
      <c r="B607" s="27">
        <f>IFERROR('Price Data'!B607/'Price Data'!B606-1,0)</f>
        <v>-9.5033733687241995E-3</v>
      </c>
      <c r="C607" s="27">
        <f>IFERROR('Price Data'!C607/'Price Data'!C606-1,0)</f>
        <v>-1.3275708750848492E-2</v>
      </c>
      <c r="D607" s="27">
        <f>IFERROR('Price Data'!D607/'Price Data'!D606-1,0)</f>
        <v>3.3486922507415251E-3</v>
      </c>
      <c r="E607" s="27">
        <f>IFERROR('Price Data'!E607/'Price Data'!E606-1,0)</f>
        <v>-6.385034975018189E-3</v>
      </c>
      <c r="F607" s="27">
        <f>IFERROR('Price Data'!F607/'Price Data'!F606-1,0)</f>
        <v>-4.1029435494980282E-3</v>
      </c>
      <c r="G607" s="27">
        <f>B607*Portfolio!$D$5+C607*Portfolio!$D$6+D607*Portfolio!$D$7+E607*Portfolio!$D$8+F607*Portfolio!$D$9</f>
        <v>-6.5982288584223005E-3</v>
      </c>
      <c r="H607" s="27">
        <f>IFERROR('Price Data'!G607/'Price Data'!G606-1,0)</f>
        <v>-6.8144588479197576E-3</v>
      </c>
    </row>
    <row r="608" spans="1:8" ht="15">
      <c r="A608" s="25">
        <f>'Price Data'!A608</f>
        <v>45824</v>
      </c>
      <c r="B608" s="27">
        <f>IFERROR('Price Data'!B608/'Price Data'!B607-1,0)</f>
        <v>6.9333090976066991E-3</v>
      </c>
      <c r="C608" s="27">
        <f>IFERROR('Price Data'!C608/'Price Data'!C607-1,0)</f>
        <v>9.2824358110565885E-3</v>
      </c>
      <c r="D608" s="27">
        <f>IFERROR('Price Data'!D608/'Price Data'!D607-1,0)</f>
        <v>1.4684967024346962E-2</v>
      </c>
      <c r="E608" s="27">
        <f>IFERROR('Price Data'!E608/'Price Data'!E607-1,0)</f>
        <v>7.6265661558747588E-3</v>
      </c>
      <c r="F608" s="27">
        <f>IFERROR('Price Data'!F608/'Price Data'!F607-1,0)</f>
        <v>1.3608046711623301E-2</v>
      </c>
      <c r="G608" s="27">
        <f>B608*Portfolio!$D$5+C608*Portfolio!$D$6+D608*Portfolio!$D$7+E608*Portfolio!$D$8+F608*Portfolio!$D$9</f>
        <v>1.0176121562159923E-2</v>
      </c>
      <c r="H608" s="27">
        <f>IFERROR('Price Data'!G608/'Price Data'!G607-1,0)</f>
        <v>9.2197937677085395E-3</v>
      </c>
    </row>
    <row r="609" spans="1:8" ht="15">
      <c r="A609" s="25">
        <f>'Price Data'!A609</f>
        <v>45825</v>
      </c>
      <c r="B609" s="27">
        <f>IFERROR('Price Data'!B609/'Price Data'!B608-1,0)</f>
        <v>-4.5904080894628718E-3</v>
      </c>
      <c r="C609" s="27">
        <f>IFERROR('Price Data'!C609/'Price Data'!C608-1,0)</f>
        <v>-2.9967853941785805E-3</v>
      </c>
      <c r="D609" s="27">
        <f>IFERROR('Price Data'!D609/'Price Data'!D608-1,0)</f>
        <v>5.4343408421362316E-3</v>
      </c>
      <c r="E609" s="27">
        <f>IFERROR('Price Data'!E609/'Price Data'!E608-1,0)</f>
        <v>-2.5930930222874959E-3</v>
      </c>
      <c r="F609" s="27">
        <f>IFERROR('Price Data'!F609/'Price Data'!F608-1,0)</f>
        <v>9.915008420867677E-3</v>
      </c>
      <c r="G609" s="27">
        <f>B609*Portfolio!$D$5+C609*Portfolio!$D$6+D609*Portfolio!$D$7+E609*Portfolio!$D$8+F609*Portfolio!$D$9</f>
        <v>2.8835710730391048E-4</v>
      </c>
      <c r="H609" s="27">
        <f>IFERROR('Price Data'!G609/'Price Data'!G608-1,0)</f>
        <v>-3.7319707924959866E-3</v>
      </c>
    </row>
    <row r="610" spans="1:8" ht="15">
      <c r="A610" s="25">
        <f>'Price Data'!A610</f>
        <v>45826</v>
      </c>
      <c r="B610" s="27">
        <f>IFERROR('Price Data'!B610/'Price Data'!B609-1,0)</f>
        <v>-7.6858184691230846E-4</v>
      </c>
      <c r="C610" s="27">
        <f>IFERROR('Price Data'!C610/'Price Data'!C609-1,0)</f>
        <v>2.2284856400167641E-3</v>
      </c>
      <c r="D610" s="27">
        <f>IFERROR('Price Data'!D610/'Price Data'!D609-1,0)</f>
        <v>-1.8177795583081635E-2</v>
      </c>
      <c r="E610" s="27">
        <f>IFERROR('Price Data'!E610/'Price Data'!E609-1,0)</f>
        <v>-7.4479786737325915E-3</v>
      </c>
      <c r="F610" s="27">
        <f>IFERROR('Price Data'!F610/'Price Data'!F609-1,0)</f>
        <v>-4.2685471551190401E-3</v>
      </c>
      <c r="G610" s="27">
        <f>B610*Portfolio!$D$5+C610*Portfolio!$D$6+D610*Portfolio!$D$7+E610*Portfolio!$D$8+F610*Portfolio!$D$9</f>
        <v>-5.0280620426679584E-3</v>
      </c>
      <c r="H610" s="27">
        <f>IFERROR('Price Data'!G610/'Price Data'!G609-1,0)</f>
        <v>-1.6637405234334324E-3</v>
      </c>
    </row>
    <row r="611" spans="1:8" ht="15">
      <c r="A611" s="25">
        <f>'Price Data'!A611</f>
        <v>45827</v>
      </c>
      <c r="B611" s="27">
        <f>IFERROR('Price Data'!B611/'Price Data'!B610-1,0)</f>
        <v>2.2376959867316248E-3</v>
      </c>
      <c r="C611" s="27">
        <f>IFERROR('Price Data'!C611/'Price Data'!C610-1,0)</f>
        <v>7.2394319868296364E-4</v>
      </c>
      <c r="D611" s="27">
        <f>IFERROR('Price Data'!D611/'Price Data'!D610-1,0)</f>
        <v>-7.9387001190952544E-3</v>
      </c>
      <c r="E611" s="27">
        <f>IFERROR('Price Data'!E611/'Price Data'!E610-1,0)</f>
        <v>-9.2019688921729514E-4</v>
      </c>
      <c r="F611" s="27">
        <f>IFERROR('Price Data'!F611/'Price Data'!F610-1,0)</f>
        <v>-8.879911401724061E-3</v>
      </c>
      <c r="G611" s="27">
        <f>B611*Portfolio!$D$5+C611*Portfolio!$D$6+D611*Portfolio!$D$7+E611*Portfolio!$D$8+F611*Portfolio!$D$9</f>
        <v>-2.3173464711066074E-3</v>
      </c>
      <c r="H611" s="27">
        <f>IFERROR('Price Data'!G611/'Price Data'!G610-1,0)</f>
        <v>-7.5772782410266082E-4</v>
      </c>
    </row>
    <row r="612" spans="1:8" ht="15">
      <c r="A612" s="25">
        <f>'Price Data'!A612</f>
        <v>45828</v>
      </c>
      <c r="B612" s="27">
        <f>IFERROR('Price Data'!B612/'Price Data'!B611-1,0)</f>
        <v>2.2953917524542122E-2</v>
      </c>
      <c r="C612" s="27">
        <f>IFERROR('Price Data'!C612/'Price Data'!C611-1,0)</f>
        <v>1.5191354266358648E-2</v>
      </c>
      <c r="D612" s="27">
        <f>IFERROR('Price Data'!D612/'Price Data'!D611-1,0)</f>
        <v>3.4169911195136571E-3</v>
      </c>
      <c r="E612" s="27">
        <f>IFERROR('Price Data'!E612/'Price Data'!E611-1,0)</f>
        <v>1.1195305087796426E-2</v>
      </c>
      <c r="F612" s="27">
        <f>IFERROR('Price Data'!F612/'Price Data'!F611-1,0)</f>
        <v>2.7805146005768222E-3</v>
      </c>
      <c r="G612" s="27">
        <f>B612*Portfolio!$D$5+C612*Portfolio!$D$6+D612*Portfolio!$D$7+E612*Portfolio!$D$8+F612*Portfolio!$D$9</f>
        <v>1.2316089124883911E-2</v>
      </c>
      <c r="H612" s="27">
        <f>IFERROR('Price Data'!G612/'Price Data'!G611-1,0)</f>
        <v>1.287247095983779E-2</v>
      </c>
    </row>
    <row r="613" spans="1:8" ht="15">
      <c r="A613" s="25">
        <f>'Price Data'!A613</f>
        <v>45831</v>
      </c>
      <c r="B613" s="27">
        <f>IFERROR('Price Data'!B613/'Price Data'!B612-1,0)</f>
        <v>-6.411090241396078E-3</v>
      </c>
      <c r="C613" s="27">
        <f>IFERROR('Price Data'!C613/'Price Data'!C612-1,0)</f>
        <v>-8.2963582799773228E-3</v>
      </c>
      <c r="D613" s="27">
        <f>IFERROR('Price Data'!D613/'Price Data'!D612-1,0)</f>
        <v>-1.2253606040421028E-2</v>
      </c>
      <c r="E613" s="27">
        <f>IFERROR('Price Data'!E613/'Price Data'!E612-1,0)</f>
        <v>-4.9050592404101812E-3</v>
      </c>
      <c r="F613" s="27">
        <f>IFERROR('Price Data'!F613/'Price Data'!F612-1,0)</f>
        <v>-2.3969441801684144E-2</v>
      </c>
      <c r="G613" s="27">
        <f>B613*Portfolio!$D$5+C613*Portfolio!$D$6+D613*Portfolio!$D$7+E613*Portfolio!$D$8+F613*Portfolio!$D$9</f>
        <v>-1.0458758494741704E-2</v>
      </c>
      <c r="H613" s="27">
        <f>IFERROR('Price Data'!G613/'Price Data'!G612-1,0)</f>
        <v>-5.5948454872697395E-3</v>
      </c>
    </row>
    <row r="614" spans="1:8" ht="15">
      <c r="A614" s="25">
        <f>'Price Data'!A614</f>
        <v>45832</v>
      </c>
      <c r="B614" s="27">
        <f>IFERROR('Price Data'!B614/'Price Data'!B613-1,0)</f>
        <v>-4.1186024997114101E-3</v>
      </c>
      <c r="C614" s="27">
        <f>IFERROR('Price Data'!C614/'Price Data'!C613-1,0)</f>
        <v>6.4154906439954917E-3</v>
      </c>
      <c r="D614" s="27">
        <f>IFERROR('Price Data'!D614/'Price Data'!D613-1,0)</f>
        <v>-9.4302807871338157E-4</v>
      </c>
      <c r="E614" s="27">
        <f>IFERROR('Price Data'!E614/'Price Data'!E613-1,0)</f>
        <v>2.8166947351533356E-3</v>
      </c>
      <c r="F614" s="27">
        <f>IFERROR('Price Data'!F614/'Price Data'!F613-1,0)</f>
        <v>-1.5152157074030947E-3</v>
      </c>
      <c r="G614" s="27">
        <f>B614*Portfolio!$D$5+C614*Portfolio!$D$6+D614*Portfolio!$D$7+E614*Portfolio!$D$8+F614*Portfolio!$D$9</f>
        <v>5.8083827449088019E-4</v>
      </c>
      <c r="H614" s="27">
        <f>IFERROR('Price Data'!G614/'Price Data'!G613-1,0)</f>
        <v>2.9012296868362597E-3</v>
      </c>
    </row>
    <row r="615" spans="1:8" ht="15">
      <c r="A615" s="25">
        <f>'Price Data'!A615</f>
        <v>45833</v>
      </c>
      <c r="B615" s="27">
        <f>IFERROR('Price Data'!B615/'Price Data'!B614-1,0)</f>
        <v>1.137306138106009E-2</v>
      </c>
      <c r="C615" s="27">
        <f>IFERROR('Price Data'!C615/'Price Data'!C614-1,0)</f>
        <v>9.8424277719126874E-3</v>
      </c>
      <c r="D615" s="27">
        <f>IFERROR('Price Data'!D615/'Price Data'!D614-1,0)</f>
        <v>1.6045337412968097E-2</v>
      </c>
      <c r="E615" s="27">
        <f>IFERROR('Price Data'!E615/'Price Data'!E614-1,0)</f>
        <v>1.1937566355204599E-3</v>
      </c>
      <c r="F615" s="27">
        <f>IFERROR('Price Data'!F615/'Price Data'!F614-1,0)</f>
        <v>2.1054670972230349E-2</v>
      </c>
      <c r="G615" s="27">
        <f>B615*Portfolio!$D$5+C615*Portfolio!$D$6+D615*Portfolio!$D$7+E615*Portfolio!$D$8+F615*Portfolio!$D$9</f>
        <v>1.1850203911999434E-2</v>
      </c>
      <c r="H615" s="27">
        <f>IFERROR('Price Data'!G615/'Price Data'!G614-1,0)</f>
        <v>8.0018205204253068E-3</v>
      </c>
    </row>
    <row r="616" spans="1:8" ht="15">
      <c r="A616" s="25">
        <f>'Price Data'!A616</f>
        <v>45834</v>
      </c>
      <c r="B616" s="27">
        <f>IFERROR('Price Data'!B616/'Price Data'!B615-1,0)</f>
        <v>1.9082660818315889E-2</v>
      </c>
      <c r="C616" s="27">
        <f>IFERROR('Price Data'!C616/'Price Data'!C615-1,0)</f>
        <v>2.1007950504282613E-2</v>
      </c>
      <c r="D616" s="27">
        <f>IFERROR('Price Data'!D616/'Price Data'!D615-1,0)</f>
        <v>-8.7089342041235529E-4</v>
      </c>
      <c r="E616" s="27">
        <f>IFERROR('Price Data'!E616/'Price Data'!E615-1,0)</f>
        <v>9.3280667057842326E-3</v>
      </c>
      <c r="F616" s="27">
        <f>IFERROR('Price Data'!F616/'Price Data'!F615-1,0)</f>
        <v>6.8113006275383192E-4</v>
      </c>
      <c r="G616" s="27">
        <f>B616*Portfolio!$D$5+C616*Portfolio!$D$6+D616*Portfolio!$D$7+E616*Portfolio!$D$8+F616*Portfolio!$D$9</f>
        <v>1.1349853661847863E-2</v>
      </c>
      <c r="H616" s="27">
        <f>IFERROR('Price Data'!G616/'Price Data'!G615-1,0)</f>
        <v>1.2052010814129765E-2</v>
      </c>
    </row>
    <row r="617" spans="1:8" ht="15">
      <c r="A617" s="25">
        <f>'Price Data'!A617</f>
        <v>45835</v>
      </c>
      <c r="B617" s="27">
        <f>IFERROR('Price Data'!B617/'Price Data'!B616-1,0)</f>
        <v>1.34420860335005E-2</v>
      </c>
      <c r="C617" s="27">
        <f>IFERROR('Price Data'!C617/'Price Data'!C616-1,0)</f>
        <v>7.5507237271403849E-3</v>
      </c>
      <c r="D617" s="27">
        <f>IFERROR('Price Data'!D617/'Price Data'!D616-1,0)</f>
        <v>-2.0326025916894697E-4</v>
      </c>
      <c r="E617" s="27">
        <f>IFERROR('Price Data'!E617/'Price Data'!E616-1,0)</f>
        <v>1.6051679662544283E-2</v>
      </c>
      <c r="F617" s="27">
        <f>IFERROR('Price Data'!F617/'Price Data'!F616-1,0)</f>
        <v>-4.950443847486885E-3</v>
      </c>
      <c r="G617" s="27">
        <f>B617*Portfolio!$D$5+C617*Portfolio!$D$6+D617*Portfolio!$D$7+E617*Portfolio!$D$8+F617*Portfolio!$D$9</f>
        <v>6.8727357605850416E-3</v>
      </c>
      <c r="H617" s="27">
        <f>IFERROR('Price Data'!G617/'Price Data'!G616-1,0)</f>
        <v>3.4757047731810431E-3</v>
      </c>
    </row>
    <row r="618" spans="1:8" ht="15">
      <c r="A618" s="25">
        <f>'Price Data'!A618</f>
        <v>45838</v>
      </c>
      <c r="B618" s="27">
        <f>IFERROR('Price Data'!B618/'Price Data'!B617-1,0)</f>
        <v>-9.766436377643628E-3</v>
      </c>
      <c r="C618" s="27">
        <f>IFERROR('Price Data'!C618/'Price Data'!C617-1,0)</f>
        <v>-6.6504111761580553E-3</v>
      </c>
      <c r="D618" s="27">
        <f>IFERROR('Price Data'!D618/'Price Data'!D617-1,0)</f>
        <v>6.0735333785508772E-3</v>
      </c>
      <c r="E618" s="27">
        <f>IFERROR('Price Data'!E618/'Price Data'!E617-1,0)</f>
        <v>-1.1215884341929216E-2</v>
      </c>
      <c r="F618" s="27">
        <f>IFERROR('Price Data'!F618/'Price Data'!F617-1,0)</f>
        <v>-3.8557206878608863E-3</v>
      </c>
      <c r="G618" s="27">
        <f>B618*Portfolio!$D$5+C618*Portfolio!$D$6+D618*Portfolio!$D$7+E618*Portfolio!$D$8+F618*Portfolio!$D$9</f>
        <v>-5.1502459672087605E-3</v>
      </c>
      <c r="H618" s="27">
        <f>IFERROR('Price Data'!G618/'Price Data'!G617-1,0)</f>
        <v>-4.7098423546652057E-3</v>
      </c>
    </row>
    <row r="619" spans="1:8" ht="15">
      <c r="A619" s="25">
        <f>'Price Data'!A619</f>
        <v>45839</v>
      </c>
      <c r="B619" s="27">
        <f>IFERROR('Price Data'!B619/'Price Data'!B618-1,0)</f>
        <v>1.8525947099128137E-2</v>
      </c>
      <c r="C619" s="27">
        <f>IFERROR('Price Data'!C619/'Price Data'!C618-1,0)</f>
        <v>5.296008397041696E-3</v>
      </c>
      <c r="D619" s="27">
        <f>IFERROR('Price Data'!D619/'Price Data'!D618-1,0)</f>
        <v>-9.3297921104983361E-3</v>
      </c>
      <c r="E619" s="27">
        <f>IFERROR('Price Data'!E619/'Price Data'!E618-1,0)</f>
        <v>-9.5449747964508891E-3</v>
      </c>
      <c r="F619" s="27">
        <f>IFERROR('Price Data'!F619/'Price Data'!F618-1,0)</f>
        <v>3.1215744516730481E-3</v>
      </c>
      <c r="G619" s="27">
        <f>B619*Portfolio!$D$5+C619*Portfolio!$D$6+D619*Portfolio!$D$7+E619*Portfolio!$D$8+F619*Portfolio!$D$9</f>
        <v>3.126020400226115E-3</v>
      </c>
      <c r="H619" s="27">
        <f>IFERROR('Price Data'!G619/'Price Data'!G618-1,0)</f>
        <v>9.6993967728375985E-4</v>
      </c>
    </row>
    <row r="620" spans="1:8" ht="15">
      <c r="A620" s="25">
        <f>'Price Data'!A620</f>
        <v>45840</v>
      </c>
      <c r="B620" s="27">
        <f>IFERROR('Price Data'!B620/'Price Data'!B619-1,0)</f>
        <v>-6.2810897630320994E-3</v>
      </c>
      <c r="C620" s="27">
        <f>IFERROR('Price Data'!C620/'Price Data'!C619-1,0)</f>
        <v>-1.2971503743565704E-2</v>
      </c>
      <c r="D620" s="27">
        <f>IFERROR('Price Data'!D620/'Price Data'!D619-1,0)</f>
        <v>-1.8661300466913389E-3</v>
      </c>
      <c r="E620" s="27">
        <f>IFERROR('Price Data'!E620/'Price Data'!E619-1,0)</f>
        <v>-2.9328793105818374E-3</v>
      </c>
      <c r="F620" s="27">
        <f>IFERROR('Price Data'!F620/'Price Data'!F619-1,0)</f>
        <v>2.3026302309974156E-3</v>
      </c>
      <c r="G620" s="27">
        <f>B620*Portfolio!$D$5+C620*Portfolio!$D$6+D620*Portfolio!$D$7+E620*Portfolio!$D$8+F620*Portfolio!$D$9</f>
        <v>-5.2809117479253823E-3</v>
      </c>
      <c r="H620" s="27">
        <f>IFERROR('Price Data'!G620/'Price Data'!G619-1,0)</f>
        <v>-3.4610085397696055E-3</v>
      </c>
    </row>
    <row r="621" spans="1:8" ht="15">
      <c r="A621" s="25">
        <f>'Price Data'!A621</f>
        <v>45841</v>
      </c>
      <c r="B621" s="27">
        <f>IFERROR('Price Data'!B621/'Price Data'!B620-1,0)</f>
        <v>-6.58344818495471E-4</v>
      </c>
      <c r="C621" s="27">
        <f>IFERROR('Price Data'!C621/'Price Data'!C620-1,0)</f>
        <v>5.5384081905796023E-4</v>
      </c>
      <c r="D621" s="27">
        <f>IFERROR('Price Data'!D621/'Price Data'!D620-1,0)</f>
        <v>-6.5726117531530459E-3</v>
      </c>
      <c r="E621" s="27">
        <f>IFERROR('Price Data'!E621/'Price Data'!E620-1,0)</f>
        <v>-1.3307512084540507E-3</v>
      </c>
      <c r="F621" s="27">
        <f>IFERROR('Price Data'!F621/'Price Data'!F620-1,0)</f>
        <v>5.091572833707092E-3</v>
      </c>
      <c r="G621" s="27">
        <f>B621*Portfolio!$D$5+C621*Portfolio!$D$6+D621*Portfolio!$D$7+E621*Portfolio!$D$8+F621*Portfolio!$D$9</f>
        <v>-7.765251067020307E-4</v>
      </c>
      <c r="H621" s="27">
        <f>IFERROR('Price Data'!G621/'Price Data'!G620-1,0)</f>
        <v>-1.8897125192245401E-3</v>
      </c>
    </row>
    <row r="622" spans="1:8" ht="15">
      <c r="A622" s="25">
        <f>'Price Data'!A622</f>
        <v>45842</v>
      </c>
      <c r="B622" s="27">
        <f>IFERROR('Price Data'!B622/'Price Data'!B621-1,0)</f>
        <v>6.2590854814006391E-3</v>
      </c>
      <c r="C622" s="27">
        <f>IFERROR('Price Data'!C622/'Price Data'!C621-1,0)</f>
        <v>1.1071937040580959E-3</v>
      </c>
      <c r="D622" s="27">
        <f>IFERROR('Price Data'!D622/'Price Data'!D621-1,0)</f>
        <v>5.5869460741588828E-3</v>
      </c>
      <c r="E622" s="27">
        <f>IFERROR('Price Data'!E622/'Price Data'!E621-1,0)</f>
        <v>1.1852186578961366E-2</v>
      </c>
      <c r="F622" s="27">
        <f>IFERROR('Price Data'!F622/'Price Data'!F621-1,0)</f>
        <v>1.3591090485032042E-2</v>
      </c>
      <c r="G622" s="27">
        <f>B622*Portfolio!$D$5+C622*Portfolio!$D$6+D622*Portfolio!$D$7+E622*Portfolio!$D$8+F622*Portfolio!$D$9</f>
        <v>6.7754505707954705E-3</v>
      </c>
      <c r="H622" s="27">
        <f>IFERROR('Price Data'!G622/'Price Data'!G621-1,0)</f>
        <v>2.1924250859925998E-3</v>
      </c>
    </row>
    <row r="623" spans="1:8" ht="15">
      <c r="A623" s="25">
        <f>'Price Data'!A623</f>
        <v>45845</v>
      </c>
      <c r="B623" s="27">
        <f>IFERROR('Price Data'!B623/'Price Data'!B622-1,0)</f>
        <v>9.2973382762635559E-3</v>
      </c>
      <c r="C623" s="27">
        <f>IFERROR('Price Data'!C623/'Price Data'!C622-1,0)</f>
        <v>-9.5513814796999164E-4</v>
      </c>
      <c r="D623" s="27">
        <f>IFERROR('Price Data'!D623/'Price Data'!D622-1,0)</f>
        <v>-2.3685202650908233E-3</v>
      </c>
      <c r="E623" s="27">
        <f>IFERROR('Price Data'!E623/'Price Data'!E622-1,0)</f>
        <v>-4.9210852118741766E-3</v>
      </c>
      <c r="F623" s="27">
        <f>IFERROR('Price Data'!F623/'Price Data'!F622-1,0)</f>
        <v>-8.3499503996199431E-3</v>
      </c>
      <c r="G623" s="27">
        <f>B623*Portfolio!$D$5+C623*Portfolio!$D$6+D623*Portfolio!$D$7+E623*Portfolio!$D$8+F623*Portfolio!$D$9</f>
        <v>-3.7880936266889158E-4</v>
      </c>
      <c r="H623" s="27">
        <f>IFERROR('Price Data'!G623/'Price Data'!G622-1,0)</f>
        <v>1.1813410706551508E-5</v>
      </c>
    </row>
    <row r="624" spans="1:8" ht="15">
      <c r="A624" s="25">
        <f>'Price Data'!A624</f>
        <v>45846</v>
      </c>
      <c r="B624" s="27">
        <f>IFERROR('Price Data'!B624/'Price Data'!B623-1,0)</f>
        <v>-2.5300628673816661E-3</v>
      </c>
      <c r="C624" s="27">
        <f>IFERROR('Price Data'!C624/'Price Data'!C623-1,0)</f>
        <v>7.0443843408884987E-3</v>
      </c>
      <c r="D624" s="27">
        <f>IFERROR('Price Data'!D624/'Price Data'!D623-1,0)</f>
        <v>-1.6121654678560304E-3</v>
      </c>
      <c r="E624" s="27">
        <f>IFERROR('Price Data'!E624/'Price Data'!E623-1,0)</f>
        <v>4.388152784315702E-3</v>
      </c>
      <c r="F624" s="27">
        <f>IFERROR('Price Data'!F624/'Price Data'!F623-1,0)</f>
        <v>7.1910157130696817E-3</v>
      </c>
      <c r="G624" s="27">
        <f>B624*Portfolio!$D$5+C624*Portfolio!$D$6+D624*Portfolio!$D$7+E624*Portfolio!$D$8+F624*Portfolio!$D$9</f>
        <v>2.5430225494133098E-3</v>
      </c>
      <c r="H624" s="27">
        <f>IFERROR('Price Data'!G624/'Price Data'!G623-1,0)</f>
        <v>2.4036171315751087E-3</v>
      </c>
    </row>
    <row r="625" spans="1:8" ht="15">
      <c r="A625" s="25">
        <f>'Price Data'!A625</f>
        <v>45847</v>
      </c>
      <c r="B625" s="27">
        <f>IFERROR('Price Data'!B625/'Price Data'!B624-1,0)</f>
        <v>-1.2096727375049521E-2</v>
      </c>
      <c r="C625" s="27">
        <f>IFERROR('Price Data'!C625/'Price Data'!C624-1,0)</f>
        <v>4.8964886598470425E-3</v>
      </c>
      <c r="D625" s="27">
        <f>IFERROR('Price Data'!D625/'Price Data'!D624-1,0)</f>
        <v>-6.5761822057490704E-3</v>
      </c>
      <c r="E625" s="27">
        <f>IFERROR('Price Data'!E625/'Price Data'!E624-1,0)</f>
        <v>-7.0041040185155889E-3</v>
      </c>
      <c r="F625" s="27">
        <f>IFERROR('Price Data'!F625/'Price Data'!F624-1,0)</f>
        <v>-3.0511289532565433E-3</v>
      </c>
      <c r="G625" s="27">
        <f>B625*Portfolio!$D$5+C625*Portfolio!$D$6+D625*Portfolio!$D$7+E625*Portfolio!$D$8+F625*Portfolio!$D$9</f>
        <v>-4.6235810657162535E-3</v>
      </c>
      <c r="H625" s="27">
        <f>IFERROR('Price Data'!G625/'Price Data'!G624-1,0)</f>
        <v>-1.8180190273288099E-3</v>
      </c>
    </row>
    <row r="626" spans="1:8" ht="15">
      <c r="A626" s="25">
        <f>'Price Data'!A626</f>
        <v>45848</v>
      </c>
      <c r="B626" s="27">
        <f>IFERROR('Price Data'!B626/'Price Data'!B625-1,0)</f>
        <v>-1.185043006442732E-3</v>
      </c>
      <c r="C626" s="27">
        <f>IFERROR('Price Data'!C626/'Price Data'!C625-1,0)</f>
        <v>-2.4860444906277257E-3</v>
      </c>
      <c r="D626" s="27">
        <f>IFERROR('Price Data'!D626/'Price Data'!D625-1,0)</f>
        <v>-5.3204580498189546E-4</v>
      </c>
      <c r="E626" s="27">
        <f>IFERROR('Price Data'!E626/'Price Data'!E625-1,0)</f>
        <v>-5.4473644511812136E-3</v>
      </c>
      <c r="F626" s="27">
        <f>IFERROR('Price Data'!F626/'Price Data'!F625-1,0)</f>
        <v>-1.0956668123773494E-2</v>
      </c>
      <c r="G626" s="27">
        <f>B626*Portfolio!$D$5+C626*Portfolio!$D$6+D626*Portfolio!$D$7+E626*Portfolio!$D$8+F626*Portfolio!$D$9</f>
        <v>-3.4847859215071993E-3</v>
      </c>
      <c r="H626" s="27">
        <f>IFERROR('Price Data'!G626/'Price Data'!G625-1,0)</f>
        <v>-4.7436464461980687E-3</v>
      </c>
    </row>
    <row r="627" spans="1:8" ht="15">
      <c r="A627" s="25">
        <f>'Price Data'!A627</f>
        <v>45849</v>
      </c>
      <c r="B627" s="27">
        <f>IFERROR('Price Data'!B627/'Price Data'!B626-1,0)</f>
        <v>-1.450032197239437E-2</v>
      </c>
      <c r="C627" s="27">
        <f>IFERROR('Price Data'!C627/'Price Data'!C626-1,0)</f>
        <v>-1.1215174409386575E-2</v>
      </c>
      <c r="D627" s="27">
        <f>IFERROR('Price Data'!D627/'Price Data'!D626-1,0)</f>
        <v>-3.4299246043527298E-2</v>
      </c>
      <c r="E627" s="27">
        <f>IFERROR('Price Data'!E627/'Price Data'!E626-1,0)</f>
        <v>-1.5448005549673072E-3</v>
      </c>
      <c r="F627" s="27">
        <f>IFERROR('Price Data'!F627/'Price Data'!F626-1,0)</f>
        <v>-1.2934888519740784E-2</v>
      </c>
      <c r="G627" s="27">
        <f>B627*Portfolio!$D$5+C627*Portfolio!$D$6+D627*Portfolio!$D$7+E627*Portfolio!$D$8+F627*Portfolio!$D$9</f>
        <v>-1.546067666535691E-2</v>
      </c>
      <c r="H627" s="27">
        <f>IFERROR('Price Data'!G627/'Price Data'!G626-1,0)</f>
        <v>-8.1009018102760066E-3</v>
      </c>
    </row>
    <row r="628" spans="1:8" ht="15">
      <c r="A628" s="25">
        <f>'Price Data'!A628</f>
        <v>45852</v>
      </c>
      <c r="B628" s="27">
        <f>IFERROR('Price Data'!B628/'Price Data'!B627-1,0)</f>
        <v>-7.6913290356688258E-3</v>
      </c>
      <c r="C628" s="27">
        <f>IFERROR('Price Data'!C628/'Price Data'!C627-1,0)</f>
        <v>-3.5286990087468606E-4</v>
      </c>
      <c r="D628" s="27">
        <f>IFERROR('Price Data'!D628/'Price Data'!D627-1,0)</f>
        <v>-1.3257789267796194E-2</v>
      </c>
      <c r="E628" s="27">
        <f>IFERROR('Price Data'!E628/'Price Data'!E627-1,0)</f>
        <v>7.7359532797571795E-4</v>
      </c>
      <c r="F628" s="27">
        <f>IFERROR('Price Data'!F628/'Price Data'!F627-1,0)</f>
        <v>-1.5424124114500226E-2</v>
      </c>
      <c r="G628" s="27">
        <f>B628*Portfolio!$D$5+C628*Portfolio!$D$6+D628*Portfolio!$D$7+E628*Portfolio!$D$8+F628*Portfolio!$D$9</f>
        <v>-6.8601869056737937E-3</v>
      </c>
      <c r="H628" s="27">
        <f>IFERROR('Price Data'!G628/'Price Data'!G627-1,0)</f>
        <v>-2.685854157148504E-3</v>
      </c>
    </row>
    <row r="629" spans="1:8" ht="15">
      <c r="A629" s="25">
        <f>'Price Data'!A629</f>
        <v>45853</v>
      </c>
      <c r="B629" s="27">
        <f>IFERROR('Price Data'!B629/'Price Data'!B628-1,0)</f>
        <v>1.1458537942672375E-3</v>
      </c>
      <c r="C629" s="27">
        <f>IFERROR('Price Data'!C629/'Price Data'!C628-1,0)</f>
        <v>6.3035890384146587E-3</v>
      </c>
      <c r="D629" s="27">
        <f>IFERROR('Price Data'!D629/'Price Data'!D628-1,0)</f>
        <v>9.1848836964849578E-3</v>
      </c>
      <c r="E629" s="27">
        <f>IFERROR('Price Data'!E629/'Price Data'!E628-1,0)</f>
        <v>5.4814346215152909E-3</v>
      </c>
      <c r="F629" s="27">
        <f>IFERROR('Price Data'!F629/'Price Data'!F628-1,0)</f>
        <v>9.7433607817329904E-3</v>
      </c>
      <c r="G629" s="27">
        <f>B629*Portfolio!$D$5+C629*Portfolio!$D$6+D629*Portfolio!$D$7+E629*Portfolio!$D$8+F629*Portfolio!$D$9</f>
        <v>5.9830567579547082E-3</v>
      </c>
      <c r="H629" s="27">
        <f>IFERROR('Price Data'!G629/'Price Data'!G628-1,0)</f>
        <v>4.5251032187942908E-3</v>
      </c>
    </row>
    <row r="630" spans="1:8" ht="15">
      <c r="A630" s="25">
        <f>'Price Data'!A630</f>
        <v>45854</v>
      </c>
      <c r="B630" s="27">
        <f>IFERROR('Price Data'!B630/'Price Data'!B629-1,0)</f>
        <v>1.3461303022643811E-4</v>
      </c>
      <c r="C630" s="27">
        <f>IFERROR('Price Data'!C630/'Price Data'!C629-1,0)</f>
        <v>4.008417302299172E-4</v>
      </c>
      <c r="D630" s="27">
        <f>IFERROR('Price Data'!D630/'Price Data'!D629-1,0)</f>
        <v>-2.529826399684465E-3</v>
      </c>
      <c r="E630" s="27">
        <f>IFERROR('Price Data'!E630/'Price Data'!E629-1,0)</f>
        <v>-3.0752191960944364E-3</v>
      </c>
      <c r="F630" s="27">
        <f>IFERROR('Price Data'!F630/'Price Data'!F629-1,0)</f>
        <v>1.4064150291884792E-2</v>
      </c>
      <c r="G630" s="27">
        <f>B630*Portfolio!$D$5+C630*Portfolio!$D$6+D630*Portfolio!$D$7+E630*Portfolio!$D$8+F630*Portfolio!$D$9</f>
        <v>1.2762380745457492E-3</v>
      </c>
      <c r="H630" s="27">
        <f>IFERROR('Price Data'!G630/'Price Data'!G629-1,0)</f>
        <v>6.4494874130338609E-4</v>
      </c>
    </row>
    <row r="631" spans="1:8" ht="15">
      <c r="A631" s="25">
        <f>'Price Data'!A631</f>
        <v>45855</v>
      </c>
      <c r="B631" s="27">
        <f>IFERROR('Price Data'!B631/'Price Data'!B630-1,0)</f>
        <v>-6.1926920101260663E-3</v>
      </c>
      <c r="C631" s="27">
        <f>IFERROR('Price Data'!C631/'Price Data'!C630-1,0)</f>
        <v>-4.7087197808231007E-3</v>
      </c>
      <c r="D631" s="27">
        <f>IFERROR('Price Data'!D631/'Price Data'!D630-1,0)</f>
        <v>-7.3922967055830568E-3</v>
      </c>
      <c r="E631" s="27">
        <f>IFERROR('Price Data'!E631/'Price Data'!E630-1,0)</f>
        <v>-5.3982559069619684E-3</v>
      </c>
      <c r="F631" s="27">
        <f>IFERROR('Price Data'!F631/'Price Data'!F630-1,0)</f>
        <v>-1.5175071935531359E-2</v>
      </c>
      <c r="G631" s="27">
        <f>B631*Portfolio!$D$5+C631*Portfolio!$D$6+D631*Portfolio!$D$7+E631*Portfolio!$D$8+F631*Portfolio!$D$9</f>
        <v>-7.2898114652279015E-3</v>
      </c>
      <c r="H631" s="27">
        <f>IFERROR('Price Data'!G631/'Price Data'!G630-1,0)</f>
        <v>-3.9902173517283313E-3</v>
      </c>
    </row>
    <row r="632" spans="1:8" ht="15">
      <c r="A632" s="25">
        <f>'Price Data'!A632</f>
        <v>45856</v>
      </c>
      <c r="B632" s="27">
        <f>IFERROR('Price Data'!B632/'Price Data'!B631-1,0)</f>
        <v>-2.7095061635218354E-4</v>
      </c>
      <c r="C632" s="27">
        <f>IFERROR('Price Data'!C632/'Price Data'!C631-1,0)</f>
        <v>-1.4847255622456923E-2</v>
      </c>
      <c r="D632" s="27">
        <f>IFERROR('Price Data'!D632/'Price Data'!D631-1,0)</f>
        <v>-6.0140335592513416E-3</v>
      </c>
      <c r="E632" s="27">
        <f>IFERROR('Price Data'!E632/'Price Data'!E631-1,0)</f>
        <v>5.0045950746038237E-3</v>
      </c>
      <c r="F632" s="27">
        <f>IFERROR('Price Data'!F632/'Price Data'!F631-1,0)</f>
        <v>1.6417953174130417E-3</v>
      </c>
      <c r="G632" s="27">
        <f>B632*Portfolio!$D$5+C632*Portfolio!$D$6+D632*Portfolio!$D$7+E632*Portfolio!$D$8+F632*Portfolio!$D$9</f>
        <v>-3.9853997127500158E-3</v>
      </c>
      <c r="H632" s="27">
        <f>IFERROR('Price Data'!G632/'Price Data'!G631-1,0)</f>
        <v>-5.6965580472427835E-3</v>
      </c>
    </row>
    <row r="633" spans="1:8" ht="15">
      <c r="A633" s="25">
        <f>'Price Data'!A633</f>
        <v>45859</v>
      </c>
      <c r="B633" s="27">
        <f>IFERROR('Price Data'!B633/'Price Data'!B632-1,0)</f>
        <v>-3.211388916092317E-2</v>
      </c>
      <c r="C633" s="27">
        <f>IFERROR('Price Data'!C633/'Price Data'!C632-1,0)</f>
        <v>2.2019047004099512E-2</v>
      </c>
      <c r="D633" s="27">
        <f>IFERROR('Price Data'!D633/'Price Data'!D632-1,0)</f>
        <v>-9.937582018090807E-3</v>
      </c>
      <c r="E633" s="27">
        <f>IFERROR('Price Data'!E633/'Price Data'!E632-1,0)</f>
        <v>2.8054428720081903E-2</v>
      </c>
      <c r="F633" s="27">
        <f>IFERROR('Price Data'!F633/'Price Data'!F632-1,0)</f>
        <v>-1.1347276310409438E-3</v>
      </c>
      <c r="G633" s="27">
        <f>B633*Portfolio!$D$5+C633*Portfolio!$D$6+D633*Portfolio!$D$7+E633*Portfolio!$D$8+F633*Portfolio!$D$9</f>
        <v>-4.7327177946793214E-4</v>
      </c>
      <c r="H633" s="27">
        <f>IFERROR('Price Data'!G633/'Price Data'!G632-1,0)</f>
        <v>4.8981443028652816E-3</v>
      </c>
    </row>
    <row r="634" spans="1:8" ht="15">
      <c r="A634" s="25">
        <f>'Price Data'!A634</f>
        <v>45860</v>
      </c>
      <c r="B634" s="27">
        <f>IFERROR('Price Data'!B634/'Price Data'!B633-1,0)</f>
        <v>-1.1059745551301958E-2</v>
      </c>
      <c r="C634" s="27">
        <f>IFERROR('Price Data'!C634/'Price Data'!C633-1,0)</f>
        <v>3.2991454681567944E-3</v>
      </c>
      <c r="D634" s="27">
        <f>IFERROR('Price Data'!D634/'Price Data'!D633-1,0)</f>
        <v>4.4336853750515104E-4</v>
      </c>
      <c r="E634" s="27">
        <f>IFERROR('Price Data'!E634/'Price Data'!E633-1,0)</f>
        <v>5.3212978636090202E-3</v>
      </c>
      <c r="F634" s="27">
        <f>IFERROR('Price Data'!F634/'Price Data'!F633-1,0)</f>
        <v>-8.458025565570737E-3</v>
      </c>
      <c r="G634" s="27">
        <f>B634*Portfolio!$D$5+C634*Portfolio!$D$6+D634*Portfolio!$D$7+E634*Portfolio!$D$8+F634*Portfolio!$D$9</f>
        <v>-2.3219854685795184E-3</v>
      </c>
      <c r="H634" s="27">
        <f>IFERROR('Price Data'!G634/'Price Data'!G633-1,0)</f>
        <v>-1.1876443882732346E-3</v>
      </c>
    </row>
    <row r="635" spans="1:8" ht="15">
      <c r="A635" s="25">
        <f>'Price Data'!A635</f>
        <v>45861</v>
      </c>
      <c r="B635" s="27">
        <f>IFERROR('Price Data'!B635/'Price Data'!B634-1,0)</f>
        <v>8.3522127725288442E-3</v>
      </c>
      <c r="C635" s="27">
        <f>IFERROR('Price Data'!C635/'Price Data'!C634-1,0)</f>
        <v>8.5696531381340701E-3</v>
      </c>
      <c r="D635" s="27">
        <f>IFERROR('Price Data'!D635/'Price Data'!D634-1,0)</f>
        <v>6.1715929838108696E-3</v>
      </c>
      <c r="E635" s="27">
        <f>IFERROR('Price Data'!E635/'Price Data'!E634-1,0)</f>
        <v>1.0179144053349409E-2</v>
      </c>
      <c r="F635" s="27">
        <f>IFERROR('Price Data'!F635/'Price Data'!F634-1,0)</f>
        <v>2.2916560537893371E-3</v>
      </c>
      <c r="G635" s="27">
        <f>B635*Portfolio!$D$5+C635*Portfolio!$D$6+D635*Portfolio!$D$7+E635*Portfolio!$D$8+F635*Portfolio!$D$9</f>
        <v>7.335405090498715E-3</v>
      </c>
      <c r="H635" s="27">
        <f>IFERROR('Price Data'!G635/'Price Data'!G634-1,0)</f>
        <v>6.3445445902445829E-3</v>
      </c>
    </row>
    <row r="636" spans="1:8" ht="15">
      <c r="A636" s="25">
        <f>'Price Data'!A636</f>
        <v>45862</v>
      </c>
      <c r="B636" s="27">
        <f>IFERROR('Price Data'!B636/'Price Data'!B635-1,0)</f>
        <v>-1.5232314313711859E-2</v>
      </c>
      <c r="C636" s="27">
        <f>IFERROR('Price Data'!C636/'Price Data'!C635-1,0)</f>
        <v>-4.9894427859467072E-3</v>
      </c>
      <c r="D636" s="27">
        <f>IFERROR('Price Data'!D636/'Price Data'!D635-1,0)</f>
        <v>-9.7825755797391611E-3</v>
      </c>
      <c r="E636" s="27">
        <f>IFERROR('Price Data'!E636/'Price Data'!E635-1,0)</f>
        <v>-3.4931966046115592E-3</v>
      </c>
      <c r="F636" s="27">
        <f>IFERROR('Price Data'!F636/'Price Data'!F635-1,0)</f>
        <v>-1.3972705346624426E-2</v>
      </c>
      <c r="G636" s="27">
        <f>B636*Portfolio!$D$5+C636*Portfolio!$D$6+D636*Portfolio!$D$7+E636*Portfolio!$D$8+F636*Portfolio!$D$9</f>
        <v>-9.6318396835478708E-3</v>
      </c>
      <c r="H636" s="27">
        <f>IFERROR('Price Data'!G636/'Price Data'!G635-1,0)</f>
        <v>-6.2569946274910748E-3</v>
      </c>
    </row>
    <row r="637" spans="1:8" ht="15">
      <c r="A637" s="25">
        <f>'Price Data'!A637</f>
        <v>45863</v>
      </c>
      <c r="B637" s="27">
        <f>IFERROR('Price Data'!B637/'Price Data'!B636-1,0)</f>
        <v>-7.983564911071106E-3</v>
      </c>
      <c r="C637" s="27">
        <f>IFERROR('Price Data'!C637/'Price Data'!C636-1,0)</f>
        <v>-2.2894633978292056E-3</v>
      </c>
      <c r="D637" s="27">
        <f>IFERROR('Price Data'!D637/'Price Data'!D636-1,0)</f>
        <v>-3.8755159502027459E-3</v>
      </c>
      <c r="E637" s="27">
        <f>IFERROR('Price Data'!E637/'Price Data'!E636-1,0)</f>
        <v>-4.2470477358546033E-3</v>
      </c>
      <c r="F637" s="27">
        <f>IFERROR('Price Data'!F637/'Price Data'!F636-1,0)</f>
        <v>-2.3703702374586855E-2</v>
      </c>
      <c r="G637" s="27">
        <f>B637*Portfolio!$D$5+C637*Portfolio!$D$6+D637*Portfolio!$D$7+E637*Portfolio!$D$8+F637*Portfolio!$D$9</f>
        <v>-7.5359727838318459E-3</v>
      </c>
      <c r="H637" s="27">
        <f>IFERROR('Price Data'!G637/'Price Data'!G636-1,0)</f>
        <v>-8.9816740370306514E-3</v>
      </c>
    </row>
    <row r="638" spans="1:8" ht="15">
      <c r="A638" s="25">
        <f>'Price Data'!A638</f>
        <v>45866</v>
      </c>
      <c r="B638" s="27">
        <f>IFERROR('Price Data'!B638/'Price Data'!B637-1,0)</f>
        <v>-2.9460704551422801E-3</v>
      </c>
      <c r="C638" s="27">
        <f>IFERROR('Price Data'!C638/'Price Data'!C637-1,0)</f>
        <v>1.945526375720652E-3</v>
      </c>
      <c r="D638" s="27">
        <f>IFERROR('Price Data'!D638/'Price Data'!D637-1,0)</f>
        <v>-1.8017797876854869E-2</v>
      </c>
      <c r="E638" s="27">
        <f>IFERROR('Price Data'!E638/'Price Data'!E637-1,0)</f>
        <v>7.6502258957755753E-3</v>
      </c>
      <c r="F638" s="27">
        <f>IFERROR('Price Data'!F638/'Price Data'!F637-1,0)</f>
        <v>1.979054105702982E-4</v>
      </c>
      <c r="G638" s="27">
        <f>B638*Portfolio!$D$5+C638*Portfolio!$D$6+D638*Portfolio!$D$7+E638*Portfolio!$D$8+F638*Portfolio!$D$9</f>
        <v>-2.6764758992745001E-3</v>
      </c>
      <c r="H638" s="27">
        <f>IFERROR('Price Data'!G638/'Price Data'!G637-1,0)</f>
        <v>-6.2849623293875778E-3</v>
      </c>
    </row>
    <row r="639" spans="1:8" ht="15">
      <c r="A639" s="25">
        <f>'Price Data'!A639</f>
        <v>45867</v>
      </c>
      <c r="B639" s="27">
        <f>IFERROR('Price Data'!B639/'Price Data'!B638-1,0)</f>
        <v>2.1259742329385212E-2</v>
      </c>
      <c r="C639" s="27">
        <f>IFERROR('Price Data'!C639/'Price Data'!C638-1,0)</f>
        <v>6.5222712620829348E-3</v>
      </c>
      <c r="D639" s="27">
        <f>IFERROR('Price Data'!D639/'Price Data'!D638-1,0)</f>
        <v>-7.5665501880797237E-3</v>
      </c>
      <c r="E639" s="27">
        <f>IFERROR('Price Data'!E639/'Price Data'!E638-1,0)</f>
        <v>-1.4781465719727604E-3</v>
      </c>
      <c r="F639" s="27">
        <f>IFERROR('Price Data'!F639/'Price Data'!F638-1,0)</f>
        <v>-1.517197325189068E-3</v>
      </c>
      <c r="G639" s="27">
        <f>B639*Portfolio!$D$5+C639*Portfolio!$D$6+D639*Portfolio!$D$7+E639*Portfolio!$D$8+F639*Portfolio!$D$9</f>
        <v>4.9828917756768176E-3</v>
      </c>
      <c r="H639" s="27">
        <f>IFERROR('Price Data'!G639/'Price Data'!G638-1,0)</f>
        <v>5.6804742343701253E-3</v>
      </c>
    </row>
    <row r="640" spans="1:8" ht="15">
      <c r="A640" s="25">
        <f>'Price Data'!A640</f>
        <v>45868</v>
      </c>
      <c r="B640" s="27">
        <f>IFERROR('Price Data'!B640/'Price Data'!B639-1,0)</f>
        <v>-4.9396641223018456E-3</v>
      </c>
      <c r="C640" s="27">
        <f>IFERROR('Price Data'!C640/'Price Data'!C639-1,0)</f>
        <v>2.0775871091021081E-3</v>
      </c>
      <c r="D640" s="27">
        <f>IFERROR('Price Data'!D640/'Price Data'!D639-1,0)</f>
        <v>-7.8539579239367274E-4</v>
      </c>
      <c r="E640" s="27">
        <f>IFERROR('Price Data'!E640/'Price Data'!E639-1,0)</f>
        <v>-2.5568364522721154E-3</v>
      </c>
      <c r="F640" s="27">
        <f>IFERROR('Price Data'!F640/'Price Data'!F639-1,0)</f>
        <v>3.5015064114816141E-3</v>
      </c>
      <c r="G640" s="27">
        <f>B640*Portfolio!$D$5+C640*Portfolio!$D$6+D640*Portfolio!$D$7+E640*Portfolio!$D$8+F640*Portfolio!$D$9</f>
        <v>-7.308979178972441E-4</v>
      </c>
      <c r="H640" s="27">
        <f>IFERROR('Price Data'!G640/'Price Data'!G639-1,0)</f>
        <v>1.367835124523431E-3</v>
      </c>
    </row>
    <row r="641" spans="1:8" ht="15">
      <c r="A641" s="25">
        <f>'Price Data'!A641</f>
        <v>45869</v>
      </c>
      <c r="B641" s="27">
        <f>IFERROR('Price Data'!B641/'Price Data'!B640-1,0)</f>
        <v>-1.4112474038723288E-2</v>
      </c>
      <c r="C641" s="27">
        <f>IFERROR('Price Data'!C641/'Price Data'!C640-1,0)</f>
        <v>-3.7516518796359977E-3</v>
      </c>
      <c r="D641" s="27">
        <f>IFERROR('Price Data'!D641/'Price Data'!D640-1,0)</f>
        <v>-5.5016777831498054E-3</v>
      </c>
      <c r="E641" s="27">
        <f>IFERROR('Price Data'!E641/'Price Data'!E640-1,0)</f>
        <v>-6.7455900984791928E-4</v>
      </c>
      <c r="F641" s="27">
        <f>IFERROR('Price Data'!F641/'Price Data'!F640-1,0)</f>
        <v>-6.5832929602044343E-3</v>
      </c>
      <c r="G641" s="27">
        <f>B641*Portfolio!$D$5+C641*Portfolio!$D$6+D641*Portfolio!$D$7+E641*Portfolio!$D$8+F641*Portfolio!$D$9</f>
        <v>-6.6550448317276353E-3</v>
      </c>
      <c r="H641" s="27">
        <f>IFERROR('Price Data'!G641/'Price Data'!G640-1,0)</f>
        <v>-3.4882717656889994E-3</v>
      </c>
    </row>
    <row r="642" spans="1:8" ht="15">
      <c r="A642" s="25">
        <f>'Price Data'!A642</f>
        <v>45870</v>
      </c>
      <c r="B642" s="27">
        <f>IFERROR('Price Data'!B642/'Price Data'!B641-1,0)</f>
        <v>2.5176669330437829E-3</v>
      </c>
      <c r="C642" s="27">
        <f>IFERROR('Price Data'!C642/'Price Data'!C641-1,0)</f>
        <v>-2.9729290194135949E-3</v>
      </c>
      <c r="D642" s="27">
        <f>IFERROR('Price Data'!D642/'Price Data'!D641-1,0)</f>
        <v>-1.1130181047813936E-2</v>
      </c>
      <c r="E642" s="27">
        <f>IFERROR('Price Data'!E642/'Price Data'!E641-1,0)</f>
        <v>-6.6154561428755088E-3</v>
      </c>
      <c r="F642" s="27">
        <f>IFERROR('Price Data'!F642/'Price Data'!F641-1,0)</f>
        <v>-2.6110111456710716E-2</v>
      </c>
      <c r="G642" s="27">
        <f>B642*Portfolio!$D$5+C642*Portfolio!$D$6+D642*Portfolio!$D$7+E642*Portfolio!$D$8+F642*Portfolio!$D$9</f>
        <v>-7.248686871093174E-3</v>
      </c>
      <c r="H642" s="27">
        <f>IFERROR('Price Data'!G642/'Price Data'!G641-1,0)</f>
        <v>-8.1959437427822079E-3</v>
      </c>
    </row>
    <row r="643" spans="1:8" ht="15">
      <c r="A643" s="25">
        <f>'Price Data'!A643</f>
        <v>45873</v>
      </c>
      <c r="B643" s="27">
        <f>IFERROR('Price Data'!B643/'Price Data'!B642-1,0)</f>
        <v>1.2771749405182442E-2</v>
      </c>
      <c r="C643" s="27">
        <f>IFERROR('Price Data'!C643/'Price Data'!C642-1,0)</f>
        <v>-1.0038762947834123E-2</v>
      </c>
      <c r="D643" s="27">
        <f>IFERROR('Price Data'!D643/'Price Data'!D642-1,0)</f>
        <v>2.3776199867045822E-2</v>
      </c>
      <c r="E643" s="27">
        <f>IFERROR('Price Data'!E643/'Price Data'!E642-1,0)</f>
        <v>-5.7080813662816476E-3</v>
      </c>
      <c r="F643" s="27">
        <f>IFERROR('Price Data'!F643/'Price Data'!F642-1,0)</f>
        <v>7.4170152277825974E-3</v>
      </c>
      <c r="G643" s="27">
        <f>B643*Portfolio!$D$5+C643*Portfolio!$D$6+D643*Portfolio!$D$7+E643*Portfolio!$D$8+F643*Portfolio!$D$9</f>
        <v>5.6948266669713862E-3</v>
      </c>
      <c r="H643" s="27">
        <f>IFERROR('Price Data'!G643/'Price Data'!G642-1,0)</f>
        <v>6.4074150430544208E-3</v>
      </c>
    </row>
    <row r="644" spans="1:8" ht="15">
      <c r="A644" s="25">
        <f>'Price Data'!A644</f>
        <v>45874</v>
      </c>
      <c r="B644" s="27">
        <f>IFERROR('Price Data'!B644/'Price Data'!B643-1,0)</f>
        <v>-1.4027645661354837E-2</v>
      </c>
      <c r="C644" s="27">
        <f>IFERROR('Price Data'!C644/'Price Data'!C643-1,0)</f>
        <v>-7.2289485357743821E-3</v>
      </c>
      <c r="D644" s="27">
        <f>IFERROR('Price Data'!D644/'Price Data'!D643-1,0)</f>
        <v>-3.4152850952828828E-3</v>
      </c>
      <c r="E644" s="27">
        <f>IFERROR('Price Data'!E644/'Price Data'!E643-1,0)</f>
        <v>-1.2848522369485083E-2</v>
      </c>
      <c r="F644" s="27">
        <f>IFERROR('Price Data'!F644/'Price Data'!F643-1,0)</f>
        <v>-1.3644025975914187E-2</v>
      </c>
      <c r="G644" s="27">
        <f>B644*Portfolio!$D$5+C644*Portfolio!$D$6+D644*Portfolio!$D$7+E644*Portfolio!$D$8+F644*Portfolio!$D$9</f>
        <v>-9.9710878201487718E-3</v>
      </c>
      <c r="H644" s="27">
        <f>IFERROR('Price Data'!G644/'Price Data'!G643-1,0)</f>
        <v>-2.9608040671041946E-3</v>
      </c>
    </row>
    <row r="645" spans="1:8" ht="15">
      <c r="A645" s="25">
        <f>'Price Data'!A645</f>
        <v>45875</v>
      </c>
      <c r="B645" s="27">
        <f>IFERROR('Price Data'!B645/'Price Data'!B644-1,0)</f>
        <v>7.9039619958676255E-4</v>
      </c>
      <c r="C645" s="27">
        <f>IFERROR('Price Data'!C645/'Price Data'!C644-1,0)</f>
        <v>3.8936654662875547E-3</v>
      </c>
      <c r="D645" s="27">
        <f>IFERROR('Price Data'!D645/'Price Data'!D644-1,0)</f>
        <v>-1.0313652879170299E-2</v>
      </c>
      <c r="E645" s="27">
        <f>IFERROR('Price Data'!E645/'Price Data'!E644-1,0)</f>
        <v>-5.538275118990299E-4</v>
      </c>
      <c r="F645" s="27">
        <f>IFERROR('Price Data'!F645/'Price Data'!F644-1,0)</f>
        <v>-1.61610684064869E-2</v>
      </c>
      <c r="G645" s="27">
        <f>B645*Portfolio!$D$5+C645*Portfolio!$D$6+D645*Portfolio!$D$7+E645*Portfolio!$D$8+F645*Portfolio!$D$9</f>
        <v>-3.3989495471233701E-3</v>
      </c>
      <c r="H645" s="27">
        <f>IFERROR('Price Data'!G645/'Price Data'!G644-1,0)</f>
        <v>-3.0569142281212658E-3</v>
      </c>
    </row>
    <row r="646" spans="1:8" ht="15">
      <c r="A646" s="25">
        <f>'Price Data'!A646</f>
        <v>45876</v>
      </c>
      <c r="B646" s="27">
        <f>IFERROR('Price Data'!B646/'Price Data'!B645-1,0)</f>
        <v>-2.4410088784371231E-3</v>
      </c>
      <c r="C646" s="27">
        <f>IFERROR('Price Data'!C646/'Price Data'!C645-1,0)</f>
        <v>5.0873919086260599E-3</v>
      </c>
      <c r="D646" s="27">
        <f>IFERROR('Price Data'!D646/'Price Data'!D645-1,0)</f>
        <v>4.847866689295488E-3</v>
      </c>
      <c r="E646" s="27">
        <f>IFERROR('Price Data'!E646/'Price Data'!E645-1,0)</f>
        <v>-2.2859002915959215E-3</v>
      </c>
      <c r="F646" s="27">
        <f>IFERROR('Price Data'!F646/'Price Data'!F645-1,0)</f>
        <v>1.3916239572964173E-4</v>
      </c>
      <c r="G646" s="27">
        <f>B646*Portfolio!$D$5+C646*Portfolio!$D$6+D646*Portfolio!$D$7+E646*Portfolio!$D$8+F646*Portfolio!$D$9</f>
        <v>1.3091584110263897E-3</v>
      </c>
      <c r="H646" s="27">
        <f>IFERROR('Price Data'!G646/'Price Data'!G645-1,0)</f>
        <v>8.9326092295416437E-4</v>
      </c>
    </row>
    <row r="647" spans="1:8" ht="15">
      <c r="A647" s="25">
        <f>'Price Data'!A647</f>
        <v>45877</v>
      </c>
      <c r="B647" s="27">
        <f>IFERROR('Price Data'!B647/'Price Data'!B646-1,0)</f>
        <v>-1.554635100336188E-2</v>
      </c>
      <c r="C647" s="27">
        <f>IFERROR('Price Data'!C647/'Price Data'!C646-1,0)</f>
        <v>-1.0774760784228898E-2</v>
      </c>
      <c r="D647" s="27">
        <f>IFERROR('Price Data'!D647/'Price Data'!D646-1,0)</f>
        <v>-3.4789460562095753E-3</v>
      </c>
      <c r="E647" s="27">
        <f>IFERROR('Price Data'!E647/'Price Data'!E646-1,0)</f>
        <v>-3.0549355456342964E-3</v>
      </c>
      <c r="F647" s="27">
        <f>IFERROR('Price Data'!F647/'Price Data'!F646-1,0)</f>
        <v>-9.6039534597840426E-3</v>
      </c>
      <c r="G647" s="27">
        <f>B647*Portfolio!$D$5+C647*Portfolio!$D$6+D647*Portfolio!$D$7+E647*Portfolio!$D$8+F647*Portfolio!$D$9</f>
        <v>-9.1749005089523609E-3</v>
      </c>
      <c r="H647" s="27">
        <f>IFERROR('Price Data'!G647/'Price Data'!G646-1,0)</f>
        <v>-9.4669127354072291E-3</v>
      </c>
    </row>
    <row r="648" spans="1:8" ht="15">
      <c r="A648" s="25">
        <f>'Price Data'!A648</f>
        <v>45880</v>
      </c>
      <c r="B648" s="27">
        <f>IFERROR('Price Data'!B648/'Price Data'!B647-1,0)</f>
        <v>1.345223906930193E-2</v>
      </c>
      <c r="C648" s="27">
        <f>IFERROR('Price Data'!C648/'Price Data'!C647-1,0)</f>
        <v>1.099339634295271E-2</v>
      </c>
      <c r="D648" s="27">
        <f>IFERROR('Price Data'!D648/'Price Data'!D647-1,0)</f>
        <v>1.4492564117789541E-3</v>
      </c>
      <c r="E648" s="27">
        <f>IFERROR('Price Data'!E648/'Price Data'!E647-1,0)</f>
        <v>4.8745697806662491E-4</v>
      </c>
      <c r="F648" s="27">
        <f>IFERROR('Price Data'!F648/'Price Data'!F647-1,0)</f>
        <v>3.5836661980919171E-3</v>
      </c>
      <c r="G648" s="27">
        <f>B648*Portfolio!$D$5+C648*Portfolio!$D$6+D648*Portfolio!$D$7+E648*Portfolio!$D$8+F648*Portfolio!$D$9</f>
        <v>7.0119286118432321E-3</v>
      </c>
      <c r="H648" s="27">
        <f>IFERROR('Price Data'!G648/'Price Data'!G647-1,0)</f>
        <v>9.1018044718578217E-3</v>
      </c>
    </row>
    <row r="649" spans="1:8" ht="15">
      <c r="A649" s="25">
        <f>'Price Data'!A649</f>
        <v>45881</v>
      </c>
      <c r="B649" s="27">
        <f>IFERROR('Price Data'!B649/'Price Data'!B648-1,0)</f>
        <v>-4.1840305503688668E-3</v>
      </c>
      <c r="C649" s="27">
        <f>IFERROR('Price Data'!C649/'Price Data'!C648-1,0)</f>
        <v>-1.287827459922819E-2</v>
      </c>
      <c r="D649" s="27">
        <f>IFERROR('Price Data'!D649/'Price Data'!D648-1,0)</f>
        <v>-1.7759946401637583E-3</v>
      </c>
      <c r="E649" s="27">
        <f>IFERROR('Price Data'!E649/'Price Data'!E648-1,0)</f>
        <v>-2.5252354430336243E-3</v>
      </c>
      <c r="F649" s="27">
        <f>IFERROR('Price Data'!F649/'Price Data'!F648-1,0)</f>
        <v>-2.8706502498464515E-3</v>
      </c>
      <c r="G649" s="27">
        <f>B649*Portfolio!$D$5+C649*Portfolio!$D$6+D649*Portfolio!$D$7+E649*Portfolio!$D$8+F649*Portfolio!$D$9</f>
        <v>-5.4301580693640276E-3</v>
      </c>
      <c r="H649" s="27">
        <f>IFERROR('Price Data'!G649/'Price Data'!G648-1,0)</f>
        <v>-3.9719417907191357E-3</v>
      </c>
    </row>
    <row r="650" spans="1:8" ht="15">
      <c r="A650" s="25">
        <f>'Price Data'!A650</f>
        <v>45882</v>
      </c>
      <c r="B650" s="27">
        <f>IFERROR('Price Data'!B650/'Price Data'!B649-1,0)</f>
        <v>1.59364347911084E-3</v>
      </c>
      <c r="C650" s="27">
        <f>IFERROR('Price Data'!C650/'Price Data'!C649-1,0)</f>
        <v>5.2794166373750784E-3</v>
      </c>
      <c r="D650" s="27">
        <f>IFERROR('Price Data'!D650/'Price Data'!D649-1,0)</f>
        <v>2.636031163487651E-4</v>
      </c>
      <c r="E650" s="27">
        <f>IFERROR('Price Data'!E650/'Price Data'!E649-1,0)</f>
        <v>-8.438475188994321E-4</v>
      </c>
      <c r="F650" s="27">
        <f>IFERROR('Price Data'!F650/'Price Data'!F649-1,0)</f>
        <v>1.7554986255381433E-3</v>
      </c>
      <c r="G650" s="27">
        <f>B650*Portfolio!$D$5+C650*Portfolio!$D$6+D650*Portfolio!$D$7+E650*Portfolio!$D$8+F650*Portfolio!$D$9</f>
        <v>1.9077333183870394E-3</v>
      </c>
      <c r="H650" s="27">
        <f>IFERROR('Price Data'!G650/'Price Data'!G649-1,0)</f>
        <v>5.3884535167121328E-3</v>
      </c>
    </row>
    <row r="651" spans="1:8" ht="15">
      <c r="A651" s="25">
        <f>'Price Data'!A651</f>
        <v>45883</v>
      </c>
      <c r="B651" s="27">
        <f>IFERROR('Price Data'!B651/'Price Data'!B650-1,0)</f>
        <v>-2.3962349154438289E-3</v>
      </c>
      <c r="C651" s="27">
        <f>IFERROR('Price Data'!C651/'Price Data'!C650-1,0)</f>
        <v>5.453712621415141E-3</v>
      </c>
      <c r="D651" s="27">
        <f>IFERROR('Price Data'!D651/'Price Data'!D650-1,0)</f>
        <v>-4.5781058677298869E-3</v>
      </c>
      <c r="E651" s="27">
        <f>IFERROR('Price Data'!E651/'Price Data'!E650-1,0)</f>
        <v>4.5748872301638599E-3</v>
      </c>
      <c r="F651" s="27">
        <f>IFERROR('Price Data'!F651/'Price Data'!F650-1,0)</f>
        <v>1.479032308598871E-2</v>
      </c>
      <c r="G651" s="27">
        <f>B651*Portfolio!$D$5+C651*Portfolio!$D$6+D651*Portfolio!$D$7+E651*Portfolio!$D$8+F651*Portfolio!$D$9</f>
        <v>2.753529800369736E-3</v>
      </c>
      <c r="H651" s="27">
        <f>IFERROR('Price Data'!G651/'Price Data'!G650-1,0)</f>
        <v>4.8543816407109475E-4</v>
      </c>
    </row>
    <row r="652" spans="1:8" ht="15">
      <c r="A652" s="25">
        <f>'Price Data'!A652</f>
        <v>45887</v>
      </c>
      <c r="B652" s="27">
        <f>IFERROR('Price Data'!B652/'Price Data'!B651-1,0)</f>
        <v>5.7503877525970637E-3</v>
      </c>
      <c r="C652" s="27">
        <f>IFERROR('Price Data'!C652/'Price Data'!C651-1,0)</f>
        <v>6.2779420585099555E-3</v>
      </c>
      <c r="D652" s="27">
        <f>IFERROR('Price Data'!D652/'Price Data'!D651-1,0)</f>
        <v>-3.6726351031353133E-3</v>
      </c>
      <c r="E652" s="27">
        <f>IFERROR('Price Data'!E652/'Price Data'!E651-1,0)</f>
        <v>5.1145004610670952E-3</v>
      </c>
      <c r="F652" s="27">
        <f>IFERROR('Price Data'!F652/'Price Data'!F651-1,0)</f>
        <v>-8.2199156518630856E-3</v>
      </c>
      <c r="G652" s="27">
        <f>B652*Portfolio!$D$5+C652*Portfolio!$D$6+D652*Portfolio!$D$7+E652*Portfolio!$D$8+F652*Portfolio!$D$9</f>
        <v>1.8067431535302935E-3</v>
      </c>
      <c r="H652" s="27">
        <f>IFERROR('Price Data'!G652/'Price Data'!G651-1,0)</f>
        <v>9.9730192766349646E-3</v>
      </c>
    </row>
    <row r="653" spans="1:8" ht="15">
      <c r="A653" s="25">
        <f>'Price Data'!A653</f>
        <v>45888</v>
      </c>
      <c r="B653" s="27">
        <f>IFERROR('Price Data'!B653/'Price Data'!B652-1,0)</f>
        <v>2.7791848132827202E-2</v>
      </c>
      <c r="C653" s="27">
        <f>IFERROR('Price Data'!C653/'Price Data'!C652-1,0)</f>
        <v>-6.2387753881072427E-3</v>
      </c>
      <c r="D653" s="27">
        <f>IFERROR('Price Data'!D653/'Price Data'!D652-1,0)</f>
        <v>1.6605079279763402E-3</v>
      </c>
      <c r="E653" s="27">
        <f>IFERROR('Price Data'!E653/'Price Data'!E652-1,0)</f>
        <v>1.1850503771917431E-3</v>
      </c>
      <c r="F653" s="27">
        <f>IFERROR('Price Data'!F653/'Price Data'!F652-1,0)</f>
        <v>2.925300467010894E-3</v>
      </c>
      <c r="G653" s="27">
        <f>B653*Portfolio!$D$5+C653*Portfolio!$D$6+D653*Portfolio!$D$7+E653*Portfolio!$D$8+F653*Portfolio!$D$9</f>
        <v>6.3369223984056531E-3</v>
      </c>
      <c r="H653" s="27">
        <f>IFERROR('Price Data'!G653/'Price Data'!G652-1,0)</f>
        <v>4.1685646806257637E-3</v>
      </c>
    </row>
    <row r="654" spans="1:8" ht="15">
      <c r="A654" s="25">
        <f>'Price Data'!A654</f>
        <v>45889</v>
      </c>
      <c r="B654" s="27">
        <f>IFERROR('Price Data'!B654/'Price Data'!B653-1,0)</f>
        <v>-4.9996036241362063E-3</v>
      </c>
      <c r="C654" s="27">
        <f>IFERROR('Price Data'!C654/'Price Data'!C653-1,0)</f>
        <v>-1.4564646088448541E-3</v>
      </c>
      <c r="D654" s="27">
        <f>IFERROR('Price Data'!D654/'Price Data'!D653-1,0)</f>
        <v>2.7319088197742092E-2</v>
      </c>
      <c r="E654" s="27">
        <f>IFERROR('Price Data'!E654/'Price Data'!E653-1,0)</f>
        <v>-3.9685811100808044E-3</v>
      </c>
      <c r="F654" s="27">
        <f>IFERROR('Price Data'!F654/'Price Data'!F653-1,0)</f>
        <v>3.9027677157540852E-2</v>
      </c>
      <c r="G654" s="27">
        <f>B654*Portfolio!$D$5+C654*Portfolio!$D$6+D654*Portfolio!$D$7+E654*Portfolio!$D$8+F654*Portfolio!$D$9</f>
        <v>9.1086649884221608E-3</v>
      </c>
      <c r="H654" s="27">
        <f>IFERROR('Price Data'!G654/'Price Data'!G653-1,0)</f>
        <v>2.7981813736617234E-3</v>
      </c>
    </row>
    <row r="655" spans="1:8" ht="15">
      <c r="A655" s="25">
        <f>'Price Data'!A655</f>
        <v>45890</v>
      </c>
      <c r="B655" s="27">
        <f>IFERROR('Price Data'!B655/'Price Data'!B654-1,0)</f>
        <v>8.351050852788644E-3</v>
      </c>
      <c r="C655" s="27">
        <f>IFERROR('Price Data'!C655/'Price Data'!C654-1,0)</f>
        <v>1.5088937729046403E-3</v>
      </c>
      <c r="D655" s="27">
        <f>IFERROR('Price Data'!D655/'Price Data'!D654-1,0)</f>
        <v>1.2909695950462652E-3</v>
      </c>
      <c r="E655" s="27">
        <f>IFERROR('Price Data'!E655/'Price Data'!E654-1,0)</f>
        <v>1.0764731355286772E-2</v>
      </c>
      <c r="F655" s="27">
        <f>IFERROR('Price Data'!F655/'Price Data'!F654-1,0)</f>
        <v>1.3371289742147852E-4</v>
      </c>
      <c r="G655" s="27">
        <f>B655*Portfolio!$D$5+C655*Portfolio!$D$6+D655*Portfolio!$D$7+E655*Portfolio!$D$8+F655*Portfolio!$D$9</f>
        <v>4.3579467133388122E-3</v>
      </c>
      <c r="H655" s="27">
        <f>IFERROR('Price Data'!G655/'Price Data'!G654-1,0)</f>
        <v>1.3252889742787488E-3</v>
      </c>
    </row>
    <row r="656" spans="1:8" ht="15">
      <c r="A656" s="25">
        <f>'Price Data'!A656</f>
        <v>45891</v>
      </c>
      <c r="B656" s="27">
        <f>IFERROR('Price Data'!B656/'Price Data'!B655-1,0)</f>
        <v>-1.0948986783200665E-2</v>
      </c>
      <c r="C656" s="27">
        <f>IFERROR('Price Data'!C656/'Price Data'!C655-1,0)</f>
        <v>-1.3358792659587615E-2</v>
      </c>
      <c r="D656" s="27">
        <f>IFERROR('Price Data'!D656/'Price Data'!D655-1,0)</f>
        <v>-1.5664348340938661E-2</v>
      </c>
      <c r="E656" s="27">
        <f>IFERROR('Price Data'!E656/'Price Data'!E655-1,0)</f>
        <v>-6.6389872655169269E-3</v>
      </c>
      <c r="F656" s="27">
        <f>IFERROR('Price Data'!F656/'Price Data'!F655-1,0)</f>
        <v>-5.9476514608042264E-3</v>
      </c>
      <c r="G656" s="27">
        <f>B656*Portfolio!$D$5+C656*Portfolio!$D$6+D656*Portfolio!$D$7+E656*Portfolio!$D$8+F656*Portfolio!$D$9</f>
        <v>-1.1097810337832975E-2</v>
      </c>
      <c r="H656" s="27">
        <f>IFERROR('Price Data'!G656/'Price Data'!G655-1,0)</f>
        <v>-8.5174820600987244E-3</v>
      </c>
    </row>
    <row r="657" spans="1:8" ht="15">
      <c r="A657" s="25">
        <f>'Price Data'!A657</f>
        <v>45894</v>
      </c>
      <c r="B657" s="27">
        <f>IFERROR('Price Data'!B657/'Price Data'!B656-1,0)</f>
        <v>2.4127502515873811E-3</v>
      </c>
      <c r="C657" s="27">
        <f>IFERROR('Price Data'!C657/'Price Data'!C656-1,0)</f>
        <v>-2.5448220923651732E-4</v>
      </c>
      <c r="D657" s="27">
        <f>IFERROR('Price Data'!D657/'Price Data'!D656-1,0)</f>
        <v>2.8356277725462897E-2</v>
      </c>
      <c r="E657" s="27">
        <f>IFERROR('Price Data'!E657/'Price Data'!E656-1,0)</f>
        <v>-2.2278426537154505E-3</v>
      </c>
      <c r="F657" s="27">
        <f>IFERROR('Price Data'!F657/'Price Data'!F656-1,0)</f>
        <v>2.9983180470175563E-2</v>
      </c>
      <c r="G657" s="27">
        <f>B657*Portfolio!$D$5+C657*Portfolio!$D$6+D657*Portfolio!$D$7+E657*Portfolio!$D$8+F657*Portfolio!$D$9</f>
        <v>1.0374123228149313E-2</v>
      </c>
      <c r="H657" s="27">
        <f>IFERROR('Price Data'!G657/'Price Data'!G656-1,0)</f>
        <v>3.9264173509054867E-3</v>
      </c>
    </row>
    <row r="658" spans="1:8" ht="15">
      <c r="A658" s="25">
        <f>'Price Data'!A658</f>
        <v>45895</v>
      </c>
      <c r="B658" s="27">
        <f>IFERROR('Price Data'!B658/'Price Data'!B657-1,0)</f>
        <v>-1.9609227068779322E-2</v>
      </c>
      <c r="C658" s="27">
        <f>IFERROR('Price Data'!C658/'Price Data'!C657-1,0)</f>
        <v>-8.8080586202314848E-3</v>
      </c>
      <c r="D658" s="27">
        <f>IFERROR('Price Data'!D658/'Price Data'!D657-1,0)</f>
        <v>5.2856588517151692E-3</v>
      </c>
      <c r="E658" s="27">
        <f>IFERROR('Price Data'!E658/'Price Data'!E657-1,0)</f>
        <v>-1.1582456148121034E-2</v>
      </c>
      <c r="F658" s="27">
        <f>IFERROR('Price Data'!F658/'Price Data'!F657-1,0)</f>
        <v>-1.6317510455677864E-3</v>
      </c>
      <c r="G658" s="27">
        <f>B658*Portfolio!$D$5+C658*Portfolio!$D$6+D658*Portfolio!$D$7+E658*Portfolio!$D$8+F658*Portfolio!$D$9</f>
        <v>-8.029320730962991E-3</v>
      </c>
      <c r="H658" s="27">
        <f>IFERROR('Price Data'!G658/'Price Data'!G657-1,0)</f>
        <v>-1.0241179872034878E-2</v>
      </c>
    </row>
    <row r="659" spans="1:8" ht="15">
      <c r="A659" s="25">
        <f>'Price Data'!A659</f>
        <v>45897</v>
      </c>
      <c r="B659" s="27">
        <f>IFERROR('Price Data'!B659/'Price Data'!B658-1,0)</f>
        <v>7.2213597816039865E-4</v>
      </c>
      <c r="C659" s="27">
        <f>IFERROR('Price Data'!C659/'Price Data'!C658-1,0)</f>
        <v>-1.6026371585568855E-2</v>
      </c>
      <c r="D659" s="27">
        <f>IFERROR('Price Data'!D659/'Price Data'!D658-1,0)</f>
        <v>-2.0112893325811454E-2</v>
      </c>
      <c r="E659" s="27">
        <f>IFERROR('Price Data'!E659/'Price Data'!E658-1,0)</f>
        <v>-1.2353522731610722E-2</v>
      </c>
      <c r="F659" s="27">
        <f>IFERROR('Price Data'!F659/'Price Data'!F658-1,0)</f>
        <v>-1.928603316799038E-2</v>
      </c>
      <c r="G659" s="27">
        <f>B659*Portfolio!$D$5+C659*Portfolio!$D$6+D659*Portfolio!$D$7+E659*Portfolio!$D$8+F659*Portfolio!$D$9</f>
        <v>-1.2594570951954572E-2</v>
      </c>
      <c r="H659" s="27">
        <f>IFERROR('Price Data'!G659/'Price Data'!G658-1,0)</f>
        <v>-8.5444301039235837E-3</v>
      </c>
    </row>
    <row r="660" spans="1:8" ht="15">
      <c r="A660" s="25">
        <f>'Price Data'!A660</f>
        <v>45898</v>
      </c>
      <c r="B660" s="27">
        <f>IFERROR('Price Data'!B660/'Price Data'!B659-1,0)</f>
        <v>-2.070862138199292E-2</v>
      </c>
      <c r="C660" s="27">
        <f>IFERROR('Price Data'!C660/'Price Data'!C659-1,0)</f>
        <v>-6.4731648488907112E-3</v>
      </c>
      <c r="D660" s="27">
        <f>IFERROR('Price Data'!D660/'Price Data'!D659-1,0)</f>
        <v>-2.9090780679725814E-3</v>
      </c>
      <c r="E660" s="27">
        <f>IFERROR('Price Data'!E660/'Price Data'!E659-1,0)</f>
        <v>-9.2911641805160095E-4</v>
      </c>
      <c r="F660" s="27">
        <f>IFERROR('Price Data'!F660/'Price Data'!F659-1,0)</f>
        <v>-2.0332040675054452E-2</v>
      </c>
      <c r="G660" s="27">
        <f>B660*Portfolio!$D$5+C660*Portfolio!$D$6+D660*Portfolio!$D$7+E660*Portfolio!$D$8+F660*Portfolio!$D$9</f>
        <v>-1.0566435735281331E-2</v>
      </c>
      <c r="H660" s="27">
        <f>IFERROR('Price Data'!G660/'Price Data'!G659-1,0)</f>
        <v>-3.0223697933294824E-3</v>
      </c>
    </row>
    <row r="661" spans="1:8" ht="15">
      <c r="A661" s="25">
        <f>'Price Data'!A661</f>
        <v>45901</v>
      </c>
      <c r="B661" s="27">
        <f>IFERROR('Price Data'!B661/'Price Data'!B660-1,0)</f>
        <v>-2.4314600515965568E-3</v>
      </c>
      <c r="C661" s="27">
        <f>IFERROR('Price Data'!C661/'Price Data'!C660-1,0)</f>
        <v>-1.0508991029281045E-3</v>
      </c>
      <c r="D661" s="27">
        <f>IFERROR('Price Data'!D661/'Price Data'!D660-1,0)</f>
        <v>9.0446333904499188E-3</v>
      </c>
      <c r="E661" s="27">
        <f>IFERROR('Price Data'!E661/'Price Data'!E660-1,0)</f>
        <v>9.4433758125429534E-3</v>
      </c>
      <c r="F661" s="27">
        <f>IFERROR('Price Data'!F661/'Price Data'!F660-1,0)</f>
        <v>2.0277718470835593E-2</v>
      </c>
      <c r="G661" s="27">
        <f>B661*Portfolio!$D$5+C661*Portfolio!$D$6+D661*Portfolio!$D$7+E661*Portfolio!$D$8+F661*Portfolio!$D$9</f>
        <v>5.3965010319656E-3</v>
      </c>
      <c r="H661" s="27">
        <f>IFERROR('Price Data'!G661/'Price Data'!G660-1,0)</f>
        <v>8.1140701746054145E-3</v>
      </c>
    </row>
    <row r="662" spans="1:8" ht="15">
      <c r="A662" s="25">
        <f>'Price Data'!A662</f>
        <v>45902</v>
      </c>
      <c r="B662" s="27">
        <f>IFERROR('Price Data'!B662/'Price Data'!B661-1,0)</f>
        <v>9.306434069823899E-3</v>
      </c>
      <c r="C662" s="27">
        <f>IFERROR('Price Data'!C662/'Price Data'!C661-1,0)</f>
        <v>-6.4169150965409649E-3</v>
      </c>
      <c r="D662" s="27">
        <f>IFERROR('Price Data'!D662/'Price Data'!D661-1,0)</f>
        <v>-3.5342389759773774E-4</v>
      </c>
      <c r="E662" s="27">
        <f>IFERROR('Price Data'!E662/'Price Data'!E661-1,0)</f>
        <v>-1.1906483932051737E-2</v>
      </c>
      <c r="F662" s="27">
        <f>IFERROR('Price Data'!F662/'Price Data'!F661-1,0)</f>
        <v>-4.6691187492264863E-4</v>
      </c>
      <c r="G662" s="27">
        <f>B662*Portfolio!$D$5+C662*Portfolio!$D$6+D662*Portfolio!$D$7+E662*Portfolio!$D$8+F662*Portfolio!$D$9</f>
        <v>-1.2043144072449716E-3</v>
      </c>
      <c r="H662" s="27">
        <f>IFERROR('Price Data'!G662/'Price Data'!G661-1,0)</f>
        <v>-1.8457290617897026E-3</v>
      </c>
    </row>
    <row r="663" spans="1:8" ht="15">
      <c r="A663" s="25">
        <f>'Price Data'!A663</f>
        <v>45903</v>
      </c>
      <c r="B663" s="27">
        <f>IFERROR('Price Data'!B663/'Price Data'!B662-1,0)</f>
        <v>4.4639395601555609E-3</v>
      </c>
      <c r="C663" s="27">
        <f>IFERROR('Price Data'!C663/'Price Data'!C662-1,0)</f>
        <v>1.0534648106045319E-2</v>
      </c>
      <c r="D663" s="27">
        <f>IFERROR('Price Data'!D663/'Price Data'!D662-1,0)</f>
        <v>-4.4994170914129938E-3</v>
      </c>
      <c r="E663" s="27">
        <f>IFERROR('Price Data'!E663/'Price Data'!E662-1,0)</f>
        <v>2.0083552762797385E-3</v>
      </c>
      <c r="F663" s="27">
        <f>IFERROR('Price Data'!F663/'Price Data'!F662-1,0)</f>
        <v>-1.3078034279179307E-2</v>
      </c>
      <c r="G663" s="27">
        <f>B663*Portfolio!$D$5+C663*Portfolio!$D$6+D663*Portfolio!$D$7+E663*Portfolio!$D$8+F663*Portfolio!$D$9</f>
        <v>1.1893116478326861E-3</v>
      </c>
      <c r="H663" s="27">
        <f>IFERROR('Price Data'!G663/'Price Data'!G662-1,0)</f>
        <v>5.5107151470170646E-3</v>
      </c>
    </row>
    <row r="664" spans="1:8" ht="15">
      <c r="A664" s="25">
        <f>'Price Data'!A664</f>
        <v>45904</v>
      </c>
      <c r="B664" s="27">
        <f>IFERROR('Price Data'!B664/'Price Data'!B663-1,0)</f>
        <v>-9.689625876550978E-3</v>
      </c>
      <c r="C664" s="27">
        <f>IFERROR('Price Data'!C664/'Price Data'!C663-1,0)</f>
        <v>7.1244893318576086E-3</v>
      </c>
      <c r="D664" s="27">
        <f>IFERROR('Price Data'!D664/'Price Data'!D663-1,0)</f>
        <v>-5.8105282820952731E-4</v>
      </c>
      <c r="E664" s="27">
        <f>IFERROR('Price Data'!E664/'Price Data'!E663-1,0)</f>
        <v>6.0844667143880038E-3</v>
      </c>
      <c r="F664" s="27">
        <f>IFERROR('Price Data'!F664/'Price Data'!F663-1,0)</f>
        <v>-1.0884906516930082E-2</v>
      </c>
      <c r="G664" s="27">
        <f>B664*Portfolio!$D$5+C664*Portfolio!$D$6+D664*Portfolio!$D$7+E664*Portfolio!$D$8+F664*Portfolio!$D$9</f>
        <v>-1.4775606721965594E-3</v>
      </c>
      <c r="H664" s="27">
        <f>IFERROR('Price Data'!G664/'Price Data'!G663-1,0)</f>
        <v>7.7887762280481887E-4</v>
      </c>
    </row>
    <row r="665" spans="1:8" ht="15">
      <c r="A665" s="25">
        <f>'Price Data'!A665</f>
        <v>45905</v>
      </c>
      <c r="B665" s="27">
        <f>IFERROR('Price Data'!B665/'Price Data'!B664-1,0)</f>
        <v>1.1550109855192225E-2</v>
      </c>
      <c r="C665" s="27">
        <f>IFERROR('Price Data'!C665/'Price Data'!C664-1,0)</f>
        <v>2.2367054380347806E-3</v>
      </c>
      <c r="D665" s="27">
        <f>IFERROR('Price Data'!D665/'Price Data'!D664-1,0)</f>
        <v>-1.531164196988577E-2</v>
      </c>
      <c r="E665" s="27">
        <f>IFERROR('Price Data'!E665/'Price Data'!E664-1,0)</f>
        <v>-1.9209898056741226E-3</v>
      </c>
      <c r="F665" s="27">
        <f>IFERROR('Price Data'!F665/'Price Data'!F664-1,0)</f>
        <v>-1.2577025267862307E-2</v>
      </c>
      <c r="G665" s="27">
        <f>B665*Portfolio!$D$5+C665*Portfolio!$D$6+D665*Portfolio!$D$7+E665*Portfolio!$D$8+F665*Portfolio!$D$9</f>
        <v>-1.7903268317008671E-3</v>
      </c>
      <c r="H665" s="27">
        <f>IFERROR('Price Data'!G665/'Price Data'!G664-1,0)</f>
        <v>2.7084730671167456E-4</v>
      </c>
    </row>
    <row r="666" spans="1:8" ht="15">
      <c r="A666" s="25">
        <f>'Price Data'!A666</f>
        <v>45908</v>
      </c>
      <c r="B666" s="27">
        <f>IFERROR('Price Data'!B666/'Price Data'!B665-1,0)</f>
        <v>2.5454506535760313E-3</v>
      </c>
      <c r="C666" s="27">
        <f>IFERROR('Price Data'!C666/'Price Data'!C665-1,0)</f>
        <v>2.6987552237063284E-3</v>
      </c>
      <c r="D666" s="27">
        <f>IFERROR('Price Data'!D666/'Price Data'!D665-1,0)</f>
        <v>-9.611906648667512E-3</v>
      </c>
      <c r="E666" s="27">
        <f>IFERROR('Price Data'!E666/'Price Data'!E665-1,0)</f>
        <v>-7.135561217985753E-5</v>
      </c>
      <c r="F666" s="27">
        <f>IFERROR('Price Data'!F666/'Price Data'!F665-1,0)</f>
        <v>-8.0989786346489234E-3</v>
      </c>
      <c r="G666" s="27">
        <f>B666*Portfolio!$D$5+C666*Portfolio!$D$6+D666*Portfolio!$D$7+E666*Portfolio!$D$8+F666*Portfolio!$D$9</f>
        <v>-1.8368799974372296E-3</v>
      </c>
      <c r="H666" s="27">
        <f>IFERROR('Price Data'!G666/'Price Data'!G665-1,0)</f>
        <v>1.2994782193525012E-3</v>
      </c>
    </row>
    <row r="667" spans="1:8" ht="15">
      <c r="A667" s="25">
        <f>'Price Data'!A667</f>
        <v>45909</v>
      </c>
      <c r="B667" s="27">
        <f>IFERROR('Price Data'!B667/'Price Data'!B666-1,0)</f>
        <v>-1.668579358936717E-3</v>
      </c>
      <c r="C667" s="27">
        <f>IFERROR('Price Data'!C667/'Price Data'!C666-1,0)</f>
        <v>-8.798649970191974E-4</v>
      </c>
      <c r="D667" s="27">
        <f>IFERROR('Price Data'!D667/'Price Data'!D666-1,0)</f>
        <v>1.0069489614001226E-2</v>
      </c>
      <c r="E667" s="27">
        <f>IFERROR('Price Data'!E667/'Price Data'!E666-1,0)</f>
        <v>7.1291083967350843E-4</v>
      </c>
      <c r="F667" s="27">
        <f>IFERROR('Price Data'!F667/'Price Data'!F666-1,0)</f>
        <v>4.9828983410515892E-2</v>
      </c>
      <c r="G667" s="27">
        <f>B667*Portfolio!$D$5+C667*Portfolio!$D$6+D667*Portfolio!$D$7+E667*Portfolio!$D$8+F667*Portfolio!$D$9</f>
        <v>8.9580709713396774E-3</v>
      </c>
      <c r="H667" s="27">
        <f>IFERROR('Price Data'!G667/'Price Data'!G666-1,0)</f>
        <v>3.852930178235292E-3</v>
      </c>
    </row>
    <row r="668" spans="1:8" ht="15">
      <c r="A668" s="25">
        <f>'Price Data'!A668</f>
        <v>45910</v>
      </c>
      <c r="B668" s="27">
        <f>IFERROR('Price Data'!B668/'Price Data'!B667-1,0)</f>
        <v>5.8136094780003589E-4</v>
      </c>
      <c r="C668" s="27">
        <f>IFERROR('Price Data'!C668/'Price Data'!C667-1,0)</f>
        <v>7.770767501502629E-4</v>
      </c>
      <c r="D668" s="27">
        <f>IFERROR('Price Data'!D668/'Price Data'!D667-1,0)</f>
        <v>1.9872862179952655E-2</v>
      </c>
      <c r="E668" s="27">
        <f>IFERROR('Price Data'!E668/'Price Data'!E667-1,0)</f>
        <v>1.4253276992737263E-4</v>
      </c>
      <c r="F668" s="27">
        <f>IFERROR('Price Data'!F668/'Price Data'!F667-1,0)</f>
        <v>1.881268816286541E-2</v>
      </c>
      <c r="G668" s="27">
        <f>B668*Portfolio!$D$5+C668*Portfolio!$D$6+D668*Portfolio!$D$7+E668*Portfolio!$D$8+F668*Portfolio!$D$9</f>
        <v>7.1574650003970227E-3</v>
      </c>
      <c r="H668" s="27">
        <f>IFERROR('Price Data'!G668/'Price Data'!G667-1,0)</f>
        <v>4.2020862308871365E-3</v>
      </c>
    </row>
    <row r="669" spans="1:8" ht="15">
      <c r="A669" s="25">
        <f>'Price Data'!A669</f>
        <v>45911</v>
      </c>
      <c r="B669" s="27">
        <f>IFERROR('Price Data'!B669/'Price Data'!B668-1,0)</f>
        <v>4.5752457058256812E-3</v>
      </c>
      <c r="C669" s="27">
        <f>IFERROR('Price Data'!C669/'Price Data'!C668-1,0)</f>
        <v>1.9670059198386713E-3</v>
      </c>
      <c r="D669" s="27">
        <f>IFERROR('Price Data'!D669/'Price Data'!D668-1,0)</f>
        <v>4.5659070645074351E-3</v>
      </c>
      <c r="E669" s="27">
        <f>IFERROR('Price Data'!E669/'Price Data'!E668-1,0)</f>
        <v>-1.6383280775886799E-3</v>
      </c>
      <c r="F669" s="27">
        <f>IFERROR('Price Data'!F669/'Price Data'!F668-1,0)</f>
        <v>-1.4941959712930664E-2</v>
      </c>
      <c r="G669" s="27">
        <f>B669*Portfolio!$D$5+C669*Portfolio!$D$6+D669*Portfolio!$D$7+E669*Portfolio!$D$8+F669*Portfolio!$D$9</f>
        <v>6.1701150739674158E-5</v>
      </c>
      <c r="H669" s="27">
        <f>IFERROR('Price Data'!G669/'Price Data'!G668-1,0)</f>
        <v>1.2974116602184615E-3</v>
      </c>
    </row>
    <row r="670" spans="1:8" ht="15">
      <c r="A670" s="25">
        <f>'Price Data'!A670</f>
        <v>45912</v>
      </c>
      <c r="B670" s="27">
        <f>IFERROR('Price Data'!B670/'Price Data'!B669-1,0)</f>
        <v>8.4580092928614459E-3</v>
      </c>
      <c r="C670" s="27">
        <f>IFERROR('Price Data'!C670/'Price Data'!C669-1,0)</f>
        <v>-5.1658995496028925E-4</v>
      </c>
      <c r="D670" s="27">
        <f>IFERROR('Price Data'!D670/'Price Data'!D669-1,0)</f>
        <v>2.944786626815743E-3</v>
      </c>
      <c r="E670" s="27">
        <f>IFERROR('Price Data'!E670/'Price Data'!E669-1,0)</f>
        <v>1.1486854927496015E-2</v>
      </c>
      <c r="F670" s="27">
        <f>IFERROR('Price Data'!F670/'Price Data'!F669-1,0)</f>
        <v>1.0531931659025773E-2</v>
      </c>
      <c r="G670" s="27">
        <f>B670*Portfolio!$D$5+C670*Portfolio!$D$6+D670*Portfolio!$D$7+E670*Portfolio!$D$8+F670*Portfolio!$D$9</f>
        <v>5.8771301478167063E-3</v>
      </c>
      <c r="H670" s="27">
        <f>IFERROR('Price Data'!G670/'Price Data'!G669-1,0)</f>
        <v>4.3390454100098452E-3</v>
      </c>
    </row>
    <row r="671" spans="1:8" ht="15">
      <c r="A671" s="25">
        <f>'Price Data'!A671</f>
        <v>45915</v>
      </c>
      <c r="B671" s="27">
        <f>IFERROR('Price Data'!B671/'Price Data'!B670-1,0)</f>
        <v>3.0823948774383325E-3</v>
      </c>
      <c r="C671" s="27">
        <f>IFERROR('Price Data'!C671/'Price Data'!C670-1,0)</f>
        <v>-2.5849262112609406E-4</v>
      </c>
      <c r="D671" s="27">
        <f>IFERROR('Price Data'!D671/'Price Data'!D670-1,0)</f>
        <v>-6.8616743780031131E-3</v>
      </c>
      <c r="E671" s="27">
        <f>IFERROR('Price Data'!E671/'Price Data'!E670-1,0)</f>
        <v>1.1991770478529951E-3</v>
      </c>
      <c r="F671" s="27">
        <f>IFERROR('Price Data'!F671/'Price Data'!F670-1,0)</f>
        <v>-1.1274218783652867E-2</v>
      </c>
      <c r="G671" s="27">
        <f>B671*Portfolio!$D$5+C671*Portfolio!$D$6+D671*Portfolio!$D$7+E671*Portfolio!$D$8+F671*Portfolio!$D$9</f>
        <v>-2.1776155718925437E-3</v>
      </c>
      <c r="H671" s="27">
        <f>IFERROR('Price Data'!G671/'Price Data'!G670-1,0)</f>
        <v>-1.7838966811339896E-3</v>
      </c>
    </row>
    <row r="672" spans="1:8" ht="15">
      <c r="A672" s="25">
        <f>'Price Data'!A672</f>
        <v>45916</v>
      </c>
      <c r="B672" s="27">
        <f>IFERROR('Price Data'!B672/'Price Data'!B671-1,0)</f>
        <v>4.287876866437168E-3</v>
      </c>
      <c r="C672" s="27">
        <f>IFERROR('Price Data'!C672/'Price Data'!C671-1,0)</f>
        <v>-2.0678340679602947E-4</v>
      </c>
      <c r="D672" s="27">
        <f>IFERROR('Price Data'!D672/'Price Data'!D671-1,0)</f>
        <v>1.0861656881123061E-2</v>
      </c>
      <c r="E672" s="27">
        <f>IFERROR('Price Data'!E672/'Price Data'!E671-1,0)</f>
        <v>1.5499162561893876E-3</v>
      </c>
      <c r="F672" s="27">
        <f>IFERROR('Price Data'!F672/'Price Data'!F671-1,0)</f>
        <v>1.9226518761930045E-3</v>
      </c>
      <c r="G672" s="27">
        <f>B672*Portfolio!$D$5+C672*Portfolio!$D$6+D672*Portfolio!$D$7+E672*Portfolio!$D$8+F672*Portfolio!$D$9</f>
        <v>3.7134899609922558E-3</v>
      </c>
      <c r="H672" s="27">
        <f>IFERROR('Price Data'!G672/'Price Data'!G671-1,0)</f>
        <v>6.7772563910986072E-3</v>
      </c>
    </row>
    <row r="673" spans="1:8" ht="15">
      <c r="A673" s="25">
        <f>'Price Data'!A673</f>
        <v>45917</v>
      </c>
      <c r="B673" s="27">
        <f>IFERROR('Price Data'!B673/'Price Data'!B672-1,0)</f>
        <v>6.0485713051525725E-3</v>
      </c>
      <c r="C673" s="27">
        <f>IFERROR('Price Data'!C673/'Price Data'!C672-1,0)</f>
        <v>-3.6199393523794754E-4</v>
      </c>
      <c r="D673" s="27">
        <f>IFERROR('Price Data'!D673/'Price Data'!D672-1,0)</f>
        <v>8.6148834147676823E-3</v>
      </c>
      <c r="E673" s="27">
        <f>IFERROR('Price Data'!E673/'Price Data'!E672-1,0)</f>
        <v>-1.6882558070341336E-3</v>
      </c>
      <c r="F673" s="27">
        <f>IFERROR('Price Data'!F673/'Price Data'!F672-1,0)</f>
        <v>7.3446559151486568E-3</v>
      </c>
      <c r="G673" s="27">
        <f>B673*Portfolio!$D$5+C673*Portfolio!$D$6+D673*Portfolio!$D$7+E673*Portfolio!$D$8+F673*Portfolio!$D$9</f>
        <v>3.9930810416493713E-3</v>
      </c>
      <c r="H673" s="27">
        <f>IFERROR('Price Data'!G673/'Price Data'!G672-1,0)</f>
        <v>3.6114755294653911E-3</v>
      </c>
    </row>
    <row r="674" spans="1:8" ht="15">
      <c r="A674" s="25">
        <f>'Price Data'!A674</f>
        <v>45918</v>
      </c>
      <c r="B674" s="27">
        <f>IFERROR('Price Data'!B674/'Price Data'!B673-1,0)</f>
        <v>8.486758999204369E-4</v>
      </c>
      <c r="C674" s="27">
        <f>IFERROR('Price Data'!C674/'Price Data'!C673-1,0)</f>
        <v>1.0760524816156192E-2</v>
      </c>
      <c r="D674" s="27">
        <f>IFERROR('Price Data'!D674/'Price Data'!D673-1,0)</f>
        <v>1.2292153450264021E-3</v>
      </c>
      <c r="E674" s="27">
        <f>IFERROR('Price Data'!E674/'Price Data'!E673-1,0)</f>
        <v>1.7615558666950193E-3</v>
      </c>
      <c r="F674" s="27">
        <f>IFERROR('Price Data'!F674/'Price Data'!F673-1,0)</f>
        <v>1.1954724501134439E-2</v>
      </c>
      <c r="G674" s="27">
        <f>B674*Portfolio!$D$5+C674*Portfolio!$D$6+D674*Portfolio!$D$7+E674*Portfolio!$D$8+F674*Portfolio!$D$9</f>
        <v>5.2055853031988562E-3</v>
      </c>
      <c r="H674" s="27">
        <f>IFERROR('Price Data'!G674/'Price Data'!G673-1,0)</f>
        <v>3.6853015416349333E-3</v>
      </c>
    </row>
    <row r="675" spans="1:8" ht="15">
      <c r="A675" s="25">
        <f>'Price Data'!A675</f>
        <v>45919</v>
      </c>
      <c r="B675" s="27">
        <f>IFERROR('Price Data'!B675/'Price Data'!B674-1,0)</f>
        <v>-5.3709674302114818E-3</v>
      </c>
      <c r="C675" s="27">
        <f>IFERROR('Price Data'!C675/'Price Data'!C674-1,0)</f>
        <v>-1.0236508275741407E-2</v>
      </c>
      <c r="D675" s="27">
        <f>IFERROR('Price Data'!D675/'Price Data'!D674-1,0)</f>
        <v>-2.360998013236637E-3</v>
      </c>
      <c r="E675" s="27">
        <f>IFERROR('Price Data'!E675/'Price Data'!E674-1,0)</f>
        <v>-1.3715974305215761E-2</v>
      </c>
      <c r="F675" s="27">
        <f>IFERROR('Price Data'!F675/'Price Data'!F674-1,0)</f>
        <v>-2.5963640219062167E-4</v>
      </c>
      <c r="G675" s="27">
        <f>B675*Portfolio!$D$5+C675*Portfolio!$D$6+D675*Portfolio!$D$7+E675*Portfolio!$D$8+F675*Portfolio!$D$9</f>
        <v>-6.4704101352465069E-3</v>
      </c>
      <c r="H675" s="27">
        <f>IFERROR('Price Data'!G675/'Price Data'!G674-1,0)</f>
        <v>-3.7976065391384095E-3</v>
      </c>
    </row>
    <row r="676" spans="1:8" ht="15">
      <c r="A676" s="25">
        <f>'Price Data'!A676</f>
        <v>45922</v>
      </c>
      <c r="B676" s="27">
        <f>IFERROR('Price Data'!B676/'Price Data'!B675-1,0)</f>
        <v>-1.193697408733907E-2</v>
      </c>
      <c r="C676" s="27">
        <f>IFERROR('Price Data'!C676/'Price Data'!C675-1,0)</f>
        <v>-2.7924260488683128E-3</v>
      </c>
      <c r="D676" s="27">
        <f>IFERROR('Price Data'!D676/'Price Data'!D675-1,0)</f>
        <v>-3.0102188967919608E-2</v>
      </c>
      <c r="E676" s="27">
        <f>IFERROR('Price Data'!E676/'Price Data'!E675-1,0)</f>
        <v>-4.9918071334265068E-4</v>
      </c>
      <c r="F676" s="27">
        <f>IFERROR('Price Data'!F676/'Price Data'!F675-1,0)</f>
        <v>-2.6425173070118602E-2</v>
      </c>
      <c r="G676" s="27">
        <f>B676*Portfolio!$D$5+C676*Portfolio!$D$6+D676*Portfolio!$D$7+E676*Portfolio!$D$8+F676*Portfolio!$D$9</f>
        <v>-1.3741440895154954E-2</v>
      </c>
      <c r="H676" s="27">
        <f>IFERROR('Price Data'!G676/'Price Data'!G675-1,0)</f>
        <v>-4.9236357186648316E-3</v>
      </c>
    </row>
    <row r="677" spans="1:8" ht="15">
      <c r="A677" s="25">
        <f>'Price Data'!A677</f>
        <v>45923</v>
      </c>
      <c r="B677" s="27">
        <f>IFERROR('Price Data'!B677/'Price Data'!B676-1,0)</f>
        <v>-5.7516443159166819E-4</v>
      </c>
      <c r="C677" s="27">
        <f>IFERROR('Price Data'!C677/'Price Data'!C676-1,0)</f>
        <v>-7.2599053449188267E-3</v>
      </c>
      <c r="D677" s="27">
        <f>IFERROR('Price Data'!D677/'Price Data'!D676-1,0)</f>
        <v>-3.7088414650450208E-3</v>
      </c>
      <c r="E677" s="27">
        <f>IFERROR('Price Data'!E677/'Price Data'!E676-1,0)</f>
        <v>-5.1373179963432047E-3</v>
      </c>
      <c r="F677" s="27">
        <f>IFERROR('Price Data'!F677/'Price Data'!F676-1,0)</f>
        <v>-1.3337641009982804E-3</v>
      </c>
      <c r="G677" s="27">
        <f>B677*Portfolio!$D$5+C677*Portfolio!$D$6+D677*Portfolio!$D$7+E677*Portfolio!$D$8+F677*Portfolio!$D$9</f>
        <v>-3.6711980517378506E-3</v>
      </c>
      <c r="H677" s="27">
        <f>IFERROR('Price Data'!G677/'Price Data'!G676-1,0)</f>
        <v>-1.3034343973540308E-3</v>
      </c>
    </row>
    <row r="678" spans="1:8" ht="15">
      <c r="A678" s="25">
        <f>'Price Data'!A678</f>
        <v>45924</v>
      </c>
      <c r="B678" s="27">
        <f>IFERROR('Price Data'!B678/'Price Data'!B677-1,0)</f>
        <v>-4.892858315176718E-3</v>
      </c>
      <c r="C678" s="27">
        <f>IFERROR('Price Data'!C678/'Price Data'!C677-1,0)</f>
        <v>-6.4249781933043426E-3</v>
      </c>
      <c r="D678" s="27">
        <f>IFERROR('Price Data'!D678/'Price Data'!D677-1,0)</f>
        <v>-8.8165983864615383E-3</v>
      </c>
      <c r="E678" s="27">
        <f>IFERROR('Price Data'!E678/'Price Data'!E677-1,0)</f>
        <v>-8.3196566377513603E-3</v>
      </c>
      <c r="F678" s="27">
        <f>IFERROR('Price Data'!F678/'Price Data'!F677-1,0)</f>
        <v>-1.9365619738304085E-3</v>
      </c>
      <c r="G678" s="27">
        <f>B678*Portfolio!$D$5+C678*Portfolio!$D$6+D678*Portfolio!$D$7+E678*Portfolio!$D$8+F678*Portfolio!$D$9</f>
        <v>-6.131211596149838E-3</v>
      </c>
      <c r="H678" s="27">
        <f>IFERROR('Price Data'!G678/'Price Data'!G677-1,0)</f>
        <v>-4.4736530076083802E-3</v>
      </c>
    </row>
    <row r="679" spans="1:8" ht="15">
      <c r="A679" s="25">
        <f>'Price Data'!A679</f>
        <v>45925</v>
      </c>
      <c r="B679" s="27">
        <f>IFERROR('Price Data'!B679/'Price Data'!B678-1,0)</f>
        <v>-7.6644480098859713E-3</v>
      </c>
      <c r="C679" s="27">
        <f>IFERROR('Price Data'!C679/'Price Data'!C678-1,0)</f>
        <v>-1.2618342628776258E-3</v>
      </c>
      <c r="D679" s="27">
        <f>IFERROR('Price Data'!D679/'Price Data'!D678-1,0)</f>
        <v>-2.5696804928611816E-2</v>
      </c>
      <c r="E679" s="27">
        <f>IFERROR('Price Data'!E679/'Price Data'!E678-1,0)</f>
        <v>-4.9901660428223193E-3</v>
      </c>
      <c r="F679" s="27">
        <f>IFERROR('Price Data'!F679/'Price Data'!F678-1,0)</f>
        <v>-6.556912622336375E-3</v>
      </c>
      <c r="G679" s="27">
        <f>B679*Portfolio!$D$5+C679*Portfolio!$D$6+D679*Portfolio!$D$7+E679*Portfolio!$D$8+F679*Portfolio!$D$9</f>
        <v>-9.1029933536870677E-3</v>
      </c>
      <c r="H679" s="27">
        <f>IFERROR('Price Data'!G679/'Price Data'!G678-1,0)</f>
        <v>-6.6269482123226808E-3</v>
      </c>
    </row>
    <row r="680" spans="1:8" ht="15">
      <c r="A680" s="25">
        <f>'Price Data'!A680</f>
        <v>45926</v>
      </c>
      <c r="B680" s="27">
        <f>IFERROR('Price Data'!B680/'Price Data'!B679-1,0)</f>
        <v>3.7889514205171615E-3</v>
      </c>
      <c r="C680" s="27">
        <f>IFERROR('Price Data'!C680/'Price Data'!C679-1,0)</f>
        <v>-5.0533873986495781E-3</v>
      </c>
      <c r="D680" s="27">
        <f>IFERROR('Price Data'!D680/'Price Data'!D679-1,0)</f>
        <v>-1.9713099975484094E-2</v>
      </c>
      <c r="E680" s="27">
        <f>IFERROR('Price Data'!E680/'Price Data'!E679-1,0)</f>
        <v>-1.1775020109925372E-2</v>
      </c>
      <c r="F680" s="27">
        <f>IFERROR('Price Data'!F680/'Price Data'!F679-1,0)</f>
        <v>-2.4178323482282993E-2</v>
      </c>
      <c r="G680" s="27">
        <f>B680*Portfolio!$D$5+C680*Portfolio!$D$6+D680*Portfolio!$D$7+E680*Portfolio!$D$8+F680*Portfolio!$D$9</f>
        <v>-9.6517305284611783E-3</v>
      </c>
      <c r="H680" s="27">
        <f>IFERROR('Price Data'!G680/'Price Data'!G679-1,0)</f>
        <v>-9.4874379272315013E-3</v>
      </c>
    </row>
    <row r="681" spans="1:8" ht="15">
      <c r="A681" s="25">
        <f>'Price Data'!A681</f>
        <v>45929</v>
      </c>
      <c r="B681" s="27">
        <f>IFERROR('Price Data'!B681/'Price Data'!B680-1,0)</f>
        <v>-3.4843534361621575E-3</v>
      </c>
      <c r="C681" s="27">
        <f>IFERROR('Price Data'!C681/'Price Data'!C680-1,0)</f>
        <v>5.5552294827903026E-3</v>
      </c>
      <c r="D681" s="27">
        <f>IFERROR('Price Data'!D681/'Price Data'!D680-1,0)</f>
        <v>-1.034898786392735E-3</v>
      </c>
      <c r="E681" s="27">
        <f>IFERROR('Price Data'!E681/'Price Data'!E680-1,0)</f>
        <v>-8.4583702607408107E-3</v>
      </c>
      <c r="F681" s="27">
        <f>IFERROR('Price Data'!F681/'Price Data'!F680-1,0)</f>
        <v>-4.9002836454377086E-3</v>
      </c>
      <c r="G681" s="27">
        <f>B681*Portfolio!$D$5+C681*Portfolio!$D$6+D681*Portfolio!$D$7+E681*Portfolio!$D$8+F681*Portfolio!$D$9</f>
        <v>-1.6930588315482884E-3</v>
      </c>
      <c r="H681" s="27">
        <f>IFERROR('Price Data'!G681/'Price Data'!G680-1,0)</f>
        <v>-8.0304480494097774E-4</v>
      </c>
    </row>
    <row r="682" spans="1:8" ht="15">
      <c r="A682" s="25">
        <f>'Price Data'!A682</f>
        <v>45930</v>
      </c>
      <c r="B682" s="27">
        <f>IFERROR('Price Data'!B682/'Price Data'!B681-1,0)</f>
        <v>-6.4102724441720271E-3</v>
      </c>
      <c r="C682" s="27">
        <f>IFERROR('Price Data'!C682/'Price Data'!C681-1,0)</f>
        <v>7.36661837417385E-4</v>
      </c>
      <c r="D682" s="27">
        <f>IFERROR('Price Data'!D682/'Price Data'!D681-1,0)</f>
        <v>-2.6587358657512716E-3</v>
      </c>
      <c r="E682" s="27">
        <f>IFERROR('Price Data'!E682/'Price Data'!E681-1,0)</f>
        <v>-7.4160364771147513E-5</v>
      </c>
      <c r="F682" s="27">
        <f>IFERROR('Price Data'!F682/'Price Data'!F681-1,0)</f>
        <v>0</v>
      </c>
      <c r="G682" s="27">
        <f>B682*Portfolio!$D$5+C682*Portfolio!$D$6+D682*Portfolio!$D$7+E682*Portfolio!$D$8+F682*Portfolio!$D$9</f>
        <v>-1.9612738795545871E-3</v>
      </c>
      <c r="H682" s="27">
        <f>IFERROR('Price Data'!G682/'Price Data'!G681-1,0)</f>
        <v>-9.6614075448253622E-4</v>
      </c>
    </row>
    <row r="683" spans="1:8" ht="15">
      <c r="A683" s="25">
        <f>'Price Data'!A683</f>
        <v>45931</v>
      </c>
      <c r="B683" s="27">
        <f>IFERROR('Price Data'!B683/'Price Data'!B682-1,0)</f>
        <v>3.4457299112373718E-3</v>
      </c>
      <c r="C683" s="27">
        <f>IFERROR('Price Data'!C683/'Price Data'!C682-1,0)</f>
        <v>1.4984205365028425E-2</v>
      </c>
      <c r="D683" s="27">
        <f>IFERROR('Price Data'!D683/'Price Data'!D682-1,0)</f>
        <v>8.9322775920139819E-3</v>
      </c>
      <c r="E683" s="27">
        <f>IFERROR('Price Data'!E683/'Price Data'!E682-1,0)</f>
        <v>1.7804154302670572E-2</v>
      </c>
      <c r="F683" s="27">
        <f>IFERROR('Price Data'!F683/'Price Data'!F682-1,0)</f>
        <v>2.7742810185957811E-3</v>
      </c>
      <c r="G683" s="27">
        <f>B683*Portfolio!$D$5+C683*Portfolio!$D$6+D683*Portfolio!$D$7+E683*Portfolio!$D$8+F683*Portfolio!$D$9</f>
        <v>9.4807046356591984E-3</v>
      </c>
      <c r="H683" s="27">
        <f>IFERROR('Price Data'!G683/'Price Data'!G682-1,0)</f>
        <v>9.1503904924759016E-3</v>
      </c>
    </row>
    <row r="684" spans="1:8" ht="15">
      <c r="A684" s="25">
        <f>'Price Data'!A684</f>
        <v>45933</v>
      </c>
      <c r="B684" s="27">
        <f>IFERROR('Price Data'!B684/'Price Data'!B683-1,0)</f>
        <v>-3.8722179717254335E-3</v>
      </c>
      <c r="C684" s="27">
        <f>IFERROR('Price Data'!C684/'Price Data'!C683-1,0)</f>
        <v>-1.0355236683690094E-4</v>
      </c>
      <c r="D684" s="27">
        <f>IFERROR('Price Data'!D684/'Price Data'!D683-1,0)</f>
        <v>-4.2207179125469674E-3</v>
      </c>
      <c r="E684" s="27">
        <f>IFERROR('Price Data'!E684/'Price Data'!E683-1,0)</f>
        <v>-4.9563038105867596E-3</v>
      </c>
      <c r="F684" s="27">
        <f>IFERROR('Price Data'!F684/'Price Data'!F683-1,0)</f>
        <v>5.5332113539607874E-4</v>
      </c>
      <c r="G684" s="27">
        <f>B684*Portfolio!$D$5+C684*Portfolio!$D$6+D684*Portfolio!$D$7+E684*Portfolio!$D$8+F684*Portfolio!$D$9</f>
        <v>-2.4985335684285792E-3</v>
      </c>
      <c r="H684" s="27">
        <f>IFERROR('Price Data'!G684/'Price Data'!G683-1,0)</f>
        <v>2.3332467769816567E-3</v>
      </c>
    </row>
    <row r="685" spans="1:8" ht="15">
      <c r="A685" s="25">
        <f>'Price Data'!A685</f>
        <v>45936</v>
      </c>
      <c r="B685" s="27">
        <f>IFERROR('Price Data'!B685/'Price Data'!B684-1,0)</f>
        <v>8.5081542099576524E-3</v>
      </c>
      <c r="C685" s="27">
        <f>IFERROR('Price Data'!C685/'Price Data'!C684-1,0)</f>
        <v>8.5996579396601103E-3</v>
      </c>
      <c r="D685" s="27">
        <f>IFERROR('Price Data'!D685/'Price Data'!D684-1,0)</f>
        <v>2.9808033015093605E-2</v>
      </c>
      <c r="E685" s="27">
        <f>IFERROR('Price Data'!E685/'Price Data'!E684-1,0)</f>
        <v>-1.3184345313428381E-3</v>
      </c>
      <c r="F685" s="27">
        <f>IFERROR('Price Data'!F685/'Price Data'!F684-1,0)</f>
        <v>2.0323525236064288E-2</v>
      </c>
      <c r="G685" s="27">
        <f>B685*Portfolio!$D$5+C685*Portfolio!$D$6+D685*Portfolio!$D$7+E685*Portfolio!$D$8+F685*Portfolio!$D$9</f>
        <v>1.3089323246131379E-2</v>
      </c>
      <c r="H685" s="27">
        <f>IFERROR('Price Data'!G685/'Price Data'!G684-1,0)</f>
        <v>7.3671787912872322E-3</v>
      </c>
    </row>
    <row r="686" spans="1:8" ht="15">
      <c r="A686" s="25">
        <f>'Price Data'!A686</f>
        <v>45937</v>
      </c>
      <c r="B686" s="27">
        <f>IFERROR('Price Data'!B686/'Price Data'!B685-1,0)</f>
        <v>7.1272618300131096E-3</v>
      </c>
      <c r="C686" s="27">
        <f>IFERROR('Price Data'!C686/'Price Data'!C685-1,0)</f>
        <v>9.2968492513054724E-3</v>
      </c>
      <c r="D686" s="27">
        <f>IFERROR('Price Data'!D686/'Price Data'!D685-1,0)</f>
        <v>-4.9190825351287382E-3</v>
      </c>
      <c r="E686" s="27">
        <f>IFERROR('Price Data'!E686/'Price Data'!E685-1,0)</f>
        <v>9.1682556668370996E-3</v>
      </c>
      <c r="F686" s="27">
        <f>IFERROR('Price Data'!F686/'Price Data'!F685-1,0)</f>
        <v>-1.1856395619015192E-2</v>
      </c>
      <c r="G686" s="27">
        <f>B686*Portfolio!$D$5+C686*Portfolio!$D$6+D686*Portfolio!$D$7+E686*Portfolio!$D$8+F686*Portfolio!$D$9</f>
        <v>2.7189902704771837E-3</v>
      </c>
      <c r="H686" s="27">
        <f>IFERROR('Price Data'!G686/'Price Data'!G685-1,0)</f>
        <v>1.2222193924698033E-3</v>
      </c>
    </row>
    <row r="687" spans="1:8" ht="15">
      <c r="A687" s="25">
        <f>'Price Data'!A687</f>
        <v>45938</v>
      </c>
      <c r="B687" s="27">
        <f>IFERROR('Price Data'!B687/'Price Data'!B686-1,0)</f>
        <v>-1.2565010212474692E-2</v>
      </c>
      <c r="C687" s="27">
        <f>IFERROR('Price Data'!C687/'Price Data'!C686-1,0)</f>
        <v>-3.8676704279507756E-3</v>
      </c>
      <c r="D687" s="27">
        <f>IFERROR('Price Data'!D687/'Price Data'!D686-1,0)</f>
        <v>1.7991120266908966E-2</v>
      </c>
      <c r="E687" s="27">
        <f>IFERROR('Price Data'!E687/'Price Data'!E686-1,0)</f>
        <v>-4.0700454150528476E-3</v>
      </c>
      <c r="F687" s="27">
        <f>IFERROR('Price Data'!F687/'Price Data'!F686-1,0)</f>
        <v>2.5025734412872147E-2</v>
      </c>
      <c r="G687" s="27">
        <f>B687*Portfolio!$D$5+C687*Portfolio!$D$6+D687*Portfolio!$D$7+E687*Portfolio!$D$8+F687*Portfolio!$D$9</f>
        <v>2.6334072429483216E-3</v>
      </c>
      <c r="H687" s="27">
        <f>IFERROR('Price Data'!G687/'Price Data'!G686-1,0)</f>
        <v>-2.4752925801897474E-3</v>
      </c>
    </row>
    <row r="688" spans="1:8" ht="15">
      <c r="A688" s="25">
        <f>'Price Data'!A688</f>
        <v>45939</v>
      </c>
      <c r="B688" s="27">
        <f>IFERROR('Price Data'!B688/'Price Data'!B687-1,0)</f>
        <v>7.605702038898432E-3</v>
      </c>
      <c r="C688" s="27">
        <f>IFERROR('Price Data'!C688/'Price Data'!C687-1,0)</f>
        <v>-1.6348924815232646E-3</v>
      </c>
      <c r="D688" s="27">
        <f>IFERROR('Price Data'!D688/'Price Data'!D687-1,0)</f>
        <v>1.1396713979770823E-2</v>
      </c>
      <c r="E688" s="27">
        <f>IFERROR('Price Data'!E688/'Price Data'!E687-1,0)</f>
        <v>4.3055550853958735E-3</v>
      </c>
      <c r="F688" s="27">
        <f>IFERROR('Price Data'!F688/'Price Data'!F687-1,0)</f>
        <v>9.5652663678862382E-3</v>
      </c>
      <c r="G688" s="27">
        <f>B688*Portfolio!$D$5+C688*Portfolio!$D$6+D688*Portfolio!$D$7+E688*Portfolio!$D$8+F688*Portfolio!$D$9</f>
        <v>5.8526684032902737E-3</v>
      </c>
      <c r="H688" s="27">
        <f>IFERROR('Price Data'!G688/'Price Data'!G687-1,0)</f>
        <v>5.4160175719368819E-3</v>
      </c>
    </row>
    <row r="689" spans="1:8" ht="15">
      <c r="A689" s="25">
        <f>'Price Data'!A689</f>
        <v>45940</v>
      </c>
      <c r="B689" s="27">
        <f>IFERROR('Price Data'!B689/'Price Data'!B688-1,0)</f>
        <v>2.8305316105254885E-3</v>
      </c>
      <c r="C689" s="27">
        <f>IFERROR('Price Data'!C689/'Price Data'!C688-1,0)</f>
        <v>3.889109053228923E-3</v>
      </c>
      <c r="D689" s="27">
        <f>IFERROR('Price Data'!D689/'Price Data'!D688-1,0)</f>
        <v>-1.0908992993412303E-2</v>
      </c>
      <c r="E689" s="27">
        <f>IFERROR('Price Data'!E689/'Price Data'!E688-1,0)</f>
        <v>2.9792892034028462E-3</v>
      </c>
      <c r="F689" s="27">
        <f>IFERROR('Price Data'!F689/'Price Data'!F688-1,0)</f>
        <v>3.7102906159411919E-3</v>
      </c>
      <c r="G689" s="27">
        <f>B689*Portfolio!$D$5+C689*Portfolio!$D$6+D689*Portfolio!$D$7+E689*Portfolio!$D$8+F689*Portfolio!$D$9</f>
        <v>5.0154854015774784E-4</v>
      </c>
      <c r="H689" s="27">
        <f>IFERROR('Price Data'!G689/'Price Data'!G688-1,0)</f>
        <v>4.1120501676790155E-3</v>
      </c>
    </row>
    <row r="690" spans="1:8" ht="15">
      <c r="A690" s="25">
        <f>'Price Data'!A690</f>
        <v>45943</v>
      </c>
      <c r="B690" s="27">
        <f>IFERROR('Price Data'!B690/'Price Data'!B689-1,0)</f>
        <v>-4.8490284679943985E-3</v>
      </c>
      <c r="C690" s="27">
        <f>IFERROR('Price Data'!C690/'Price Data'!C689-1,0)</f>
        <v>-3.9759426940012554E-3</v>
      </c>
      <c r="D690" s="27">
        <f>IFERROR('Price Data'!D690/'Price Data'!D689-1,0)</f>
        <v>-6.9675380452546287E-3</v>
      </c>
      <c r="E690" s="27">
        <f>IFERROR('Price Data'!E690/'Price Data'!E689-1,0)</f>
        <v>-6.5204983135846994E-4</v>
      </c>
      <c r="F690" s="27">
        <f>IFERROR('Price Data'!F690/'Price Data'!F689-1,0)</f>
        <v>-1.4324417147475232E-2</v>
      </c>
      <c r="G690" s="27">
        <f>B690*Portfolio!$D$5+C690*Portfolio!$D$6+D690*Portfolio!$D$7+E690*Portfolio!$D$8+F690*Portfolio!$D$9</f>
        <v>-5.8462204463748946E-3</v>
      </c>
      <c r="H690" s="27">
        <f>IFERROR('Price Data'!G690/'Price Data'!G689-1,0)</f>
        <v>-2.2938183927065925E-3</v>
      </c>
    </row>
    <row r="691" spans="1:8" ht="15">
      <c r="A691" s="25">
        <f>'Price Data'!A691</f>
        <v>45944</v>
      </c>
      <c r="B691" s="27">
        <f>IFERROR('Price Data'!B691/'Price Data'!B690-1,0)</f>
        <v>6.545571950453688E-4</v>
      </c>
      <c r="C691" s="27">
        <f>IFERROR('Price Data'!C691/'Price Data'!C690-1,0)</f>
        <v>1.5355572961639474E-4</v>
      </c>
      <c r="D691" s="27">
        <f>IFERROR('Price Data'!D691/'Price Data'!D690-1,0)</f>
        <v>-1.5595915126104365E-2</v>
      </c>
      <c r="E691" s="27">
        <f>IFERROR('Price Data'!E691/'Price Data'!E690-1,0)</f>
        <v>3.4072430685010424E-3</v>
      </c>
      <c r="F691" s="27">
        <f>IFERROR('Price Data'!F691/'Price Data'!F690-1,0)</f>
        <v>-2.2099322892892292E-3</v>
      </c>
      <c r="G691" s="27">
        <f>B691*Portfolio!$D$5+C691*Portfolio!$D$6+D691*Portfolio!$D$7+E691*Portfolio!$D$8+F691*Portfolio!$D$9</f>
        <v>-2.7375581771736605E-3</v>
      </c>
      <c r="H691" s="27">
        <f>IFERROR('Price Data'!G691/'Price Data'!G690-1,0)</f>
        <v>-3.2444791324643951E-3</v>
      </c>
    </row>
    <row r="692" spans="1:8" ht="15">
      <c r="A692" s="25">
        <f>'Price Data'!A692</f>
        <v>45945</v>
      </c>
      <c r="B692" s="27">
        <f>IFERROR('Price Data'!B692/'Price Data'!B691-1,0)</f>
        <v>-1.162886150263942E-3</v>
      </c>
      <c r="C692" s="27">
        <f>IFERROR('Price Data'!C692/'Price Data'!C691-1,0)</f>
        <v>1.1257119752032807E-3</v>
      </c>
      <c r="D692" s="27">
        <f>IFERROR('Price Data'!D692/'Price Data'!D691-1,0)</f>
        <v>6.9507529775945098E-3</v>
      </c>
      <c r="E692" s="27">
        <f>IFERROR('Price Data'!E692/'Price Data'!E691-1,0)</f>
        <v>1.0331658897740681E-2</v>
      </c>
      <c r="F692" s="27">
        <f>IFERROR('Price Data'!F692/'Price Data'!F691-1,0)</f>
        <v>-1.0403337988314054E-2</v>
      </c>
      <c r="G692" s="27">
        <f>B692*Portfolio!$D$5+C692*Portfolio!$D$6+D692*Portfolio!$D$7+E692*Portfolio!$D$8+F692*Portfolio!$D$9</f>
        <v>1.3701051881677307E-3</v>
      </c>
      <c r="H692" s="27">
        <f>IFERROR('Price Data'!G692/'Price Data'!G691-1,0)</f>
        <v>7.0808208725219313E-3</v>
      </c>
    </row>
    <row r="693" spans="1:8" ht="15">
      <c r="A693" s="25">
        <f>'Price Data'!A693</f>
        <v>45946</v>
      </c>
      <c r="B693" s="27">
        <f>IFERROR('Price Data'!B693/'Price Data'!B692-1,0)</f>
        <v>1.7463421964418302E-2</v>
      </c>
      <c r="C693" s="27">
        <f>IFERROR('Price Data'!C693/'Price Data'!C692-1,0)</f>
        <v>1.6457924155284243E-2</v>
      </c>
      <c r="D693" s="27">
        <f>IFERROR('Price Data'!D693/'Price Data'!D692-1,0)</f>
        <v>3.0303824687116787E-4</v>
      </c>
      <c r="E693" s="27">
        <f>IFERROR('Price Data'!E693/'Price Data'!E692-1,0)</f>
        <v>1.3515463446864384E-2</v>
      </c>
      <c r="F693" s="27">
        <f>IFERROR('Price Data'!F693/'Price Data'!F692-1,0)</f>
        <v>-1.9669885323125857E-3</v>
      </c>
      <c r="G693" s="27">
        <f>B693*Portfolio!$D$5+C693*Portfolio!$D$6+D693*Portfolio!$D$7+E693*Portfolio!$D$8+F693*Portfolio!$D$9</f>
        <v>1.0273215416482639E-2</v>
      </c>
      <c r="H693" s="27">
        <f>IFERROR('Price Data'!G693/'Price Data'!G692-1,0)</f>
        <v>1.0336228211479837E-2</v>
      </c>
    </row>
    <row r="694" spans="1:8" ht="15">
      <c r="A694" s="25">
        <f>'Price Data'!A694</f>
        <v>45947</v>
      </c>
      <c r="B694" s="27">
        <f>IFERROR('Price Data'!B694/'Price Data'!B693-1,0)</f>
        <v>1.3230393728203227E-2</v>
      </c>
      <c r="C694" s="27">
        <f>IFERROR('Price Data'!C694/'Price Data'!C693-1,0)</f>
        <v>8.2465996807885578E-3</v>
      </c>
      <c r="D694" s="27">
        <f>IFERROR('Price Data'!D694/'Price Data'!D693-1,0)</f>
        <v>-2.8613681627883691E-3</v>
      </c>
      <c r="E694" s="27">
        <f>IFERROR('Price Data'!E694/'Price Data'!E693-1,0)</f>
        <v>1.3617389467932561E-2</v>
      </c>
      <c r="F694" s="27">
        <f>IFERROR('Price Data'!F694/'Price Data'!F693-1,0)</f>
        <v>-2.0659148741809408E-2</v>
      </c>
      <c r="G694" s="27">
        <f>B694*Portfolio!$D$5+C694*Portfolio!$D$6+D694*Portfolio!$D$7+E694*Portfolio!$D$8+F694*Portfolio!$D$9</f>
        <v>3.7407108286087458E-3</v>
      </c>
      <c r="H694" s="27">
        <f>IFERROR('Price Data'!G694/'Price Data'!G693-1,0)</f>
        <v>4.8679837376106594E-3</v>
      </c>
    </row>
    <row r="695" spans="1:8" ht="15">
      <c r="A695" s="25">
        <f>'Price Data'!A695</f>
        <v>45950</v>
      </c>
      <c r="B695" s="27">
        <f>IFERROR('Price Data'!B695/'Price Data'!B694-1,0)</f>
        <v>3.5290716445324666E-2</v>
      </c>
      <c r="C695" s="27">
        <f>IFERROR('Price Data'!C695/'Price Data'!C694-1,0)</f>
        <v>3.9898441231578374E-4</v>
      </c>
      <c r="D695" s="27">
        <f>IFERROR('Price Data'!D695/'Price Data'!D694-1,0)</f>
        <v>1.7892129240779431E-2</v>
      </c>
      <c r="E695" s="27">
        <f>IFERROR('Price Data'!E695/'Price Data'!E694-1,0)</f>
        <v>-3.222882329434007E-2</v>
      </c>
      <c r="F695" s="27">
        <f>IFERROR('Price Data'!F695/'Price Data'!F694-1,0)</f>
        <v>1.3739492985189727E-2</v>
      </c>
      <c r="G695" s="27">
        <f>B695*Portfolio!$D$5+C695*Portfolio!$D$6+D695*Portfolio!$D$7+E695*Portfolio!$D$8+F695*Portfolio!$D$9</f>
        <v>9.7274515161934472E-3</v>
      </c>
      <c r="H695" s="27">
        <f>IFERROR('Price Data'!G695/'Price Data'!G694-1,0)</f>
        <v>5.184813729964155E-3</v>
      </c>
    </row>
    <row r="696" spans="1:8" ht="15">
      <c r="A696" s="25">
        <f>'Price Data'!A696</f>
        <v>45951</v>
      </c>
      <c r="B696" s="27">
        <f>IFERROR('Price Data'!B696/'Price Data'!B695-1,0)</f>
        <v>-1.0908202546936474E-3</v>
      </c>
      <c r="C696" s="27">
        <f>IFERROR('Price Data'!C696/'Price Data'!C695-1,0)</f>
        <v>4.7360425532414485E-3</v>
      </c>
      <c r="D696" s="27">
        <f>IFERROR('Price Data'!D696/'Price Data'!D695-1,0)</f>
        <v>-2.8189715717211739E-3</v>
      </c>
      <c r="E696" s="27">
        <f>IFERROR('Price Data'!E696/'Price Data'!E695-1,0)</f>
        <v>-5.9699694573995821E-3</v>
      </c>
      <c r="F696" s="27">
        <f>IFERROR('Price Data'!F696/'Price Data'!F695-1,0)</f>
        <v>7.8718427732407115E-3</v>
      </c>
      <c r="G696" s="27">
        <f>B696*Portfolio!$D$5+C696*Portfolio!$D$6+D696*Portfolio!$D$7+E696*Portfolio!$D$8+F696*Portfolio!$D$9</f>
        <v>6.3279225766888479E-4</v>
      </c>
      <c r="H696" s="27">
        <f>IFERROR('Price Data'!G696/'Price Data'!G695-1,0)</f>
        <v>9.8475682590271063E-4</v>
      </c>
    </row>
    <row r="697" spans="1:8" ht="15">
      <c r="A697" s="25">
        <f>'Price Data'!A697</f>
        <v>45953</v>
      </c>
      <c r="B697" s="27">
        <f>IFERROR('Price Data'!B697/'Price Data'!B696-1,0)</f>
        <v>-1.14659946029676E-2</v>
      </c>
      <c r="C697" s="27">
        <f>IFERROR('Price Data'!C697/'Price Data'!C696-1,0)</f>
        <v>1.0915842847574186E-3</v>
      </c>
      <c r="D697" s="27">
        <f>IFERROR('Price Data'!D697/'Price Data'!D696-1,0)</f>
        <v>2.2117274294942924E-2</v>
      </c>
      <c r="E697" s="27">
        <f>IFERROR('Price Data'!E697/'Price Data'!E696-1,0)</f>
        <v>-1.3241714057977583E-2</v>
      </c>
      <c r="F697" s="27">
        <f>IFERROR('Price Data'!F697/'Price Data'!F696-1,0)</f>
        <v>3.8101028516390967E-2</v>
      </c>
      <c r="G697" s="27">
        <f>B697*Portfolio!$D$5+C697*Portfolio!$D$6+D697*Portfolio!$D$7+E697*Portfolio!$D$8+F697*Portfolio!$D$9</f>
        <v>5.5587494481980464E-3</v>
      </c>
      <c r="H697" s="27">
        <f>IFERROR('Price Data'!G697/'Price Data'!G696-1,0)</f>
        <v>8.8140763683774992E-4</v>
      </c>
    </row>
    <row r="698" spans="1:8" ht="15">
      <c r="A698" s="25">
        <f>'Price Data'!A698</f>
        <v>45954</v>
      </c>
      <c r="B698" s="27">
        <f>IFERROR('Price Data'!B698/'Price Data'!B697-1,0)</f>
        <v>2.209355342217556E-3</v>
      </c>
      <c r="C698" s="27">
        <f>IFERROR('Price Data'!C698/'Price Data'!C697-1,0)</f>
        <v>-1.392744811264468E-2</v>
      </c>
      <c r="D698" s="27">
        <f>IFERROR('Price Data'!D698/'Price Data'!D697-1,0)</f>
        <v>-3.2539765108002827E-3</v>
      </c>
      <c r="E698" s="27">
        <f>IFERROR('Price Data'!E698/'Price Data'!E697-1,0)</f>
        <v>1.026618794550016E-2</v>
      </c>
      <c r="F698" s="27">
        <f>IFERROR('Price Data'!F698/'Price Data'!F697-1,0)</f>
        <v>-2.0280904023657342E-3</v>
      </c>
      <c r="G698" s="27">
        <f>B698*Portfolio!$D$5+C698*Portfolio!$D$6+D698*Portfolio!$D$7+E698*Portfolio!$D$8+F698*Portfolio!$D$9</f>
        <v>-2.3446038632966735E-3</v>
      </c>
      <c r="H698" s="27">
        <f>IFERROR('Price Data'!G698/'Price Data'!G697-1,0)</f>
        <v>-3.7174505259611745E-3</v>
      </c>
    </row>
    <row r="699" spans="1:8" ht="15">
      <c r="A699" s="25">
        <f>'Price Data'!A699</f>
        <v>45957</v>
      </c>
      <c r="B699" s="27">
        <f>IFERROR('Price Data'!B699/'Price Data'!B698-1,0)</f>
        <v>2.2389029988648002E-2</v>
      </c>
      <c r="C699" s="27">
        <f>IFERROR('Price Data'!C699/'Price Data'!C698-1,0)</f>
        <v>8.2432836165338141E-3</v>
      </c>
      <c r="D699" s="27">
        <f>IFERROR('Price Data'!D699/'Price Data'!D698-1,0)</f>
        <v>7.0840598782695441E-3</v>
      </c>
      <c r="E699" s="27">
        <f>IFERROR('Price Data'!E699/'Price Data'!E698-1,0)</f>
        <v>-7.2567024374525779E-5</v>
      </c>
      <c r="F699" s="27">
        <f>IFERROR('Price Data'!F699/'Price Data'!F698-1,0)</f>
        <v>1.3976956201109392E-3</v>
      </c>
      <c r="G699" s="27">
        <f>B699*Portfolio!$D$5+C699*Portfolio!$D$6+D699*Portfolio!$D$7+E699*Portfolio!$D$8+F699*Portfolio!$D$9</f>
        <v>9.2736596663098251E-3</v>
      </c>
      <c r="H699" s="27">
        <f>IFERROR('Price Data'!G699/'Price Data'!G698-1,0)</f>
        <v>6.625291500029773E-3</v>
      </c>
    </row>
    <row r="700" spans="1:8" ht="15">
      <c r="A700" s="25">
        <f>'Price Data'!A700</f>
        <v>45958</v>
      </c>
      <c r="B700" s="27">
        <f>IFERROR('Price Data'!B700/'Price Data'!B699-1,0)</f>
        <v>1.8867452120525652E-3</v>
      </c>
      <c r="C700" s="27">
        <f>IFERROR('Price Data'!C700/'Price Data'!C699-1,0)</f>
        <v>5.9820699978896386E-4</v>
      </c>
      <c r="D700" s="27">
        <f>IFERROR('Price Data'!D700/'Price Data'!D699-1,0)</f>
        <v>-8.7522770098450442E-3</v>
      </c>
      <c r="E700" s="27">
        <f>IFERROR('Price Data'!E700/'Price Data'!E699-1,0)</f>
        <v>-1.0525551870623873E-2</v>
      </c>
      <c r="F700" s="27">
        <f>IFERROR('Price Data'!F700/'Price Data'!F699-1,0)</f>
        <v>-2.8580523068583163E-3</v>
      </c>
      <c r="G700" s="27">
        <f>B700*Portfolio!$D$5+C700*Portfolio!$D$6+D700*Portfolio!$D$7+E700*Portfolio!$D$8+F700*Portfolio!$D$9</f>
        <v>-3.1367579756309549E-3</v>
      </c>
      <c r="H700" s="27">
        <f>IFERROR('Price Data'!G700/'Price Data'!G699-1,0)</f>
        <v>-1.149638146805021E-3</v>
      </c>
    </row>
    <row r="701" spans="1:8" ht="15">
      <c r="A701" s="25">
        <f>'Price Data'!A701</f>
        <v>45959</v>
      </c>
      <c r="B701" s="27">
        <f>IFERROR('Price Data'!B701/'Price Data'!B700-1,0)</f>
        <v>1.163483310742941E-2</v>
      </c>
      <c r="C701" s="27">
        <f>IFERROR('Price Data'!C701/'Price Data'!C700-1,0)</f>
        <v>4.2847931790519489E-3</v>
      </c>
      <c r="D701" s="27">
        <f>IFERROR('Price Data'!D701/'Price Data'!D700-1,0)</f>
        <v>-9.8047584222826778E-5</v>
      </c>
      <c r="E701" s="27">
        <f>IFERROR('Price Data'!E701/'Price Data'!E700-1,0)</f>
        <v>5.3554757236256023E-3</v>
      </c>
      <c r="F701" s="27">
        <f>IFERROR('Price Data'!F701/'Price Data'!F700-1,0)</f>
        <v>6.799131223506949E-3</v>
      </c>
      <c r="G701" s="27">
        <f>B701*Portfolio!$D$5+C701*Portfolio!$D$6+D701*Portfolio!$D$7+E701*Portfolio!$D$8+F701*Portfolio!$D$9</f>
        <v>5.7834880968456563E-3</v>
      </c>
      <c r="H701" s="27">
        <f>IFERROR('Price Data'!G701/'Price Data'!G700-1,0)</f>
        <v>4.5381040946781415E-3</v>
      </c>
    </row>
    <row r="702" spans="1:8" ht="15">
      <c r="A702" s="25">
        <f>'Price Data'!A702</f>
        <v>45960</v>
      </c>
      <c r="B702" s="27">
        <f>IFERROR('Price Data'!B702/'Price Data'!B701-1,0)</f>
        <v>-1.0437403705000348E-2</v>
      </c>
      <c r="C702" s="27">
        <f>IFERROR('Price Data'!C702/'Price Data'!C701-1,0)</f>
        <v>-9.6243844168917292E-3</v>
      </c>
      <c r="D702" s="27">
        <f>IFERROR('Price Data'!D702/'Price Data'!D701-1,0)</f>
        <v>-7.2933955427977315E-3</v>
      </c>
      <c r="E702" s="27">
        <f>IFERROR('Price Data'!E702/'Price Data'!E701-1,0)</f>
        <v>-5.8377115130456847E-3</v>
      </c>
      <c r="F702" s="27">
        <f>IFERROR('Price Data'!F702/'Price Data'!F701-1,0)</f>
        <v>-1.0990478172126061E-2</v>
      </c>
      <c r="G702" s="27">
        <f>B702*Portfolio!$D$5+C702*Portfolio!$D$6+D702*Portfolio!$D$7+E702*Portfolio!$D$8+F702*Portfolio!$D$9</f>
        <v>-8.9983545918083281E-3</v>
      </c>
      <c r="H702" s="27">
        <f>IFERROR('Price Data'!G702/'Price Data'!G701-1,0)</f>
        <v>-6.7571756478100875E-3</v>
      </c>
    </row>
    <row r="703" spans="1:8" ht="15">
      <c r="A703" s="25">
        <f>'Price Data'!A703</f>
        <v>45961</v>
      </c>
      <c r="B703" s="27">
        <f>IFERROR('Price Data'!B703/'Price Data'!B702-1,0)</f>
        <v>-1.4107318108448341E-3</v>
      </c>
      <c r="C703" s="27">
        <f>IFERROR('Price Data'!C703/'Price Data'!C702-1,0)</f>
        <v>-1.0870166544315829E-2</v>
      </c>
      <c r="D703" s="27">
        <f>IFERROR('Price Data'!D703/'Price Data'!D702-1,0)</f>
        <v>7.4787111396172889E-3</v>
      </c>
      <c r="E703" s="27">
        <f>IFERROR('Price Data'!E703/'Price Data'!E702-1,0)</f>
        <v>-1.2551361772979885E-2</v>
      </c>
      <c r="F703" s="27">
        <f>IFERROR('Price Data'!F703/'Price Data'!F702-1,0)</f>
        <v>-7.698438797820617E-3</v>
      </c>
      <c r="G703" s="27">
        <f>B703*Portfolio!$D$5+C703*Portfolio!$D$6+D703*Portfolio!$D$7+E703*Portfolio!$D$8+F703*Portfolio!$D$9</f>
        <v>-4.6119524464867832E-3</v>
      </c>
      <c r="H703" s="27">
        <f>IFERROR('Price Data'!G703/'Price Data'!G702-1,0)</f>
        <v>-6.0186608373972161E-3</v>
      </c>
    </row>
    <row r="704" spans="1:8" ht="15">
      <c r="A704" s="25">
        <f>'Price Data'!A704</f>
        <v>45964</v>
      </c>
      <c r="B704" s="27">
        <f>IFERROR('Price Data'!B704/'Price Data'!B703-1,0)</f>
        <v>-1.1437600722541408E-3</v>
      </c>
      <c r="C704" s="27">
        <f>IFERROR('Price Data'!C704/'Price Data'!C703-1,0)</f>
        <v>5.4188673411579291E-3</v>
      </c>
      <c r="D704" s="27">
        <f>IFERROR('Price Data'!D704/'Price Data'!D703-1,0)</f>
        <v>-1.3472862840612554E-2</v>
      </c>
      <c r="E704" s="27">
        <f>IFERROR('Price Data'!E704/'Price Data'!E703-1,0)</f>
        <v>8.1764331079581254E-4</v>
      </c>
      <c r="F704" s="27">
        <f>IFERROR('Price Data'!F704/'Price Data'!F703-1,0)</f>
        <v>2.1587102122944124E-3</v>
      </c>
      <c r="G704" s="27">
        <f>B704*Portfolio!$D$5+C704*Portfolio!$D$6+D704*Portfolio!$D$7+E704*Portfolio!$D$8+F704*Portfolio!$D$9</f>
        <v>-1.1793427224330302E-3</v>
      </c>
      <c r="H704" s="27">
        <f>IFERROR('Price Data'!G704/'Price Data'!G703-1,0)</f>
        <v>1.6036793506921665E-3</v>
      </c>
    </row>
    <row r="705" spans="1:8" ht="15">
      <c r="A705" s="25">
        <f>'Price Data'!A705</f>
        <v>45965</v>
      </c>
      <c r="B705" s="27">
        <f>IFERROR('Price Data'!B705/'Price Data'!B704-1,0)</f>
        <v>-7.8130381840249008E-3</v>
      </c>
      <c r="C705" s="27">
        <f>IFERROR('Price Data'!C705/'Price Data'!C704-1,0)</f>
        <v>-7.4547951979890836E-3</v>
      </c>
      <c r="D705" s="27">
        <f>IFERROR('Price Data'!D705/'Price Data'!D704-1,0)</f>
        <v>-8.817224488459674E-3</v>
      </c>
      <c r="E705" s="27">
        <f>IFERROR('Price Data'!E705/'Price Data'!E704-1,0)</f>
        <v>-7.0558525161452668E-3</v>
      </c>
      <c r="F705" s="27">
        <f>IFERROR('Price Data'!F705/'Price Data'!F704-1,0)</f>
        <v>-1.1847834929373469E-2</v>
      </c>
      <c r="G705" s="27">
        <f>B705*Portfolio!$D$5+C705*Portfolio!$D$6+D705*Portfolio!$D$7+E705*Portfolio!$D$8+F705*Portfolio!$D$9</f>
        <v>-8.4159563600232409E-3</v>
      </c>
      <c r="H705" s="27">
        <f>IFERROR('Price Data'!G705/'Price Data'!G704-1,0)</f>
        <v>-6.431586779760301E-3</v>
      </c>
    </row>
    <row r="706" spans="1:8" ht="15">
      <c r="A706" s="25">
        <f>'Price Data'!A706</f>
        <v>45967</v>
      </c>
      <c r="B706" s="27">
        <f>IFERROR('Price Data'!B706/'Price Data'!B705-1,0)</f>
        <v>1.5613345081491259E-2</v>
      </c>
      <c r="C706" s="27">
        <f>IFERROR('Price Data'!C706/'Price Data'!C705-1,0)</f>
        <v>-6.0895376139147306E-4</v>
      </c>
      <c r="D706" s="27">
        <f>IFERROR('Price Data'!D706/'Price Data'!D705-1,0)</f>
        <v>6.9225817432378989E-3</v>
      </c>
      <c r="E706" s="27">
        <f>IFERROR('Price Data'!E706/'Price Data'!E705-1,0)</f>
        <v>-1.2341984964232222E-2</v>
      </c>
      <c r="F706" s="27">
        <f>IFERROR('Price Data'!F706/'Price Data'!F705-1,0)</f>
        <v>-8.1756388561271542E-4</v>
      </c>
      <c r="G706" s="27">
        <f>B706*Portfolio!$D$5+C706*Portfolio!$D$6+D706*Portfolio!$D$7+E706*Portfolio!$D$8+F706*Portfolio!$D$9</f>
        <v>3.1616818511957861E-3</v>
      </c>
      <c r="H706" s="27">
        <f>IFERROR('Price Data'!G706/'Price Data'!G705-1,0)</f>
        <v>-3.4359080045569534E-3</v>
      </c>
    </row>
    <row r="707" spans="1:8" ht="15">
      <c r="A707" s="25">
        <f>'Price Data'!A707</f>
        <v>45968</v>
      </c>
      <c r="B707" s="27">
        <f>IFERROR('Price Data'!B707/'Price Data'!B706-1,0)</f>
        <v>-1.2098138921255441E-2</v>
      </c>
      <c r="C707" s="27">
        <f>IFERROR('Price Data'!C707/'Price Data'!C706-1,0)</f>
        <v>-2.3867007140820906E-3</v>
      </c>
      <c r="D707" s="27">
        <f>IFERROR('Price Data'!D707/'Price Data'!D706-1,0)</f>
        <v>-6.3435432682318327E-3</v>
      </c>
      <c r="E707" s="27">
        <f>IFERROR('Price Data'!E707/'Price Data'!E706-1,0)</f>
        <v>1.7116006640462089E-2</v>
      </c>
      <c r="F707" s="27">
        <f>IFERROR('Price Data'!F707/'Price Data'!F706-1,0)</f>
        <v>6.8863183526914895E-3</v>
      </c>
      <c r="G707" s="27">
        <f>B707*Portfolio!$D$5+C707*Portfolio!$D$6+D707*Portfolio!$D$7+E707*Portfolio!$D$8+F707*Portfolio!$D$9</f>
        <v>-1.2895698135077128E-3</v>
      </c>
      <c r="H707" s="27">
        <f>IFERROR('Price Data'!G707/'Price Data'!G706-1,0)</f>
        <v>-6.8203224784446626E-4</v>
      </c>
    </row>
    <row r="708" spans="1:8" ht="15">
      <c r="A708" s="25">
        <f>'Price Data'!A708</f>
        <v>45971</v>
      </c>
      <c r="B708" s="27">
        <f>IFERROR('Price Data'!B708/'Price Data'!B707-1,0)</f>
        <v>7.645503023053557E-3</v>
      </c>
      <c r="C708" s="27">
        <f>IFERROR('Price Data'!C708/'Price Data'!C707-1,0)</f>
        <v>2.2396834592501857E-3</v>
      </c>
      <c r="D708" s="27">
        <f>IFERROR('Price Data'!D708/'Price Data'!D707-1,0)</f>
        <v>1.1163734121479862E-2</v>
      </c>
      <c r="E708" s="27">
        <f>IFERROR('Price Data'!E708/'Price Data'!E707-1,0)</f>
        <v>3.7230081906181045E-3</v>
      </c>
      <c r="F708" s="27">
        <f>IFERROR('Price Data'!F708/'Price Data'!F707-1,0)</f>
        <v>2.4850994777016355E-2</v>
      </c>
      <c r="G708" s="27">
        <f>B708*Portfolio!$D$5+C708*Portfolio!$D$6+D708*Portfolio!$D$7+E708*Portfolio!$D$8+F708*Portfolio!$D$9</f>
        <v>8.9901438900170765E-3</v>
      </c>
      <c r="H708" s="27">
        <f>IFERROR('Price Data'!G708/'Price Data'!G707-1,0)</f>
        <v>3.2185728871263475E-3</v>
      </c>
    </row>
    <row r="709" spans="1:8" ht="15">
      <c r="A709" s="25">
        <f>'Price Data'!A709</f>
        <v>45972</v>
      </c>
      <c r="B709" s="27">
        <f>IFERROR('Price Data'!B709/'Price Data'!B708-1,0)</f>
        <v>2.7530023395538894E-3</v>
      </c>
      <c r="C709" s="27">
        <f>IFERROR('Price Data'!C709/'Price Data'!C708-1,0)</f>
        <v>7.3133270820231466E-3</v>
      </c>
      <c r="D709" s="27">
        <f>IFERROR('Price Data'!D709/'Price Data'!D708-1,0)</f>
        <v>7.2061906979625778E-3</v>
      </c>
      <c r="E709" s="27">
        <f>IFERROR('Price Data'!E709/'Price Data'!E708-1,0)</f>
        <v>7.6409857775407986E-3</v>
      </c>
      <c r="F709" s="27">
        <f>IFERROR('Price Data'!F709/'Price Data'!F708-1,0)</f>
        <v>1.1100136396105631E-2</v>
      </c>
      <c r="G709" s="27">
        <f>B709*Portfolio!$D$5+C709*Portfolio!$D$6+D709*Portfolio!$D$7+E709*Portfolio!$D$8+F709*Portfolio!$D$9</f>
        <v>6.7689888210337385E-3</v>
      </c>
      <c r="H709" s="27">
        <f>IFERROR('Price Data'!G709/'Price Data'!G708-1,0)</f>
        <v>4.7156471705849246E-3</v>
      </c>
    </row>
    <row r="710" spans="1:8" ht="15">
      <c r="A710" s="25">
        <f>'Price Data'!A710</f>
        <v>45973</v>
      </c>
      <c r="B710" s="27">
        <f>IFERROR('Price Data'!B710/'Price Data'!B709-1,0)</f>
        <v>1.2119929092929249E-2</v>
      </c>
      <c r="C710" s="27">
        <f>IFERROR('Price Data'!C710/'Price Data'!C709-1,0)</f>
        <v>-2.2183916416598226E-3</v>
      </c>
      <c r="D710" s="27">
        <f>IFERROR('Price Data'!D710/'Price Data'!D709-1,0)</f>
        <v>2.7830601415513634E-2</v>
      </c>
      <c r="E710" s="27">
        <f>IFERROR('Price Data'!E710/'Price Data'!E709-1,0)</f>
        <v>4.4171064151488082E-4</v>
      </c>
      <c r="F710" s="27">
        <f>IFERROR('Price Data'!F710/'Price Data'!F709-1,0)</f>
        <v>1.3984138460696016E-2</v>
      </c>
      <c r="G710" s="27">
        <f>B710*Portfolio!$D$5+C710*Portfolio!$D$6+D710*Portfolio!$D$7+E710*Portfolio!$D$8+F710*Portfolio!$D$9</f>
        <v>1.0205382011251717E-2</v>
      </c>
      <c r="H710" s="27">
        <f>IFERROR('Price Data'!G710/'Price Data'!G709-1,0)</f>
        <v>7.0384090258497345E-3</v>
      </c>
    </row>
    <row r="711" spans="1:8" ht="15">
      <c r="A711" s="25">
        <f>'Price Data'!A711</f>
        <v>45974</v>
      </c>
      <c r="B711" s="27">
        <f>IFERROR('Price Data'!B711/'Price Data'!B710-1,0)</f>
        <v>-3.9690971869799085E-4</v>
      </c>
      <c r="C711" s="27">
        <f>IFERROR('Price Data'!C711/'Price Data'!C710-1,0)</f>
        <v>-2.8802007299384424E-3</v>
      </c>
      <c r="D711" s="27">
        <f>IFERROR('Price Data'!D711/'Price Data'!D710-1,0)</f>
        <v>-8.3338448531757869E-3</v>
      </c>
      <c r="E711" s="27">
        <f>IFERROR('Price Data'!E711/'Price Data'!E710-1,0)</f>
        <v>1.9869011343672582E-2</v>
      </c>
      <c r="F711" s="27">
        <f>IFERROR('Price Data'!F711/'Price Data'!F710-1,0)</f>
        <v>-6.3800992149110058E-3</v>
      </c>
      <c r="G711" s="27">
        <f>B711*Portfolio!$D$5+C711*Portfolio!$D$6+D711*Portfolio!$D$7+E711*Portfolio!$D$8+F711*Portfolio!$D$9</f>
        <v>-4.6270976348002915E-4</v>
      </c>
      <c r="H711" s="27">
        <f>IFERROR('Price Data'!G711/'Price Data'!G710-1,0)</f>
        <v>1.2944949620363744E-4</v>
      </c>
    </row>
    <row r="712" spans="1:8" ht="15">
      <c r="A712" s="25">
        <f>'Price Data'!A712</f>
        <v>45975</v>
      </c>
      <c r="B712" s="27">
        <f>IFERROR('Price Data'!B712/'Price Data'!B711-1,0)</f>
        <v>5.2948261365421967E-3</v>
      </c>
      <c r="C712" s="27">
        <f>IFERROR('Price Data'!C712/'Price Data'!C711-1,0)</f>
        <v>2.9898266032626353E-3</v>
      </c>
      <c r="D712" s="27">
        <f>IFERROR('Price Data'!D712/'Price Data'!D711-1,0)</f>
        <v>9.6619650782114874E-5</v>
      </c>
      <c r="E712" s="27">
        <f>IFERROR('Price Data'!E712/'Price Data'!E711-1,0)</f>
        <v>-9.3080483345228116E-3</v>
      </c>
      <c r="F712" s="27">
        <f>IFERROR('Price Data'!F712/'Price Data'!F711-1,0)</f>
        <v>-2.5295116841517751E-2</v>
      </c>
      <c r="G712" s="27">
        <f>B712*Portfolio!$D$5+C712*Portfolio!$D$6+D712*Portfolio!$D$7+E712*Portfolio!$D$8+F712*Portfolio!$D$9</f>
        <v>-3.0999876612984529E-3</v>
      </c>
      <c r="H712" s="27">
        <f>IFERROR('Price Data'!G712/'Price Data'!G711-1,0)</f>
        <v>1.194026471448284E-3</v>
      </c>
    </row>
    <row r="713" spans="1:8" ht="15">
      <c r="A713" s="25">
        <f>'Price Data'!A713</f>
        <v>45978</v>
      </c>
      <c r="B713" s="27">
        <f>IFERROR('Price Data'!B713/'Price Data'!B712-1,0)</f>
        <v>-3.9497598938376122E-4</v>
      </c>
      <c r="C713" s="27">
        <f>IFERROR('Price Data'!C713/'Price Data'!C712-1,0)</f>
        <v>7.0230325699907059E-3</v>
      </c>
      <c r="D713" s="27">
        <f>IFERROR('Price Data'!D713/'Price Data'!D712-1,0)</f>
        <v>-1.2234873225525078E-3</v>
      </c>
      <c r="E713" s="27">
        <f>IFERROR('Price Data'!E713/'Price Data'!E712-1,0)</f>
        <v>4.3699927166787056E-3</v>
      </c>
      <c r="F713" s="27">
        <f>IFERROR('Price Data'!F713/'Price Data'!F712-1,0)</f>
        <v>3.1940604367786118E-3</v>
      </c>
      <c r="G713" s="27">
        <f>B713*Portfolio!$D$5+C713*Portfolio!$D$6+D713*Portfolio!$D$7+E713*Portfolio!$D$8+F713*Portfolio!$D$9</f>
        <v>2.5469246536598323E-3</v>
      </c>
      <c r="H713" s="27">
        <f>IFERROR('Price Data'!G713/'Price Data'!G712-1,0)</f>
        <v>3.9906690408659795E-3</v>
      </c>
    </row>
    <row r="714" spans="1:8" ht="15">
      <c r="A714" s="25">
        <f>'Price Data'!A714</f>
        <v>45979</v>
      </c>
      <c r="B714" s="27">
        <f>IFERROR('Price Data'!B714/'Price Data'!B713-1,0)</f>
        <v>7.2443569496360993E-4</v>
      </c>
      <c r="C714" s="27">
        <f>IFERROR('Price Data'!C714/'Price Data'!C713-1,0)</f>
        <v>-4.1141661334664903E-3</v>
      </c>
      <c r="D714" s="27">
        <f>IFERROR('Price Data'!D714/'Price Data'!D713-1,0)</f>
        <v>-4.8674577733907043E-3</v>
      </c>
      <c r="E714" s="27">
        <f>IFERROR('Price Data'!E714/'Price Data'!E713-1,0)</f>
        <v>-4.0608960014050233E-3</v>
      </c>
      <c r="F714" s="27">
        <f>IFERROR('Price Data'!F714/'Price Data'!F713-1,0)</f>
        <v>-1.4062095178724365E-2</v>
      </c>
      <c r="G714" s="27">
        <f>B714*Portfolio!$D$5+C714*Portfolio!$D$6+D714*Portfolio!$D$7+E714*Portfolio!$D$8+F714*Portfolio!$D$9</f>
        <v>-4.5393728413232696E-3</v>
      </c>
      <c r="H714" s="27">
        <f>IFERROR('Price Data'!G714/'Price Data'!G713-1,0)</f>
        <v>-3.9748069020186794E-3</v>
      </c>
    </row>
    <row r="715" spans="1:8" ht="15">
      <c r="A715" s="25">
        <f>'Price Data'!A715</f>
        <v>45980</v>
      </c>
      <c r="B715" s="27">
        <f>IFERROR('Price Data'!B715/'Price Data'!B714-1,0)</f>
        <v>-3.290652512906167E-4</v>
      </c>
      <c r="C715" s="27">
        <f>IFERROR('Price Data'!C715/'Price Data'!C714-1,0)</f>
        <v>2.166326784506456E-3</v>
      </c>
      <c r="D715" s="27">
        <f>IFERROR('Price Data'!D715/'Price Data'!D714-1,0)</f>
        <v>1.9630027631913904E-2</v>
      </c>
      <c r="E715" s="27">
        <f>IFERROR('Price Data'!E715/'Price Data'!E714-1,0)</f>
        <v>7.0627282652142576E-3</v>
      </c>
      <c r="F715" s="27">
        <f>IFERROR('Price Data'!F715/'Price Data'!F714-1,0)</f>
        <v>3.6800312383690859E-2</v>
      </c>
      <c r="G715" s="27">
        <f>B715*Portfolio!$D$5+C715*Portfolio!$D$6+D715*Portfolio!$D$7+E715*Portfolio!$D$8+F715*Portfolio!$D$9</f>
        <v>1.0964777007022508E-2</v>
      </c>
      <c r="H715" s="27">
        <f>IFERROR('Price Data'!G715/'Price Data'!G714-1,0)</f>
        <v>5.5036406751542977E-3</v>
      </c>
    </row>
    <row r="716" spans="1:8" ht="15">
      <c r="A716" s="25">
        <f>'Price Data'!A716</f>
        <v>45981</v>
      </c>
      <c r="B716" s="27">
        <f>IFERROR('Price Data'!B716/'Price Data'!B715-1,0)</f>
        <v>1.9882826481121718E-2</v>
      </c>
      <c r="C716" s="27">
        <f>IFERROR('Price Data'!C716/'Price Data'!C715-1,0)</f>
        <v>1.4327410084544301E-2</v>
      </c>
      <c r="D716" s="27">
        <f>IFERROR('Price Data'!D716/'Price Data'!D715-1,0)</f>
        <v>-9.2120750301061261E-4</v>
      </c>
      <c r="E716" s="27">
        <f>IFERROR('Price Data'!E716/'Price Data'!E715-1,0)</f>
        <v>-7.2283701613939932E-5</v>
      </c>
      <c r="F716" s="27">
        <f>IFERROR('Price Data'!F716/'Price Data'!F715-1,0)</f>
        <v>-2.9848784769667125E-3</v>
      </c>
      <c r="G716" s="27">
        <f>B716*Portfolio!$D$5+C716*Portfolio!$D$6+D716*Portfolio!$D$7+E716*Portfolio!$D$8+F716*Portfolio!$D$9</f>
        <v>7.9097433140272854E-3</v>
      </c>
      <c r="H716" s="27">
        <f>IFERROR('Price Data'!G716/'Price Data'!G715-1,0)</f>
        <v>5.354541588221684E-3</v>
      </c>
    </row>
    <row r="717" spans="1:8" ht="15">
      <c r="A717" s="25">
        <f>'Price Data'!A717</f>
        <v>45982</v>
      </c>
      <c r="B717" s="27">
        <f>IFERROR('Price Data'!B717/'Price Data'!B716-1,0)</f>
        <v>-1.613860485537244E-3</v>
      </c>
      <c r="C717" s="27">
        <f>IFERROR('Price Data'!C717/'Price Data'!C716-1,0)</f>
        <v>-1.0705245599864077E-2</v>
      </c>
      <c r="D717" s="27">
        <f>IFERROR('Price Data'!D717/'Price Data'!D716-1,0)</f>
        <v>1.8441939336684143E-3</v>
      </c>
      <c r="E717" s="27">
        <f>IFERROR('Price Data'!E717/'Price Data'!E716-1,0)</f>
        <v>-9.761388286334105E-3</v>
      </c>
      <c r="F717" s="27">
        <f>IFERROR('Price Data'!F717/'Price Data'!F716-1,0)</f>
        <v>5.5320435161125836E-3</v>
      </c>
      <c r="G717" s="27">
        <f>B717*Portfolio!$D$5+C717*Portfolio!$D$6+D717*Portfolio!$D$7+E717*Portfolio!$D$8+F717*Portfolio!$D$9</f>
        <v>-3.3453394501498758E-3</v>
      </c>
      <c r="H717" s="27">
        <f>IFERROR('Price Data'!G717/'Price Data'!G716-1,0)</f>
        <v>-4.7342428227803435E-3</v>
      </c>
    </row>
    <row r="718" spans="1:8" ht="15">
      <c r="A718" s="25">
        <f>'Price Data'!A718</f>
        <v>45985</v>
      </c>
      <c r="B718" s="27">
        <f>IFERROR('Price Data'!B718/'Price Data'!B717-1,0)</f>
        <v>-6.9184027165183348E-3</v>
      </c>
      <c r="C718" s="27">
        <f>IFERROR('Price Data'!C718/'Price Data'!C717-1,0)</f>
        <v>1.1021386425635882E-3</v>
      </c>
      <c r="D718" s="27">
        <f>IFERROR('Price Data'!D718/'Price Data'!D717-1,0)</f>
        <v>-2.9835516411773622E-3</v>
      </c>
      <c r="E718" s="27">
        <f>IFERROR('Price Data'!E718/'Price Data'!E717-1,0)</f>
        <v>-8.0319502441583701E-4</v>
      </c>
      <c r="F718" s="27">
        <f>IFERROR('Price Data'!F718/'Price Data'!F717-1,0)</f>
        <v>1.9417916159578663E-3</v>
      </c>
      <c r="G718" s="27">
        <f>B718*Portfolio!$D$5+C718*Portfolio!$D$6+D718*Portfolio!$D$7+E718*Portfolio!$D$8+F718*Portfolio!$D$9</f>
        <v>-1.8799868579928549E-3</v>
      </c>
      <c r="H718" s="27">
        <f>IFERROR('Price Data'!G718/'Price Data'!G717-1,0)</f>
        <v>-4.1679363129680791E-3</v>
      </c>
    </row>
    <row r="719" spans="1:8" ht="15">
      <c r="A719" s="25">
        <f>'Price Data'!A719</f>
        <v>45986</v>
      </c>
      <c r="B719" s="27">
        <f>IFERROR('Price Data'!B719/'Price Data'!B718-1,0)</f>
        <v>2.4740929270772316E-3</v>
      </c>
      <c r="C719" s="27">
        <f>IFERROR('Price Data'!C719/'Price Data'!C718-1,0)</f>
        <v>-9.3579579435244531E-3</v>
      </c>
      <c r="D719" s="27">
        <f>IFERROR('Price Data'!D719/'Price Data'!D718-1,0)</f>
        <v>-7.0036813862763836E-3</v>
      </c>
      <c r="E719" s="27">
        <f>IFERROR('Price Data'!E719/'Price Data'!E718-1,0)</f>
        <v>-7.7462550400613228E-3</v>
      </c>
      <c r="F719" s="27">
        <f>IFERROR('Price Data'!F719/'Price Data'!F718-1,0)</f>
        <v>-1.1240338961612806E-2</v>
      </c>
      <c r="G719" s="27">
        <f>B719*Portfolio!$D$5+C719*Portfolio!$D$6+D719*Portfolio!$D$7+E719*Portfolio!$D$8+F719*Portfolio!$D$9</f>
        <v>-5.9696916316182014E-3</v>
      </c>
      <c r="H719" s="27">
        <f>IFERROR('Price Data'!G719/'Price Data'!G718-1,0)</f>
        <v>-2.877529180069005E-3</v>
      </c>
    </row>
    <row r="720" spans="1:8" ht="15">
      <c r="A720" s="25">
        <f>'Price Data'!A720</f>
        <v>45987</v>
      </c>
      <c r="B720" s="27">
        <f>IFERROR('Price Data'!B720/'Price Data'!B719-1,0)</f>
        <v>1.9614227507197768E-2</v>
      </c>
      <c r="C720" s="27">
        <f>IFERROR('Price Data'!C720/'Price Data'!C719-1,0)</f>
        <v>1.4245319807291823E-2</v>
      </c>
      <c r="D720" s="27">
        <f>IFERROR('Price Data'!D720/'Price Data'!D719-1,0)</f>
        <v>1.400995632808244E-2</v>
      </c>
      <c r="E720" s="27">
        <f>IFERROR('Price Data'!E720/'Price Data'!E719-1,0)</f>
        <v>1.2667514032511429E-2</v>
      </c>
      <c r="F720" s="27">
        <f>IFERROR('Price Data'!F720/'Price Data'!F719-1,0)</f>
        <v>1.7836172185772492E-2</v>
      </c>
      <c r="G720" s="27">
        <f>B720*Portfolio!$D$5+C720*Portfolio!$D$6+D720*Portfolio!$D$7+E720*Portfolio!$D$8+F720*Portfolio!$D$9</f>
        <v>1.5842431026981473E-2</v>
      </c>
      <c r="H720" s="27">
        <f>IFERROR('Price Data'!G720/'Price Data'!G719-1,0)</f>
        <v>1.2381783530362567E-2</v>
      </c>
    </row>
    <row r="721" spans="1:8" ht="15">
      <c r="A721" s="25">
        <f>'Price Data'!A721</f>
        <v>45988</v>
      </c>
      <c r="B721" s="27">
        <f>IFERROR('Price Data'!B721/'Price Data'!B720-1,0)</f>
        <v>-4.1403961681787393E-3</v>
      </c>
      <c r="C721" s="27">
        <f>IFERROR('Price Data'!C721/'Price Data'!C720-1,0)</f>
        <v>5.5782082948476752E-3</v>
      </c>
      <c r="D721" s="27">
        <f>IFERROR('Price Data'!D721/'Price Data'!D720-1,0)</f>
        <v>-8.3150691500538665E-3</v>
      </c>
      <c r="E721" s="27">
        <f>IFERROR('Price Data'!E721/'Price Data'!E720-1,0)</f>
        <v>1.2509055397727176E-2</v>
      </c>
      <c r="F721" s="27">
        <f>IFERROR('Price Data'!F721/'Price Data'!F720-1,0)</f>
        <v>5.4560527467264475E-3</v>
      </c>
      <c r="G721" s="27">
        <f>B721*Portfolio!$D$5+C721*Portfolio!$D$6+D721*Portfolio!$D$7+E721*Portfolio!$D$8+F721*Portfolio!$D$9</f>
        <v>1.3912054233245039E-3</v>
      </c>
      <c r="H721" s="27">
        <f>IFERROR('Price Data'!G721/'Price Data'!G720-1,0)</f>
        <v>3.9114223818925709E-4</v>
      </c>
    </row>
    <row r="722" spans="1:8" ht="15">
      <c r="A722" s="25">
        <f>'Price Data'!A722</f>
        <v>45989</v>
      </c>
      <c r="B722" s="27">
        <f>IFERROR('Price Data'!B722/'Price Data'!B721-1,0)</f>
        <v>2.6225192139361919E-3</v>
      </c>
      <c r="C722" s="27">
        <f>IFERROR('Price Data'!C722/'Price Data'!C721-1,0)</f>
        <v>-1.8821130851079948E-3</v>
      </c>
      <c r="D722" s="27">
        <f>IFERROR('Price Data'!D722/'Price Data'!D721-1,0)</f>
        <v>2.868427687949815E-4</v>
      </c>
      <c r="E722" s="27">
        <f>IFERROR('Price Data'!E722/'Price Data'!E721-1,0)</f>
        <v>-2.4421077883878262E-3</v>
      </c>
      <c r="F722" s="27">
        <f>IFERROR('Price Data'!F722/'Price Data'!F721-1,0)</f>
        <v>-4.0220045055175957E-3</v>
      </c>
      <c r="G722" s="27">
        <f>B722*Portfolio!$D$5+C722*Portfolio!$D$6+D722*Portfolio!$D$7+E722*Portfolio!$D$8+F722*Portfolio!$D$9</f>
        <v>-7.2714675811976772E-4</v>
      </c>
      <c r="H722" s="27">
        <f>IFERROR('Price Data'!G722/'Price Data'!G721-1,0)</f>
        <v>-4.806903583736144E-4</v>
      </c>
    </row>
    <row r="723" spans="1:8" ht="15">
      <c r="A723" s="25">
        <f>'Price Data'!A723</f>
        <v>45992</v>
      </c>
      <c r="B723" s="27">
        <f>IFERROR('Price Data'!B723/'Price Data'!B722-1,0)</f>
        <v>-8.9314060815237628E-4</v>
      </c>
      <c r="C723" s="27">
        <f>IFERROR('Price Data'!C723/'Price Data'!C722-1,0)</f>
        <v>-5.4585247623464284E-3</v>
      </c>
      <c r="D723" s="27">
        <f>IFERROR('Price Data'!D723/'Price Data'!D722-1,0)</f>
        <v>-1.3067638863236697E-3</v>
      </c>
      <c r="E723" s="27">
        <f>IFERROR('Price Data'!E723/'Price Data'!E722-1,0)</f>
        <v>9.3600713717534312E-4</v>
      </c>
      <c r="F723" s="27">
        <f>IFERROR('Price Data'!F723/'Price Data'!F722-1,0)</f>
        <v>2.4998325291267776E-3</v>
      </c>
      <c r="G723" s="27">
        <f>B723*Portfolio!$D$5+C723*Portfolio!$D$6+D723*Portfolio!$D$7+E723*Portfolio!$D$8+F723*Portfolio!$D$9</f>
        <v>-1.3338931699441172E-3</v>
      </c>
      <c r="H723" s="27">
        <f>IFERROR('Price Data'!G723/'Price Data'!G722-1,0)</f>
        <v>-1.0380212747401751E-3</v>
      </c>
    </row>
    <row r="724" spans="1:8" ht="15">
      <c r="A724" s="25">
        <f>'Price Data'!A724</f>
        <v>45993</v>
      </c>
      <c r="B724" s="27">
        <f>IFERROR('Price Data'!B724/'Price Data'!B723-1,0)</f>
        <v>-1.2642863060538412E-2</v>
      </c>
      <c r="C724" s="27">
        <f>IFERROR('Price Data'!C724/'Price Data'!C723-1,0)</f>
        <v>-1.2274202782653676E-2</v>
      </c>
      <c r="D724" s="27">
        <f>IFERROR('Price Data'!D724/'Price Data'!D723-1,0)</f>
        <v>7.3404147282052357E-4</v>
      </c>
      <c r="E724" s="27">
        <f>IFERROR('Price Data'!E724/'Price Data'!E723-1,0)</f>
        <v>-1.2301255942925748E-2</v>
      </c>
      <c r="F724" s="27">
        <f>IFERROR('Price Data'!F724/'Price Data'!F723-1,0)</f>
        <v>-1.9181223691103755E-3</v>
      </c>
      <c r="G724" s="27">
        <f>B724*Portfolio!$D$5+C724*Portfolio!$D$6+D724*Portfolio!$D$7+E724*Portfolio!$D$8+F724*Portfolio!$D$9</f>
        <v>-8.2153649130393362E-3</v>
      </c>
      <c r="H724" s="27">
        <f>IFERROR('Price Data'!G724/'Price Data'!G723-1,0)</f>
        <v>-5.4841133969418809E-3</v>
      </c>
    </row>
    <row r="725" spans="1:8" ht="15">
      <c r="A725" s="25">
        <f>'Price Data'!A725</f>
        <v>45994</v>
      </c>
      <c r="B725" s="27">
        <f>IFERROR('Price Data'!B725/'Price Data'!B724-1,0)</f>
        <v>-4.8502691452472213E-3</v>
      </c>
      <c r="C725" s="27">
        <f>IFERROR('Price Data'!C725/'Price Data'!C724-1,0)</f>
        <v>1.081023547315052E-2</v>
      </c>
      <c r="D725" s="27">
        <f>IFERROR('Price Data'!D725/'Price Data'!D724-1,0)</f>
        <v>1.4127627120441799E-2</v>
      </c>
      <c r="E725" s="27">
        <f>IFERROR('Price Data'!E725/'Price Data'!E724-1,0)</f>
        <v>1.3474144209759675E-2</v>
      </c>
      <c r="F725" s="27">
        <f>IFERROR('Price Data'!F725/'Price Data'!F724-1,0)</f>
        <v>1.1338870666792955E-2</v>
      </c>
      <c r="G725" s="27">
        <f>B725*Portfolio!$D$5+C725*Portfolio!$D$6+D725*Portfolio!$D$7+E725*Portfolio!$D$8+F725*Portfolio!$D$9</f>
        <v>8.0374692375470794E-3</v>
      </c>
      <c r="H725" s="27">
        <f>IFERROR('Price Data'!G725/'Price Data'!G724-1,0)</f>
        <v>-1.7746951904364927E-3</v>
      </c>
    </row>
    <row r="726" spans="1:8" ht="15">
      <c r="A726" s="25">
        <f>'Price Data'!A726</f>
        <v>45995</v>
      </c>
      <c r="B726" s="27">
        <f>IFERROR('Price Data'!B726/'Price Data'!B725-1,0)</f>
        <v>-2.079562098127874E-3</v>
      </c>
      <c r="C726" s="27">
        <f>IFERROR('Price Data'!C726/'Price Data'!C725-1,0)</f>
        <v>-3.2983193993855187E-3</v>
      </c>
      <c r="D726" s="27">
        <f>IFERROR('Price Data'!D726/'Price Data'!D725-1,0)</f>
        <v>1.5471670158700324E-2</v>
      </c>
      <c r="E726" s="27">
        <f>IFERROR('Price Data'!E726/'Price Data'!E725-1,0)</f>
        <v>-3.4495500022457826E-3</v>
      </c>
      <c r="F726" s="27">
        <f>IFERROR('Price Data'!F726/'Price Data'!F725-1,0)</f>
        <v>1.1971846896486671E-2</v>
      </c>
      <c r="G726" s="27">
        <f>B726*Portfolio!$D$5+C726*Portfolio!$D$6+D726*Portfolio!$D$7+E726*Portfolio!$D$8+F726*Portfolio!$D$9</f>
        <v>3.0282081914978498E-3</v>
      </c>
      <c r="H726" s="27">
        <f>IFERROR('Price Data'!G726/'Price Data'!G725-1,0)</f>
        <v>1.8375278996383138E-3</v>
      </c>
    </row>
    <row r="727" spans="1:8" ht="15">
      <c r="A727" s="25">
        <f>'Price Data'!A727</f>
        <v>45996</v>
      </c>
      <c r="B727" s="27">
        <f>IFERROR('Price Data'!B727/'Price Data'!B726-1,0)</f>
        <v>3.2560171349989009E-3</v>
      </c>
      <c r="C727" s="27">
        <f>IFERROR('Price Data'!C727/'Price Data'!C726-1,0)</f>
        <v>6.1171090779925663E-3</v>
      </c>
      <c r="D727" s="27">
        <f>IFERROR('Price Data'!D727/'Price Data'!D726-1,0)</f>
        <v>2.7871096684977115E-3</v>
      </c>
      <c r="E727" s="27">
        <f>IFERROR('Price Data'!E727/'Price Data'!E726-1,0)</f>
        <v>4.1826271236422574E-3</v>
      </c>
      <c r="F727" s="27">
        <f>IFERROR('Price Data'!F727/'Price Data'!F726-1,0)</f>
        <v>1.1642478246658872E-2</v>
      </c>
      <c r="G727" s="27">
        <f>B727*Portfolio!$D$5+C727*Portfolio!$D$6+D727*Portfolio!$D$7+E727*Portfolio!$D$8+F727*Portfolio!$D$9</f>
        <v>5.2744692924925783E-3</v>
      </c>
      <c r="H727" s="27">
        <f>IFERROR('Price Data'!G727/'Price Data'!G726-1,0)</f>
        <v>5.8654330916598774E-3</v>
      </c>
    </row>
    <row r="728" spans="1:8" ht="15">
      <c r="A728" s="25">
        <f>'Price Data'!A728</f>
        <v>45999</v>
      </c>
      <c r="B728" s="27">
        <f>IFERROR('Price Data'!B728/'Price Data'!B727-1,0)</f>
        <v>1.557889183141814E-3</v>
      </c>
      <c r="C728" s="27">
        <f>IFERROR('Price Data'!C728/'Price Data'!C727-1,0)</f>
        <v>-1.9937400026992513E-4</v>
      </c>
      <c r="D728" s="27">
        <f>IFERROR('Price Data'!D728/'Price Data'!D727-1,0)</f>
        <v>-5.2495280326503302E-4</v>
      </c>
      <c r="E728" s="27">
        <f>IFERROR('Price Data'!E728/'Price Data'!E727-1,0)</f>
        <v>-2.0826028108168471E-3</v>
      </c>
      <c r="F728" s="27">
        <f>IFERROR('Price Data'!F728/'Price Data'!F727-1,0)</f>
        <v>-3.3411075680148672E-3</v>
      </c>
      <c r="G728" s="27">
        <f>B728*Portfolio!$D$5+C728*Portfolio!$D$6+D728*Portfolio!$D$7+E728*Portfolio!$D$8+F728*Portfolio!$D$9</f>
        <v>-5.7891832175979154E-4</v>
      </c>
      <c r="H728" s="27">
        <f>IFERROR('Price Data'!G728/'Price Data'!G727-1,0)</f>
        <v>-8.6265394598917799E-3</v>
      </c>
    </row>
    <row r="729" spans="1:8" ht="15">
      <c r="A729" s="25">
        <f>'Price Data'!A729</f>
        <v>46000</v>
      </c>
      <c r="B729" s="27">
        <f>IFERROR('Price Data'!B729/'Price Data'!B728-1,0)</f>
        <v>-8.8140420639445383E-3</v>
      </c>
      <c r="C729" s="27">
        <f>IFERROR('Price Data'!C729/'Price Data'!C728-1,0)</f>
        <v>-5.9814230992139006E-3</v>
      </c>
      <c r="D729" s="27">
        <f>IFERROR('Price Data'!D729/'Price Data'!D728-1,0)</f>
        <v>-8.7130951451431793E-3</v>
      </c>
      <c r="E729" s="27">
        <f>IFERROR('Price Data'!E729/'Price Data'!E728-1,0)</f>
        <v>-1.0362712051711576E-2</v>
      </c>
      <c r="F729" s="27">
        <f>IFERROR('Price Data'!F729/'Price Data'!F728-1,0)</f>
        <v>-7.3256202145278726E-3</v>
      </c>
      <c r="G729" s="27">
        <f>B729*Portfolio!$D$5+C729*Portfolio!$D$6+D729*Portfolio!$D$7+E729*Portfolio!$D$8+F729*Portfolio!$D$9</f>
        <v>-8.0947351597541635E-3</v>
      </c>
      <c r="H729" s="27">
        <f>IFERROR('Price Data'!G729/'Price Data'!G728-1,0)</f>
        <v>-4.6570811090926867E-3</v>
      </c>
    </row>
    <row r="730" spans="1:8" ht="15">
      <c r="A730" s="25">
        <f>'Price Data'!A730</f>
        <v>46001</v>
      </c>
      <c r="B730" s="27">
        <f>IFERROR('Price Data'!B730/'Price Data'!B729-1,0)</f>
        <v>4.9039453594739157E-3</v>
      </c>
      <c r="C730" s="27">
        <f>IFERROR('Price Data'!C730/'Price Data'!C729-1,0)</f>
        <v>-7.3212182728229491E-3</v>
      </c>
      <c r="D730" s="27">
        <f>IFERROR('Price Data'!D730/'Price Data'!D729-1,0)</f>
        <v>-5.9533167738738957E-3</v>
      </c>
      <c r="E730" s="27">
        <f>IFERROR('Price Data'!E730/'Price Data'!E729-1,0)</f>
        <v>-8.435119253787482E-3</v>
      </c>
      <c r="F730" s="27">
        <f>IFERROR('Price Data'!F730/'Price Data'!F729-1,0)</f>
        <v>-8.8805127177611354E-3</v>
      </c>
      <c r="G730" s="27">
        <f>B730*Portfolio!$D$5+C730*Portfolio!$D$6+D730*Portfolio!$D$7+E730*Portfolio!$D$8+F730*Portfolio!$D$9</f>
        <v>-4.3923263788443303E-3</v>
      </c>
      <c r="H730" s="27">
        <f>IFERROR('Price Data'!G730/'Price Data'!G729-1,0)</f>
        <v>-3.1598875909956137E-3</v>
      </c>
    </row>
    <row r="731" spans="1:8" ht="15">
      <c r="A731" s="25">
        <f>'Price Data'!A731</f>
        <v>46002</v>
      </c>
      <c r="B731" s="27">
        <f>IFERROR('Price Data'!B731/'Price Data'!B730-1,0)</f>
        <v>5.2702842988392451E-3</v>
      </c>
      <c r="C731" s="27">
        <f>IFERROR('Price Data'!C731/'Price Data'!C730-1,0)</f>
        <v>1.0608204874447358E-2</v>
      </c>
      <c r="D731" s="27">
        <f>IFERROR('Price Data'!D731/'Price Data'!D730-1,0)</f>
        <v>8.4657248350294978E-4</v>
      </c>
      <c r="E731" s="27">
        <f>IFERROR('Price Data'!E731/'Price Data'!E730-1,0)</f>
        <v>-2.6400525450219758E-3</v>
      </c>
      <c r="F731" s="27">
        <f>IFERROR('Price Data'!F731/'Price Data'!F730-1,0)</f>
        <v>8.3291265646523449E-3</v>
      </c>
      <c r="G731" s="27">
        <f>B731*Portfolio!$D$5+C731*Portfolio!$D$6+D731*Portfolio!$D$7+E731*Portfolio!$D$8+F731*Portfolio!$D$9</f>
        <v>4.9922978929667957E-3</v>
      </c>
      <c r="H731" s="27">
        <f>IFERROR('Price Data'!G731/'Price Data'!G730-1,0)</f>
        <v>5.4565875164998001E-3</v>
      </c>
    </row>
    <row r="732" spans="1:8" ht="15">
      <c r="A732" s="25">
        <f>'Price Data'!A732</f>
        <v>46003</v>
      </c>
      <c r="B732" s="27">
        <f>IFERROR('Price Data'!B732/'Price Data'!B731-1,0)</f>
        <v>7.4434114200305768E-3</v>
      </c>
      <c r="C732" s="27">
        <f>IFERROR('Price Data'!C732/'Price Data'!C731-1,0)</f>
        <v>1.1996455584211141E-3</v>
      </c>
      <c r="D732" s="27">
        <f>IFERROR('Price Data'!D732/'Price Data'!D731-1,0)</f>
        <v>8.9601894162651963E-3</v>
      </c>
      <c r="E732" s="27">
        <f>IFERROR('Price Data'!E732/'Price Data'!E731-1,0)</f>
        <v>4.4117647058823373E-3</v>
      </c>
      <c r="F732" s="27">
        <f>IFERROR('Price Data'!F732/'Price Data'!F731-1,0)</f>
        <v>1.2510205026106114E-4</v>
      </c>
      <c r="G732" s="27">
        <f>B732*Portfolio!$D$5+C732*Portfolio!$D$6+D732*Portfolio!$D$7+E732*Portfolio!$D$8+F732*Portfolio!$D$9</f>
        <v>4.6333321412874717E-3</v>
      </c>
      <c r="H732" s="27">
        <f>IFERROR('Price Data'!G732/'Price Data'!G731-1,0)</f>
        <v>5.7299900196514653E-3</v>
      </c>
    </row>
    <row r="733" spans="1:8" ht="15">
      <c r="A733" s="25">
        <f>'Price Data'!A733</f>
        <v>46006</v>
      </c>
      <c r="B733" s="27">
        <f>IFERROR('Price Data'!B733/'Price Data'!B732-1,0)</f>
        <v>-1.9279610688960336E-4</v>
      </c>
      <c r="C733" s="27">
        <f>IFERROR('Price Data'!C733/'Price Data'!C732-1,0)</f>
        <v>-5.3919675759588337E-3</v>
      </c>
      <c r="D733" s="27">
        <f>IFERROR('Price Data'!D733/'Price Data'!D732-1,0)</f>
        <v>3.0119699597850325E-3</v>
      </c>
      <c r="E733" s="27">
        <f>IFERROR('Price Data'!E733/'Price Data'!E732-1,0)</f>
        <v>-5.856872826683901E-4</v>
      </c>
      <c r="F733" s="27">
        <f>IFERROR('Price Data'!F733/'Price Data'!F732-1,0)</f>
        <v>5.3811342862997158E-3</v>
      </c>
      <c r="G733" s="27">
        <f>B733*Portfolio!$D$5+C733*Portfolio!$D$6+D733*Portfolio!$D$7+E733*Portfolio!$D$8+F733*Portfolio!$D$9</f>
        <v>-7.4479878210403829E-5</v>
      </c>
      <c r="H733" s="27">
        <f>IFERROR('Price Data'!G733/'Price Data'!G732-1,0)</f>
        <v>-7.5434698071497053E-4</v>
      </c>
    </row>
    <row r="734" spans="1:8" ht="15">
      <c r="A734" s="25">
        <f>'Price Data'!A734</f>
        <v>46007</v>
      </c>
      <c r="B734" s="27">
        <f>IFERROR('Price Data'!B734/'Price Data'!B733-1,0)</f>
        <v>-8.9319557771102565E-3</v>
      </c>
      <c r="C734" s="27">
        <f>IFERROR('Price Data'!C734/'Price Data'!C733-1,0)</f>
        <v>-1.8070246424568559E-3</v>
      </c>
      <c r="D734" s="27">
        <f>IFERROR('Price Data'!D734/'Price Data'!D733-1,0)</f>
        <v>-7.7704005481079585E-3</v>
      </c>
      <c r="E734" s="27">
        <f>IFERROR('Price Data'!E734/'Price Data'!E733-1,0)</f>
        <v>5.8603051328720568E-4</v>
      </c>
      <c r="F734" s="27">
        <f>IFERROR('Price Data'!F734/'Price Data'!F733-1,0)</f>
        <v>-8.6507387165981608E-3</v>
      </c>
      <c r="G734" s="27">
        <f>B734*Portfolio!$D$5+C734*Portfolio!$D$6+D734*Portfolio!$D$7+E734*Portfolio!$D$8+F734*Portfolio!$D$9</f>
        <v>-5.4485314450100127E-3</v>
      </c>
      <c r="H734" s="27">
        <f>IFERROR('Price Data'!G734/'Price Data'!G733-1,0)</f>
        <v>-6.4240688375742927E-3</v>
      </c>
    </row>
    <row r="735" spans="1:8" ht="15">
      <c r="A735" s="25">
        <f>'Price Data'!A735</f>
        <v>46008</v>
      </c>
      <c r="B735" s="27">
        <f>IFERROR('Price Data'!B735/'Price Data'!B734-1,0)</f>
        <v>1.3616007284771303E-3</v>
      </c>
      <c r="C735" s="27">
        <f>IFERROR('Price Data'!C735/'Price Data'!C734-1,0)</f>
        <v>-1.0359015914392256E-2</v>
      </c>
      <c r="D735" s="27">
        <f>IFERROR('Price Data'!D735/'Price Data'!D734-1,0)</f>
        <v>3.9624378469058641E-3</v>
      </c>
      <c r="E735" s="27">
        <f>IFERROR('Price Data'!E735/'Price Data'!E734-1,0)</f>
        <v>-9.9560582620332738E-3</v>
      </c>
      <c r="F735" s="27">
        <f>IFERROR('Price Data'!F735/'Price Data'!F734-1,0)</f>
        <v>5.7128339509944226E-3</v>
      </c>
      <c r="G735" s="27">
        <f>B735*Portfolio!$D$5+C735*Portfolio!$D$6+D735*Portfolio!$D$7+E735*Portfolio!$D$8+F735*Portfolio!$D$9</f>
        <v>-2.0933498737534363E-3</v>
      </c>
      <c r="H735" s="27">
        <f>IFERROR('Price Data'!G735/'Price Data'!G734-1,0)</f>
        <v>-1.6066770334456359E-3</v>
      </c>
    </row>
    <row r="736" spans="1:8" ht="15">
      <c r="A736" s="25">
        <f>'Price Data'!A736</f>
        <v>46009</v>
      </c>
      <c r="B736" s="27">
        <f>IFERROR('Price Data'!B736/'Price Data'!B735-1,0)</f>
        <v>0</v>
      </c>
      <c r="C736" s="27">
        <f>IFERROR('Price Data'!C736/'Price Data'!C735-1,0)</f>
        <v>-4.3699227745961355E-3</v>
      </c>
      <c r="D736" s="27">
        <f>IFERROR('Price Data'!D736/'Price Data'!D735-1,0)</f>
        <v>1.9578650031444766E-2</v>
      </c>
      <c r="E736" s="27">
        <f>IFERROR('Price Data'!E736/'Price Data'!E735-1,0)</f>
        <v>3.253493296828891E-3</v>
      </c>
      <c r="F736" s="27">
        <f>IFERROR('Price Data'!F736/'Price Data'!F735-1,0)</f>
        <v>1.5480693681181323E-2</v>
      </c>
      <c r="G736" s="27">
        <f>B736*Portfolio!$D$5+C736*Portfolio!$D$6+D736*Portfolio!$D$7+E736*Portfolio!$D$8+F736*Portfolio!$D$9</f>
        <v>5.6333773593414526E-3</v>
      </c>
      <c r="H736" s="27">
        <f>IFERROR('Price Data'!G736/'Price Data'!G735-1,0)</f>
        <v>-1.1619552256891819E-4</v>
      </c>
    </row>
    <row r="737" spans="1:8" ht="15">
      <c r="A737" s="25">
        <f>'Price Data'!A737</f>
        <v>46010</v>
      </c>
      <c r="B737" s="27">
        <f>IFERROR('Price Data'!B737/'Price Data'!B736-1,0)</f>
        <v>1.3403186310904314E-2</v>
      </c>
      <c r="C737" s="27">
        <f>IFERROR('Price Data'!C737/'Price Data'!C736-1,0)</f>
        <v>5.9201748826791523E-3</v>
      </c>
      <c r="D737" s="27">
        <f>IFERROR('Price Data'!D737/'Price Data'!D736-1,0)</f>
        <v>3.656981859543329E-4</v>
      </c>
      <c r="E737" s="27">
        <f>IFERROR('Price Data'!E737/'Price Data'!E736-1,0)</f>
        <v>-1.9900303250427465E-3</v>
      </c>
      <c r="F737" s="27">
        <f>IFERROR('Price Data'!F737/'Price Data'!F736-1,0)</f>
        <v>7.3148993688667563E-3</v>
      </c>
      <c r="G737" s="27">
        <f>B737*Portfolio!$D$5+C737*Portfolio!$D$6+D737*Portfolio!$D$7+E737*Portfolio!$D$8+F737*Portfolio!$D$9</f>
        <v>5.7027102921603347E-3</v>
      </c>
      <c r="H737" s="27">
        <f>IFERROR('Price Data'!G737/'Price Data'!G736-1,0)</f>
        <v>5.8433620360547334E-3</v>
      </c>
    </row>
    <row r="738" spans="1:8" ht="15">
      <c r="A738" s="25">
        <f>'Price Data'!A738</f>
        <v>46013</v>
      </c>
      <c r="B738" s="27">
        <f>IFERROR('Price Data'!B738/'Price Data'!B737-1,0)</f>
        <v>6.5811067934433698E-3</v>
      </c>
      <c r="C738" s="27">
        <f>IFERROR('Price Data'!C738/'Price Data'!C737-1,0)</f>
        <v>2.2324109887581489E-3</v>
      </c>
      <c r="D738" s="27">
        <f>IFERROR('Price Data'!D738/'Price Data'!D737-1,0)</f>
        <v>1.3071272257346944E-2</v>
      </c>
      <c r="E738" s="27">
        <f>IFERROR('Price Data'!E738/'Price Data'!E737-1,0)</f>
        <v>1.0634387913515342E-2</v>
      </c>
      <c r="F738" s="27">
        <f>IFERROR('Price Data'!F738/'Price Data'!F737-1,0)</f>
        <v>3.106121656564742E-2</v>
      </c>
      <c r="G738" s="27">
        <f>B738*Portfolio!$D$5+C738*Portfolio!$D$6+D738*Portfolio!$D$7+E738*Portfolio!$D$8+F738*Portfolio!$D$9</f>
        <v>1.1071974568894184E-2</v>
      </c>
      <c r="H738" s="27">
        <f>IFERROR('Price Data'!G738/'Price Data'!G737-1,0)</f>
        <v>7.9333291061156608E-3</v>
      </c>
    </row>
    <row r="739" spans="1:8" ht="15">
      <c r="A739" s="25">
        <f>'Price Data'!A739</f>
        <v>46014</v>
      </c>
      <c r="B739" s="27">
        <f>IFERROR('Price Data'!B739/'Price Data'!B738-1,0)</f>
        <v>-2.9834315472314632E-3</v>
      </c>
      <c r="C739" s="27">
        <f>IFERROR('Price Data'!C739/'Price Data'!C738-1,0)</f>
        <v>9.0107639317922317E-3</v>
      </c>
      <c r="D739" s="27">
        <f>IFERROR('Price Data'!D739/'Price Data'!D738-1,0)</f>
        <v>-4.4813472700487855E-3</v>
      </c>
      <c r="E739" s="27">
        <f>IFERROR('Price Data'!E739/'Price Data'!E738-1,0)</f>
        <v>-4.0189989039094431E-3</v>
      </c>
      <c r="F739" s="27">
        <f>IFERROR('Price Data'!F739/'Price Data'!F738-1,0)</f>
        <v>-1.2606480409848464E-2</v>
      </c>
      <c r="G739" s="27">
        <f>B739*Portfolio!$D$5+C739*Portfolio!$D$6+D739*Portfolio!$D$7+E739*Portfolio!$D$8+F739*Portfolio!$D$9</f>
        <v>-1.8832582549332512E-3</v>
      </c>
      <c r="H739" s="27">
        <f>IFERROR('Price Data'!G739/'Price Data'!G738-1,0)</f>
        <v>1.8148889399149937E-4</v>
      </c>
    </row>
    <row r="740" spans="1:8" ht="15">
      <c r="A740" s="25">
        <f>'Price Data'!A740</f>
        <v>46015</v>
      </c>
      <c r="B740" s="27">
        <f>IFERROR('Price Data'!B740/'Price Data'!B739-1,0)</f>
        <v>-7.9581791160259208E-3</v>
      </c>
      <c r="C740" s="27">
        <f>IFERROR('Price Data'!C740/'Price Data'!C739-1,0)</f>
        <v>6.0208084269164353E-4</v>
      </c>
      <c r="D740" s="27">
        <f>IFERROR('Price Data'!D740/'Price Data'!D739-1,0)</f>
        <v>2.7190737520401687E-3</v>
      </c>
      <c r="E740" s="27">
        <f>IFERROR('Price Data'!E740/'Price Data'!E739-1,0)</f>
        <v>-2.3477264650586527E-3</v>
      </c>
      <c r="F740" s="27">
        <f>IFERROR('Price Data'!F740/'Price Data'!F739-1,0)</f>
        <v>-2.9371531748816349E-3</v>
      </c>
      <c r="G740" s="27">
        <f>B740*Portfolio!$D$5+C740*Portfolio!$D$6+D740*Portfolio!$D$7+E740*Portfolio!$D$8+F740*Portfolio!$D$9</f>
        <v>-2.0879417639165787E-3</v>
      </c>
      <c r="H740" s="27">
        <f>IFERROR('Price Data'!G740/'Price Data'!G739-1,0)</f>
        <v>-1.3389838361685946E-3</v>
      </c>
    </row>
    <row r="741" spans="1:8" ht="15">
      <c r="A741" s="25">
        <f>'Price Data'!A741</f>
        <v>46017</v>
      </c>
      <c r="B741" s="27">
        <f>IFERROR('Price Data'!B741/'Price Data'!B740-1,0)</f>
        <v>6.417426942348925E-4</v>
      </c>
      <c r="C741" s="27">
        <f>IFERROR('Price Data'!C741/'Price Data'!C740-1,0)</f>
        <v>-5.1143277706772183E-3</v>
      </c>
      <c r="D741" s="27">
        <f>IFERROR('Price Data'!D741/'Price Data'!D740-1,0)</f>
        <v>-1.175052477423244E-2</v>
      </c>
      <c r="E741" s="27">
        <f>IFERROR('Price Data'!E741/'Price Data'!E740-1,0)</f>
        <v>-6.9127989972962434E-3</v>
      </c>
      <c r="F741" s="27">
        <f>IFERROR('Price Data'!F741/'Price Data'!F740-1,0)</f>
        <v>-4.3886061034276169E-3</v>
      </c>
      <c r="G741" s="27">
        <f>B741*Portfolio!$D$5+C741*Portfolio!$D$6+D741*Portfolio!$D$7+E741*Portfolio!$D$8+F741*Portfolio!$D$9</f>
        <v>-5.1634619890656491E-3</v>
      </c>
      <c r="H741" s="27">
        <f>IFERROR('Price Data'!G741/'Price Data'!G740-1,0)</f>
        <v>-3.8175521330050532E-3</v>
      </c>
    </row>
    <row r="742" spans="1:8" ht="15">
      <c r="A742" s="25">
        <f>'Price Data'!A742</f>
        <v>46020</v>
      </c>
      <c r="B742" s="27">
        <f>IFERROR('Price Data'!B742/'Price Data'!B741-1,0)</f>
        <v>-8.7223864439243126E-3</v>
      </c>
      <c r="C742" s="27">
        <f>IFERROR('Price Data'!C742/'Price Data'!C741-1,0)</f>
        <v>-4.0318699715369277E-4</v>
      </c>
      <c r="D742" s="27">
        <f>IFERROR('Price Data'!D742/'Price Data'!D741-1,0)</f>
        <v>-8.689102293038431E-3</v>
      </c>
      <c r="E742" s="27">
        <f>IFERROR('Price Data'!E742/'Price Data'!E741-1,0)</f>
        <v>-5.2576832476126656E-3</v>
      </c>
      <c r="F742" s="27">
        <f>IFERROR('Price Data'!F742/'Price Data'!F741-1,0)</f>
        <v>-6.8836627040668175E-3</v>
      </c>
      <c r="G742" s="27">
        <f>B742*Portfolio!$D$5+C742*Portfolio!$D$6+D742*Portfolio!$D$7+E742*Portfolio!$D$8+F742*Portfolio!$D$9</f>
        <v>-5.8404157116291096E-3</v>
      </c>
      <c r="H742" s="27">
        <f>IFERROR('Price Data'!G742/'Price Data'!G741-1,0)</f>
        <v>-3.8476313101776238E-3</v>
      </c>
    </row>
    <row r="743" spans="1:8" ht="15">
      <c r="A743" s="25">
        <f>'Price Data'!A743</f>
        <v>46021</v>
      </c>
      <c r="B743" s="27">
        <f>IFERROR('Price Data'!B743/'Price Data'!B742-1,0)</f>
        <v>-3.7525936694431383E-3</v>
      </c>
      <c r="C743" s="27">
        <f>IFERROR('Price Data'!C743/'Price Data'!C742-1,0)</f>
        <v>-8.0663668102887165E-4</v>
      </c>
      <c r="D743" s="27">
        <f>IFERROR('Price Data'!D743/'Price Data'!D742-1,0)</f>
        <v>-1.4454445792031478E-3</v>
      </c>
      <c r="E743" s="27">
        <f>IFERROR('Price Data'!E743/'Price Data'!E742-1,0)</f>
        <v>-5.9558460436515137E-4</v>
      </c>
      <c r="F743" s="27">
        <f>IFERROR('Price Data'!F743/'Price Data'!F742-1,0)</f>
        <v>-1.4045114642839751E-2</v>
      </c>
      <c r="G743" s="27">
        <f>B743*Portfolio!$D$5+C743*Portfolio!$D$6+D743*Portfolio!$D$7+E743*Portfolio!$D$8+F743*Portfolio!$D$9</f>
        <v>-3.6250013905393674E-3</v>
      </c>
      <c r="H743" s="27">
        <f>IFERROR('Price Data'!G743/'Price Data'!G742-1,0)</f>
        <v>-1.2527898855285713E-4</v>
      </c>
    </row>
    <row r="744" spans="1:8" ht="15">
      <c r="A744" s="25">
        <f>'Price Data'!A744</f>
        <v>46022</v>
      </c>
      <c r="B744" s="27">
        <f>IFERROR('Price Data'!B744/'Price Data'!B743-1,0)</f>
        <v>1.9872749161595316E-2</v>
      </c>
      <c r="C744" s="27">
        <f>IFERROR('Price Data'!C744/'Price Data'!C743-1,0)</f>
        <v>3.0274077769254504E-4</v>
      </c>
      <c r="D744" s="27">
        <f>IFERROR('Price Data'!D744/'Price Data'!D743-1,0)</f>
        <v>-1.2504657896603266E-2</v>
      </c>
      <c r="E744" s="27">
        <f>IFERROR('Price Data'!E744/'Price Data'!E743-1,0)</f>
        <v>2.9796976838913913E-4</v>
      </c>
      <c r="F744" s="27">
        <f>IFERROR('Price Data'!F744/'Price Data'!F743-1,0)</f>
        <v>-3.8233377106040578E-3</v>
      </c>
      <c r="G744" s="27">
        <f>B744*Portfolio!$D$5+C744*Portfolio!$D$6+D744*Portfolio!$D$7+E744*Portfolio!$D$8+F744*Portfolio!$D$9</f>
        <v>2.0141357141690739E-3</v>
      </c>
      <c r="H744" s="27">
        <f>IFERROR('Price Data'!G744/'Price Data'!G743-1,0)</f>
        <v>7.3538342244390265E-3</v>
      </c>
    </row>
    <row r="745" spans="1:8" ht="15">
      <c r="A745" s="25"/>
      <c r="B745" s="27"/>
      <c r="C745" s="27"/>
      <c r="D745" s="27"/>
      <c r="E745" s="27"/>
      <c r="F745" s="27"/>
      <c r="G745" s="27"/>
      <c r="H745" s="27"/>
    </row>
    <row r="746" spans="1:8" ht="15">
      <c r="A746" s="25"/>
      <c r="B746" s="27"/>
      <c r="C746" s="27"/>
      <c r="D746" s="27"/>
      <c r="E746" s="27"/>
      <c r="F746" s="27"/>
      <c r="G746" s="27"/>
      <c r="H746" s="27"/>
    </row>
    <row r="747" spans="1:8" ht="15">
      <c r="A747" s="25"/>
      <c r="B747" s="27"/>
      <c r="C747" s="27"/>
      <c r="D747" s="27"/>
      <c r="E747" s="27"/>
      <c r="F747" s="27"/>
      <c r="G747" s="27"/>
      <c r="H747" s="27"/>
    </row>
    <row r="748" spans="1:8" ht="15">
      <c r="A748" s="25"/>
      <c r="B748" s="27"/>
      <c r="C748" s="27"/>
      <c r="D748" s="27"/>
      <c r="E748" s="27"/>
      <c r="F748" s="27"/>
      <c r="G748" s="27"/>
      <c r="H748" s="27"/>
    </row>
    <row r="749" spans="1:8" ht="15">
      <c r="A749" s="25"/>
      <c r="B749" s="27"/>
      <c r="C749" s="27"/>
      <c r="D749" s="27"/>
      <c r="E749" s="27"/>
      <c r="F749" s="27"/>
      <c r="G749" s="27"/>
      <c r="H749" s="27"/>
    </row>
    <row r="750" spans="1:8" ht="15">
      <c r="A750" s="25"/>
      <c r="B750" s="27"/>
      <c r="C750" s="27"/>
      <c r="D750" s="27"/>
      <c r="E750" s="27"/>
      <c r="F750" s="27"/>
      <c r="G750" s="27"/>
      <c r="H750" s="27"/>
    </row>
    <row r="751" spans="1:8" ht="15">
      <c r="A751" s="25"/>
      <c r="B751" s="27"/>
      <c r="C751" s="27"/>
      <c r="D751" s="27"/>
      <c r="E751" s="27"/>
      <c r="F751" s="27"/>
      <c r="G751" s="27"/>
      <c r="H751" s="27"/>
    </row>
    <row r="752" spans="1:8" ht="15">
      <c r="A752" s="25"/>
      <c r="B752" s="27"/>
      <c r="C752" s="27"/>
      <c r="D752" s="27"/>
      <c r="E752" s="27"/>
      <c r="F752" s="27"/>
      <c r="G752" s="27"/>
      <c r="H752" s="27"/>
    </row>
    <row r="753" spans="1:8" ht="15">
      <c r="A753" s="25"/>
      <c r="B753" s="27"/>
      <c r="C753" s="27"/>
      <c r="D753" s="27"/>
      <c r="E753" s="27"/>
      <c r="F753" s="27"/>
      <c r="G753" s="27"/>
      <c r="H753" s="27"/>
    </row>
    <row r="754" spans="1:8" ht="15">
      <c r="A754" s="25"/>
      <c r="B754" s="27"/>
      <c r="C754" s="27"/>
      <c r="D754" s="27"/>
      <c r="E754" s="27"/>
      <c r="F754" s="27"/>
      <c r="G754" s="27"/>
      <c r="H754" s="27"/>
    </row>
    <row r="755" spans="1:8" ht="15">
      <c r="A755" s="25"/>
      <c r="B755" s="27"/>
      <c r="C755" s="27"/>
      <c r="D755" s="27"/>
      <c r="E755" s="27"/>
      <c r="F755" s="27"/>
      <c r="G755" s="27"/>
      <c r="H755" s="27"/>
    </row>
    <row r="756" spans="1:8" ht="15">
      <c r="A756" s="25"/>
      <c r="B756" s="27"/>
      <c r="C756" s="27"/>
      <c r="D756" s="27"/>
      <c r="E756" s="27"/>
      <c r="F756" s="27"/>
      <c r="G756" s="27"/>
      <c r="H756" s="27"/>
    </row>
    <row r="757" spans="1:8" ht="15">
      <c r="A757" s="25"/>
      <c r="B757" s="27"/>
      <c r="C757" s="27"/>
      <c r="D757" s="27"/>
      <c r="E757" s="27"/>
      <c r="F757" s="27"/>
      <c r="G757" s="27"/>
      <c r="H757" s="27"/>
    </row>
    <row r="758" spans="1:8" ht="15">
      <c r="A758" s="25"/>
      <c r="B758" s="27"/>
      <c r="C758" s="27"/>
      <c r="D758" s="27"/>
      <c r="E758" s="27"/>
      <c r="F758" s="27"/>
      <c r="G758" s="27"/>
      <c r="H758" s="27"/>
    </row>
    <row r="759" spans="1:8" ht="15">
      <c r="A759" s="25"/>
      <c r="B759" s="27"/>
      <c r="C759" s="27"/>
      <c r="D759" s="27"/>
      <c r="E759" s="27"/>
      <c r="F759" s="27"/>
      <c r="G759" s="27"/>
      <c r="H759" s="27"/>
    </row>
    <row r="760" spans="1:8" ht="15">
      <c r="A760" s="25"/>
      <c r="B760" s="27"/>
      <c r="C760" s="27"/>
      <c r="D760" s="27"/>
      <c r="E760" s="27"/>
      <c r="F760" s="27"/>
      <c r="G760" s="27"/>
      <c r="H760" s="27"/>
    </row>
    <row r="761" spans="1:8" ht="15">
      <c r="A761" s="25"/>
      <c r="B761" s="27"/>
      <c r="C761" s="27"/>
      <c r="D761" s="27"/>
      <c r="E761" s="27"/>
      <c r="F761" s="27"/>
      <c r="G761" s="27"/>
      <c r="H761" s="27"/>
    </row>
    <row r="762" spans="1:8" ht="15">
      <c r="A762" s="25"/>
      <c r="B762" s="27"/>
      <c r="C762" s="27"/>
      <c r="D762" s="27"/>
      <c r="E762" s="27"/>
      <c r="F762" s="27"/>
      <c r="G762" s="27"/>
      <c r="H762" s="27"/>
    </row>
    <row r="763" spans="1:8" ht="15">
      <c r="A763" s="25"/>
      <c r="B763" s="27"/>
      <c r="C763" s="27"/>
      <c r="D763" s="27"/>
      <c r="E763" s="27"/>
      <c r="F763" s="27"/>
      <c r="G763" s="27"/>
      <c r="H763" s="27"/>
    </row>
    <row r="764" spans="1:8" ht="15">
      <c r="A764" s="25"/>
      <c r="B764" s="27"/>
      <c r="C764" s="27"/>
      <c r="D764" s="27"/>
      <c r="E764" s="27"/>
      <c r="F764" s="27"/>
      <c r="G764" s="27"/>
      <c r="H764" s="27"/>
    </row>
    <row r="765" spans="1:8" ht="15">
      <c r="A765" s="25"/>
      <c r="B765" s="27"/>
      <c r="C765" s="27"/>
      <c r="D765" s="27"/>
      <c r="E765" s="27"/>
      <c r="F765" s="27"/>
      <c r="G765" s="27"/>
      <c r="H765" s="27"/>
    </row>
    <row r="766" spans="1:8" ht="15">
      <c r="A766" s="25"/>
      <c r="B766" s="27"/>
      <c r="C766" s="27"/>
      <c r="D766" s="27"/>
      <c r="E766" s="27"/>
      <c r="F766" s="27"/>
      <c r="G766" s="27"/>
      <c r="H766" s="27"/>
    </row>
    <row r="767" spans="1:8" ht="15">
      <c r="A767" s="25"/>
      <c r="B767" s="27"/>
      <c r="C767" s="27"/>
      <c r="D767" s="27"/>
      <c r="E767" s="27"/>
      <c r="F767" s="27"/>
      <c r="G767" s="27"/>
      <c r="H767" s="27"/>
    </row>
    <row r="768" spans="1:8" ht="15">
      <c r="A768" s="25"/>
      <c r="B768" s="27"/>
      <c r="C768" s="27"/>
      <c r="D768" s="27"/>
      <c r="E768" s="27"/>
      <c r="F768" s="27"/>
      <c r="G768" s="27"/>
      <c r="H768" s="27"/>
    </row>
    <row r="769" spans="1:8" ht="15">
      <c r="A769" s="25"/>
      <c r="B769" s="27"/>
      <c r="C769" s="27"/>
      <c r="D769" s="27"/>
      <c r="E769" s="27"/>
      <c r="F769" s="27"/>
      <c r="G769" s="27"/>
      <c r="H769" s="27"/>
    </row>
    <row r="770" spans="1:8" ht="15">
      <c r="A770" s="25"/>
      <c r="B770" s="27"/>
      <c r="C770" s="27"/>
      <c r="D770" s="27"/>
      <c r="E770" s="27"/>
      <c r="F770" s="27"/>
      <c r="G770" s="27"/>
      <c r="H770" s="27"/>
    </row>
    <row r="771" spans="1:8" ht="15">
      <c r="A771" s="25"/>
      <c r="B771" s="27"/>
      <c r="C771" s="27"/>
      <c r="D771" s="27"/>
      <c r="E771" s="27"/>
      <c r="F771" s="27"/>
      <c r="G771" s="27"/>
      <c r="H771" s="27"/>
    </row>
    <row r="772" spans="1:8" ht="15">
      <c r="A772" s="25"/>
      <c r="B772" s="27"/>
      <c r="C772" s="27"/>
      <c r="D772" s="27"/>
      <c r="E772" s="27"/>
      <c r="F772" s="27"/>
      <c r="G772" s="27"/>
      <c r="H772" s="27"/>
    </row>
    <row r="773" spans="1:8" ht="15">
      <c r="A773" s="25"/>
      <c r="B773" s="27"/>
      <c r="C773" s="27"/>
      <c r="D773" s="27"/>
      <c r="E773" s="27"/>
      <c r="F773" s="27"/>
      <c r="G773" s="27"/>
      <c r="H773" s="27"/>
    </row>
    <row r="774" spans="1:8" ht="15">
      <c r="A774" s="25"/>
      <c r="B774" s="27"/>
      <c r="C774" s="27"/>
      <c r="D774" s="27"/>
      <c r="E774" s="27"/>
      <c r="F774" s="27"/>
      <c r="G774" s="27"/>
      <c r="H774" s="27"/>
    </row>
    <row r="775" spans="1:8" ht="15">
      <c r="A775" s="25"/>
      <c r="B775" s="27"/>
      <c r="C775" s="27"/>
      <c r="D775" s="27"/>
      <c r="E775" s="27"/>
      <c r="F775" s="27"/>
      <c r="G775" s="27"/>
      <c r="H775" s="27"/>
    </row>
    <row r="776" spans="1:8" ht="15">
      <c r="A776" s="25"/>
      <c r="B776" s="27"/>
      <c r="C776" s="27"/>
      <c r="D776" s="27"/>
      <c r="E776" s="27"/>
      <c r="F776" s="27"/>
      <c r="G776" s="27"/>
      <c r="H776" s="27"/>
    </row>
    <row r="777" spans="1:8" ht="15">
      <c r="A777" s="25"/>
      <c r="B777" s="27"/>
      <c r="C777" s="27"/>
      <c r="D777" s="27"/>
      <c r="E777" s="27"/>
      <c r="F777" s="27"/>
      <c r="G777" s="27"/>
      <c r="H777" s="27"/>
    </row>
    <row r="778" spans="1:8" ht="15">
      <c r="A778" s="25"/>
      <c r="B778" s="27"/>
      <c r="C778" s="27"/>
      <c r="D778" s="27"/>
      <c r="E778" s="27"/>
      <c r="F778" s="27"/>
      <c r="G778" s="27"/>
      <c r="H778" s="27"/>
    </row>
    <row r="779" spans="1:8" ht="15">
      <c r="A779" s="25"/>
      <c r="B779" s="27"/>
      <c r="C779" s="27"/>
      <c r="D779" s="27"/>
      <c r="E779" s="27"/>
      <c r="F779" s="27"/>
      <c r="G779" s="27"/>
      <c r="H779" s="27"/>
    </row>
    <row r="780" spans="1:8" ht="15">
      <c r="A780" s="25"/>
      <c r="B780" s="27"/>
      <c r="C780" s="27"/>
      <c r="D780" s="27"/>
      <c r="E780" s="27"/>
      <c r="F780" s="27"/>
      <c r="G780" s="27"/>
      <c r="H780" s="27"/>
    </row>
    <row r="781" spans="1:8" ht="15">
      <c r="A781" s="25"/>
      <c r="B781" s="27"/>
      <c r="C781" s="27"/>
      <c r="D781" s="27"/>
      <c r="E781" s="27"/>
      <c r="F781" s="27"/>
      <c r="G781" s="27"/>
      <c r="H781" s="27"/>
    </row>
    <row r="782" spans="1:8" ht="15">
      <c r="A782" s="25"/>
      <c r="B782" s="27"/>
      <c r="C782" s="27"/>
      <c r="D782" s="27"/>
      <c r="E782" s="27"/>
      <c r="F782" s="27"/>
      <c r="G782" s="27"/>
      <c r="H782" s="27"/>
    </row>
    <row r="783" spans="1:8" ht="15">
      <c r="A783" s="25"/>
      <c r="B783" s="27"/>
      <c r="C783" s="27"/>
      <c r="D783" s="27"/>
      <c r="E783" s="27"/>
      <c r="F783" s="27"/>
      <c r="G783" s="27"/>
      <c r="H783" s="27"/>
    </row>
    <row r="784" spans="1:8" ht="15">
      <c r="A784" s="25"/>
      <c r="B784" s="27"/>
      <c r="C784" s="27"/>
      <c r="D784" s="27"/>
      <c r="E784" s="27"/>
      <c r="F784" s="27"/>
      <c r="G784" s="27"/>
      <c r="H784" s="27"/>
    </row>
    <row r="785" spans="1:8" ht="15">
      <c r="A785" s="25"/>
      <c r="B785" s="27"/>
      <c r="C785" s="27"/>
      <c r="D785" s="27"/>
      <c r="E785" s="27"/>
      <c r="F785" s="27"/>
      <c r="G785" s="27"/>
      <c r="H785" s="27"/>
    </row>
    <row r="786" spans="1:8" ht="15">
      <c r="A786" s="25"/>
      <c r="B786" s="27"/>
      <c r="C786" s="27"/>
      <c r="D786" s="27"/>
      <c r="E786" s="27"/>
      <c r="F786" s="27"/>
      <c r="G786" s="27"/>
      <c r="H786" s="27"/>
    </row>
    <row r="787" spans="1:8" ht="15">
      <c r="A787" s="25"/>
      <c r="B787" s="27"/>
      <c r="C787" s="27"/>
      <c r="D787" s="27"/>
      <c r="E787" s="27"/>
      <c r="F787" s="27"/>
      <c r="G787" s="27"/>
      <c r="H787" s="27"/>
    </row>
    <row r="788" spans="1:8" ht="15">
      <c r="A788" s="3"/>
      <c r="B788" s="3"/>
      <c r="C788" s="3"/>
      <c r="D788" s="3"/>
      <c r="E788" s="3"/>
      <c r="F788" s="3"/>
      <c r="G788" s="3"/>
      <c r="H788" s="3"/>
    </row>
    <row r="789" spans="1:8" ht="15">
      <c r="A789" s="3"/>
      <c r="B789" s="3"/>
      <c r="C789" s="3"/>
      <c r="D789" s="3"/>
      <c r="E789" s="3"/>
      <c r="F789" s="3"/>
      <c r="G789" s="3"/>
      <c r="H789" s="3"/>
    </row>
    <row r="790" spans="1:8" ht="15">
      <c r="A790" s="3"/>
      <c r="B790" s="3"/>
      <c r="C790" s="3"/>
      <c r="D790" s="3"/>
      <c r="E790" s="3"/>
      <c r="F790" s="3"/>
      <c r="G790" s="3"/>
      <c r="H790" s="3"/>
    </row>
    <row r="791" spans="1:8" ht="15">
      <c r="A791" s="3"/>
      <c r="B791" s="3"/>
      <c r="C791" s="3"/>
      <c r="D791" s="3"/>
      <c r="E791" s="3"/>
      <c r="F791" s="3"/>
      <c r="G791" s="3"/>
      <c r="H791" s="3"/>
    </row>
    <row r="792" spans="1:8" ht="15">
      <c r="A792" s="3"/>
      <c r="B792" s="3"/>
      <c r="C792" s="3"/>
      <c r="D792" s="3"/>
      <c r="E792" s="3"/>
      <c r="F792" s="3"/>
      <c r="G792" s="3"/>
      <c r="H792" s="3"/>
    </row>
    <row r="793" spans="1:8" ht="15">
      <c r="A793" s="3"/>
      <c r="B793" s="3"/>
      <c r="C793" s="3"/>
      <c r="D793" s="3"/>
      <c r="E793" s="3"/>
      <c r="F793" s="3"/>
      <c r="G793" s="3"/>
      <c r="H793" s="3"/>
    </row>
    <row r="794" spans="1:8" ht="15">
      <c r="A794" s="3"/>
      <c r="B794" s="3"/>
      <c r="C794" s="3"/>
      <c r="D794" s="3"/>
      <c r="E794" s="3"/>
      <c r="F794" s="3"/>
      <c r="G794" s="3"/>
      <c r="H794" s="3"/>
    </row>
    <row r="795" spans="1:8" ht="15">
      <c r="A795" s="3"/>
      <c r="B795" s="3"/>
      <c r="C795" s="3"/>
      <c r="D795" s="3"/>
      <c r="E795" s="3"/>
      <c r="F795" s="3"/>
      <c r="G795" s="3"/>
      <c r="H795" s="3"/>
    </row>
    <row r="796" spans="1:8" ht="15">
      <c r="A796" s="3"/>
      <c r="B796" s="3"/>
      <c r="C796" s="3"/>
      <c r="D796" s="3"/>
      <c r="E796" s="3"/>
      <c r="F796" s="3"/>
      <c r="G796" s="3"/>
      <c r="H796" s="3"/>
    </row>
    <row r="797" spans="1:8" ht="15">
      <c r="A797" s="3"/>
      <c r="B797" s="3"/>
      <c r="C797" s="3"/>
      <c r="D797" s="3"/>
      <c r="E797" s="3"/>
      <c r="F797" s="3"/>
      <c r="G797" s="3"/>
      <c r="H797" s="3"/>
    </row>
    <row r="798" spans="1:8" ht="15">
      <c r="A798" s="3"/>
      <c r="B798" s="3"/>
      <c r="C798" s="3"/>
      <c r="D798" s="3"/>
      <c r="E798" s="3"/>
      <c r="F798" s="3"/>
      <c r="G798" s="3"/>
      <c r="H798" s="3"/>
    </row>
    <row r="799" spans="1:8" ht="15">
      <c r="A799" s="3"/>
      <c r="B799" s="3"/>
      <c r="C799" s="3"/>
      <c r="D799" s="3"/>
      <c r="E799" s="3"/>
      <c r="F799" s="3"/>
      <c r="G799" s="3"/>
      <c r="H799" s="3"/>
    </row>
    <row r="800" spans="1:8" ht="15">
      <c r="A800" s="3"/>
      <c r="B800" s="3"/>
      <c r="C800" s="3"/>
      <c r="D800" s="3"/>
      <c r="E800" s="3"/>
      <c r="F800" s="3"/>
      <c r="G800" s="3"/>
      <c r="H800" s="3"/>
    </row>
    <row r="801" spans="1:8" ht="15">
      <c r="A801" s="3"/>
      <c r="B801" s="3"/>
      <c r="C801" s="3"/>
      <c r="D801" s="3"/>
      <c r="E801" s="3"/>
      <c r="F801" s="3"/>
      <c r="G801" s="3"/>
      <c r="H801" s="3"/>
    </row>
    <row r="802" spans="1:8" ht="15">
      <c r="A802" s="3"/>
      <c r="B802" s="3"/>
      <c r="C802" s="3"/>
      <c r="D802" s="3"/>
      <c r="E802" s="3"/>
      <c r="F802" s="3"/>
      <c r="G802" s="3"/>
      <c r="H802" s="3"/>
    </row>
    <row r="803" spans="1:8" ht="15">
      <c r="A803" s="3"/>
      <c r="B803" s="3"/>
      <c r="C803" s="3"/>
      <c r="D803" s="3"/>
      <c r="E803" s="3"/>
      <c r="F803" s="3"/>
      <c r="G803" s="3"/>
      <c r="H803" s="3"/>
    </row>
    <row r="804" spans="1:8" ht="15">
      <c r="A804" s="3"/>
      <c r="B804" s="3"/>
      <c r="C804" s="3"/>
      <c r="D804" s="3"/>
      <c r="E804" s="3"/>
      <c r="F804" s="3"/>
      <c r="G804" s="3"/>
      <c r="H804" s="3"/>
    </row>
    <row r="805" spans="1:8" ht="15">
      <c r="A805" s="3"/>
      <c r="B805" s="3"/>
      <c r="C805" s="3"/>
      <c r="D805" s="3"/>
      <c r="E805" s="3"/>
      <c r="F805" s="3"/>
      <c r="G805" s="3"/>
      <c r="H805" s="3"/>
    </row>
    <row r="806" spans="1:8" ht="15">
      <c r="A806" s="3"/>
      <c r="B806" s="3"/>
      <c r="C806" s="3"/>
      <c r="D806" s="3"/>
      <c r="E806" s="3"/>
      <c r="F806" s="3"/>
      <c r="G806" s="3"/>
      <c r="H806" s="3"/>
    </row>
    <row r="807" spans="1:8" ht="15">
      <c r="A807" s="3"/>
      <c r="B807" s="3"/>
      <c r="C807" s="3"/>
      <c r="D807" s="3"/>
      <c r="E807" s="3"/>
      <c r="F807" s="3"/>
      <c r="G807" s="3"/>
      <c r="H807" s="3"/>
    </row>
    <row r="808" spans="1:8" ht="15">
      <c r="A808" s="3"/>
      <c r="B808" s="3"/>
      <c r="C808" s="3"/>
      <c r="D808" s="3"/>
      <c r="E808" s="3"/>
      <c r="F808" s="3"/>
      <c r="G808" s="3"/>
      <c r="H808" s="3"/>
    </row>
    <row r="809" spans="1:8" ht="15">
      <c r="A809" s="3"/>
      <c r="B809" s="3"/>
      <c r="C809" s="3"/>
      <c r="D809" s="3"/>
      <c r="E809" s="3"/>
      <c r="F809" s="3"/>
      <c r="G809" s="3"/>
      <c r="H809" s="3"/>
    </row>
    <row r="810" spans="1:8" ht="15">
      <c r="A810" s="3"/>
      <c r="B810" s="3"/>
      <c r="C810" s="3"/>
      <c r="D810" s="3"/>
      <c r="E810" s="3"/>
      <c r="F810" s="3"/>
      <c r="G810" s="3"/>
      <c r="H810" s="3"/>
    </row>
    <row r="811" spans="1:8" ht="15">
      <c r="A811" s="3"/>
      <c r="B811" s="3"/>
      <c r="C811" s="3"/>
      <c r="D811" s="3"/>
      <c r="E811" s="3"/>
      <c r="F811" s="3"/>
      <c r="G811" s="3"/>
      <c r="H811" s="3"/>
    </row>
    <row r="812" spans="1:8" ht="15">
      <c r="A812" s="3"/>
      <c r="B812" s="3"/>
      <c r="C812" s="3"/>
      <c r="D812" s="3"/>
      <c r="E812" s="3"/>
      <c r="F812" s="3"/>
      <c r="G812" s="3"/>
      <c r="H812" s="3"/>
    </row>
    <row r="813" spans="1:8" ht="15">
      <c r="A813" s="3"/>
      <c r="B813" s="3"/>
      <c r="C813" s="3"/>
      <c r="D813" s="3"/>
      <c r="E813" s="3"/>
      <c r="F813" s="3"/>
      <c r="G813" s="3"/>
      <c r="H813" s="3"/>
    </row>
    <row r="814" spans="1:8" ht="15">
      <c r="A814" s="3"/>
      <c r="B814" s="3"/>
      <c r="C814" s="3"/>
      <c r="D814" s="3"/>
      <c r="E814" s="3"/>
      <c r="F814" s="3"/>
      <c r="G814" s="3"/>
      <c r="H814" s="3"/>
    </row>
    <row r="815" spans="1:8" ht="15">
      <c r="A815" s="3"/>
      <c r="B815" s="3"/>
      <c r="C815" s="3"/>
      <c r="D815" s="3"/>
      <c r="E815" s="3"/>
      <c r="F815" s="3"/>
      <c r="G815" s="3"/>
      <c r="H815" s="3"/>
    </row>
    <row r="816" spans="1:8" ht="15">
      <c r="A816" s="3"/>
      <c r="B816" s="3"/>
      <c r="C816" s="3"/>
      <c r="D816" s="3"/>
      <c r="E816" s="3"/>
      <c r="F816" s="3"/>
      <c r="G816" s="3"/>
      <c r="H816" s="3"/>
    </row>
    <row r="817" spans="1:8" ht="15">
      <c r="A817" s="3"/>
      <c r="B817" s="3"/>
      <c r="C817" s="3"/>
      <c r="D817" s="3"/>
      <c r="E817" s="3"/>
      <c r="F817" s="3"/>
      <c r="G817" s="3"/>
      <c r="H817" s="3"/>
    </row>
    <row r="818" spans="1:8" ht="15">
      <c r="A818" s="3"/>
      <c r="B818" s="3"/>
      <c r="C818" s="3"/>
      <c r="D818" s="3"/>
      <c r="E818" s="3"/>
      <c r="F818" s="3"/>
      <c r="G818" s="3"/>
      <c r="H818" s="3"/>
    </row>
    <row r="819" spans="1:8" ht="15">
      <c r="A819" s="3"/>
      <c r="B819" s="3"/>
      <c r="C819" s="3"/>
      <c r="D819" s="3"/>
      <c r="E819" s="3"/>
      <c r="F819" s="3"/>
      <c r="G819" s="3"/>
      <c r="H819" s="3"/>
    </row>
    <row r="820" spans="1:8" ht="15">
      <c r="A820" s="3"/>
      <c r="B820" s="3"/>
      <c r="C820" s="3"/>
      <c r="D820" s="3"/>
      <c r="E820" s="3"/>
      <c r="F820" s="3"/>
      <c r="G820" s="3"/>
      <c r="H820" s="3"/>
    </row>
    <row r="821" spans="1:8" ht="15">
      <c r="A821" s="3"/>
      <c r="B821" s="3"/>
      <c r="C821" s="3"/>
      <c r="D821" s="3"/>
      <c r="E821" s="3"/>
      <c r="F821" s="3"/>
      <c r="G821" s="3"/>
      <c r="H821" s="3"/>
    </row>
    <row r="822" spans="1:8" ht="15">
      <c r="A822" s="3"/>
      <c r="B822" s="3"/>
      <c r="C822" s="3"/>
      <c r="D822" s="3"/>
      <c r="E822" s="3"/>
      <c r="F822" s="3"/>
      <c r="G822" s="3"/>
      <c r="H822" s="3"/>
    </row>
    <row r="823" spans="1:8" ht="15">
      <c r="A823" s="3"/>
      <c r="B823" s="3"/>
      <c r="C823" s="3"/>
      <c r="D823" s="3"/>
      <c r="E823" s="3"/>
      <c r="F823" s="3"/>
      <c r="G823" s="3"/>
      <c r="H823" s="3"/>
    </row>
    <row r="824" spans="1:8" ht="15">
      <c r="A824" s="3"/>
      <c r="B824" s="3"/>
      <c r="C824" s="3"/>
      <c r="D824" s="3"/>
      <c r="E824" s="3"/>
      <c r="F824" s="3"/>
      <c r="G824" s="3"/>
      <c r="H824" s="3"/>
    </row>
    <row r="825" spans="1:8" ht="15">
      <c r="A825" s="3"/>
      <c r="B825" s="3"/>
      <c r="C825" s="3"/>
      <c r="D825" s="3"/>
      <c r="E825" s="3"/>
      <c r="F825" s="3"/>
      <c r="G825" s="3"/>
      <c r="H825" s="3"/>
    </row>
    <row r="826" spans="1:8" ht="15">
      <c r="A826" s="3"/>
      <c r="B826" s="3"/>
      <c r="C826" s="3"/>
      <c r="D826" s="3"/>
      <c r="E826" s="3"/>
      <c r="F826" s="3"/>
      <c r="G826" s="3"/>
      <c r="H826" s="3"/>
    </row>
    <row r="827" spans="1:8" ht="15">
      <c r="A827" s="3"/>
      <c r="B827" s="3"/>
      <c r="C827" s="3"/>
      <c r="D827" s="3"/>
      <c r="E827" s="3"/>
      <c r="F827" s="3"/>
      <c r="G827" s="3"/>
      <c r="H827" s="3"/>
    </row>
    <row r="828" spans="1:8" ht="15">
      <c r="A828" s="3"/>
      <c r="B828" s="3"/>
      <c r="C828" s="3"/>
      <c r="D828" s="3"/>
      <c r="E828" s="3"/>
      <c r="F828" s="3"/>
      <c r="G828" s="3"/>
      <c r="H828" s="3"/>
    </row>
    <row r="829" spans="1:8" ht="15">
      <c r="A829" s="3"/>
      <c r="B829" s="3"/>
      <c r="C829" s="3"/>
      <c r="D829" s="3"/>
      <c r="E829" s="3"/>
      <c r="F829" s="3"/>
      <c r="G829" s="3"/>
      <c r="H829" s="3"/>
    </row>
    <row r="830" spans="1:8" ht="15">
      <c r="A830" s="3"/>
      <c r="B830" s="3"/>
      <c r="C830" s="3"/>
      <c r="D830" s="3"/>
      <c r="E830" s="3"/>
      <c r="F830" s="3"/>
      <c r="G830" s="3"/>
      <c r="H830" s="3"/>
    </row>
    <row r="831" spans="1:8" ht="15">
      <c r="A831" s="3"/>
      <c r="B831" s="3"/>
      <c r="C831" s="3"/>
      <c r="D831" s="3"/>
      <c r="E831" s="3"/>
      <c r="F831" s="3"/>
      <c r="G831" s="3"/>
      <c r="H831" s="3"/>
    </row>
    <row r="832" spans="1:8" ht="15">
      <c r="A832" s="3"/>
      <c r="B832" s="3"/>
      <c r="C832" s="3"/>
      <c r="D832" s="3"/>
      <c r="E832" s="3"/>
      <c r="F832" s="3"/>
      <c r="G832" s="3"/>
      <c r="H832" s="3"/>
    </row>
    <row r="833" spans="1:8" ht="15">
      <c r="A833" s="3"/>
      <c r="B833" s="3"/>
      <c r="C833" s="3"/>
      <c r="D833" s="3"/>
      <c r="E833" s="3"/>
      <c r="F833" s="3"/>
      <c r="G833" s="3"/>
      <c r="H833" s="3"/>
    </row>
    <row r="834" spans="1:8" ht="15">
      <c r="A834" s="3"/>
      <c r="B834" s="3"/>
      <c r="C834" s="3"/>
      <c r="D834" s="3"/>
      <c r="E834" s="3"/>
      <c r="F834" s="3"/>
      <c r="G834" s="3"/>
      <c r="H834" s="3"/>
    </row>
    <row r="835" spans="1:8" ht="15">
      <c r="A835" s="3"/>
      <c r="B835" s="3"/>
      <c r="C835" s="3"/>
      <c r="D835" s="3"/>
      <c r="E835" s="3"/>
      <c r="F835" s="3"/>
      <c r="G835" s="3"/>
      <c r="H835" s="3"/>
    </row>
    <row r="836" spans="1:8" ht="15">
      <c r="A836" s="3"/>
      <c r="B836" s="3"/>
      <c r="C836" s="3"/>
      <c r="D836" s="3"/>
      <c r="E836" s="3"/>
      <c r="F836" s="3"/>
      <c r="G836" s="3"/>
      <c r="H836" s="3"/>
    </row>
    <row r="837" spans="1:8" ht="15">
      <c r="A837" s="3"/>
      <c r="B837" s="3"/>
      <c r="C837" s="3"/>
      <c r="D837" s="3"/>
      <c r="E837" s="3"/>
      <c r="F837" s="3"/>
      <c r="G837" s="3"/>
      <c r="H837" s="3"/>
    </row>
    <row r="838" spans="1:8" ht="15">
      <c r="A838" s="3"/>
      <c r="B838" s="3"/>
      <c r="C838" s="3"/>
      <c r="D838" s="3"/>
      <c r="E838" s="3"/>
      <c r="F838" s="3"/>
      <c r="G838" s="3"/>
      <c r="H838" s="3"/>
    </row>
    <row r="839" spans="1:8" ht="15">
      <c r="A839" s="3"/>
      <c r="B839" s="3"/>
      <c r="C839" s="3"/>
      <c r="D839" s="3"/>
      <c r="E839" s="3"/>
      <c r="F839" s="3"/>
      <c r="G839" s="3"/>
      <c r="H839" s="3"/>
    </row>
    <row r="840" spans="1:8" ht="15">
      <c r="A840" s="3"/>
      <c r="B840" s="3"/>
      <c r="C840" s="3"/>
      <c r="D840" s="3"/>
      <c r="E840" s="3"/>
      <c r="F840" s="3"/>
      <c r="G840" s="3"/>
      <c r="H840" s="3"/>
    </row>
    <row r="841" spans="1:8" ht="15">
      <c r="A841" s="3"/>
      <c r="B841" s="3"/>
      <c r="C841" s="3"/>
      <c r="D841" s="3"/>
      <c r="E841" s="3"/>
      <c r="F841" s="3"/>
      <c r="G841" s="3"/>
      <c r="H841" s="3"/>
    </row>
    <row r="842" spans="1:8" ht="15">
      <c r="A842" s="3"/>
      <c r="B842" s="3"/>
      <c r="C842" s="3"/>
      <c r="D842" s="3"/>
      <c r="E842" s="3"/>
      <c r="F842" s="3"/>
      <c r="G842" s="3"/>
      <c r="H842" s="3"/>
    </row>
    <row r="843" spans="1:8" ht="15">
      <c r="A843" s="3"/>
      <c r="B843" s="3"/>
      <c r="C843" s="3"/>
      <c r="D843" s="3"/>
      <c r="E843" s="3"/>
      <c r="F843" s="3"/>
      <c r="G843" s="3"/>
      <c r="H843" s="3"/>
    </row>
    <row r="844" spans="1:8" ht="15">
      <c r="A844" s="3"/>
      <c r="B844" s="3"/>
      <c r="C844" s="3"/>
      <c r="D844" s="3"/>
      <c r="E844" s="3"/>
      <c r="F844" s="3"/>
      <c r="G844" s="3"/>
      <c r="H844" s="3"/>
    </row>
    <row r="845" spans="1:8" ht="15">
      <c r="A845" s="3"/>
      <c r="B845" s="3"/>
      <c r="C845" s="3"/>
      <c r="D845" s="3"/>
      <c r="E845" s="3"/>
      <c r="F845" s="3"/>
      <c r="G845" s="3"/>
      <c r="H845" s="3"/>
    </row>
    <row r="846" spans="1:8" ht="15">
      <c r="A846" s="3"/>
      <c r="B846" s="3"/>
      <c r="C846" s="3"/>
      <c r="D846" s="3"/>
      <c r="E846" s="3"/>
      <c r="F846" s="3"/>
      <c r="G846" s="3"/>
      <c r="H846" s="3"/>
    </row>
    <row r="847" spans="1:8" ht="15">
      <c r="A847" s="3"/>
      <c r="B847" s="3"/>
      <c r="C847" s="3"/>
      <c r="D847" s="3"/>
      <c r="E847" s="3"/>
      <c r="F847" s="3"/>
      <c r="G847" s="3"/>
      <c r="H847" s="3"/>
    </row>
    <row r="848" spans="1:8" ht="15">
      <c r="A848" s="3"/>
      <c r="B848" s="3"/>
      <c r="C848" s="3"/>
      <c r="D848" s="3"/>
      <c r="E848" s="3"/>
      <c r="F848" s="3"/>
      <c r="G848" s="3"/>
      <c r="H848" s="3"/>
    </row>
    <row r="849" spans="1:8" ht="15">
      <c r="A849" s="3"/>
      <c r="B849" s="3"/>
      <c r="C849" s="3"/>
      <c r="D849" s="3"/>
      <c r="E849" s="3"/>
      <c r="F849" s="3"/>
      <c r="G849" s="3"/>
      <c r="H849" s="3"/>
    </row>
    <row r="850" spans="1:8" ht="15">
      <c r="A850" s="3"/>
      <c r="B850" s="3"/>
      <c r="C850" s="3"/>
      <c r="D850" s="3"/>
      <c r="E850" s="3"/>
      <c r="F850" s="3"/>
      <c r="G850" s="3"/>
      <c r="H850" s="3"/>
    </row>
    <row r="851" spans="1:8" ht="15">
      <c r="A851" s="3"/>
      <c r="B851" s="3"/>
      <c r="C851" s="3"/>
      <c r="D851" s="3"/>
      <c r="E851" s="3"/>
      <c r="F851" s="3"/>
      <c r="G851" s="3"/>
      <c r="H851" s="3"/>
    </row>
    <row r="852" spans="1:8" ht="15">
      <c r="A852" s="3"/>
      <c r="B852" s="3"/>
      <c r="C852" s="3"/>
      <c r="D852" s="3"/>
      <c r="E852" s="3"/>
      <c r="F852" s="3"/>
      <c r="G852" s="3"/>
      <c r="H852" s="3"/>
    </row>
    <row r="853" spans="1:8" ht="15">
      <c r="A853" s="3"/>
      <c r="B853" s="3"/>
      <c r="C853" s="3"/>
      <c r="D853" s="3"/>
      <c r="E853" s="3"/>
      <c r="F853" s="3"/>
      <c r="G853" s="3"/>
      <c r="H853" s="3"/>
    </row>
    <row r="854" spans="1:8" ht="15">
      <c r="A854" s="3"/>
      <c r="B854" s="3"/>
      <c r="C854" s="3"/>
      <c r="D854" s="3"/>
      <c r="E854" s="3"/>
      <c r="F854" s="3"/>
      <c r="G854" s="3"/>
      <c r="H854" s="3"/>
    </row>
    <row r="855" spans="1:8" ht="15">
      <c r="A855" s="3"/>
      <c r="B855" s="3"/>
      <c r="C855" s="3"/>
      <c r="D855" s="3"/>
      <c r="E855" s="3"/>
      <c r="F855" s="3"/>
      <c r="G855" s="3"/>
      <c r="H855" s="3"/>
    </row>
    <row r="856" spans="1:8" ht="15">
      <c r="A856" s="3"/>
      <c r="B856" s="3"/>
      <c r="C856" s="3"/>
      <c r="D856" s="3"/>
      <c r="E856" s="3"/>
      <c r="F856" s="3"/>
      <c r="G856" s="3"/>
      <c r="H856" s="3"/>
    </row>
    <row r="857" spans="1:8" ht="15">
      <c r="A857" s="3"/>
      <c r="B857" s="3"/>
      <c r="C857" s="3"/>
      <c r="D857" s="3"/>
      <c r="E857" s="3"/>
      <c r="F857" s="3"/>
      <c r="G857" s="3"/>
      <c r="H857" s="3"/>
    </row>
    <row r="858" spans="1:8" ht="15">
      <c r="A858" s="3"/>
      <c r="B858" s="3"/>
      <c r="C858" s="3"/>
      <c r="D858" s="3"/>
      <c r="E858" s="3"/>
      <c r="F858" s="3"/>
      <c r="G858" s="3"/>
      <c r="H858" s="3"/>
    </row>
    <row r="859" spans="1:8" ht="15">
      <c r="A859" s="3"/>
      <c r="B859" s="3"/>
      <c r="C859" s="3"/>
      <c r="D859" s="3"/>
      <c r="E859" s="3"/>
      <c r="F859" s="3"/>
      <c r="G859" s="3"/>
      <c r="H859" s="3"/>
    </row>
    <row r="860" spans="1:8" ht="15">
      <c r="A860" s="3"/>
      <c r="B860" s="3"/>
      <c r="C860" s="3"/>
      <c r="D860" s="3"/>
      <c r="E860" s="3"/>
      <c r="F860" s="3"/>
      <c r="G860" s="3"/>
      <c r="H860" s="3"/>
    </row>
    <row r="861" spans="1:8" ht="15">
      <c r="A861" s="3"/>
      <c r="B861" s="3"/>
      <c r="C861" s="3"/>
      <c r="D861" s="3"/>
      <c r="E861" s="3"/>
      <c r="F861" s="3"/>
      <c r="G861" s="3"/>
      <c r="H861" s="3"/>
    </row>
    <row r="862" spans="1:8" ht="15">
      <c r="A862" s="3"/>
      <c r="B862" s="3"/>
      <c r="C862" s="3"/>
      <c r="D862" s="3"/>
      <c r="E862" s="3"/>
      <c r="F862" s="3"/>
      <c r="G862" s="3"/>
      <c r="H862" s="3"/>
    </row>
    <row r="863" spans="1:8" ht="15">
      <c r="A863" s="3"/>
      <c r="B863" s="3"/>
      <c r="C863" s="3"/>
      <c r="D863" s="3"/>
      <c r="E863" s="3"/>
      <c r="F863" s="3"/>
      <c r="G863" s="3"/>
      <c r="H863" s="3"/>
    </row>
    <row r="864" spans="1:8" ht="15">
      <c r="A864" s="3"/>
      <c r="B864" s="3"/>
      <c r="C864" s="3"/>
      <c r="D864" s="3"/>
      <c r="E864" s="3"/>
      <c r="F864" s="3"/>
      <c r="G864" s="3"/>
      <c r="H864" s="3"/>
    </row>
    <row r="865" spans="1:8" ht="15">
      <c r="A865" s="3"/>
      <c r="B865" s="3"/>
      <c r="C865" s="3"/>
      <c r="D865" s="3"/>
      <c r="E865" s="3"/>
      <c r="F865" s="3"/>
      <c r="G865" s="3"/>
      <c r="H865" s="3"/>
    </row>
    <row r="866" spans="1:8" ht="15">
      <c r="A866" s="3"/>
      <c r="B866" s="3"/>
      <c r="C866" s="3"/>
      <c r="D866" s="3"/>
      <c r="E866" s="3"/>
      <c r="F866" s="3"/>
      <c r="G866" s="3"/>
      <c r="H866" s="3"/>
    </row>
    <row r="867" spans="1:8" ht="15">
      <c r="A867" s="3"/>
      <c r="B867" s="3"/>
      <c r="C867" s="3"/>
      <c r="D867" s="3"/>
      <c r="E867" s="3"/>
      <c r="F867" s="3"/>
      <c r="G867" s="3"/>
      <c r="H867" s="3"/>
    </row>
    <row r="868" spans="1:8" ht="15">
      <c r="A868" s="3"/>
      <c r="B868" s="3"/>
      <c r="C868" s="3"/>
      <c r="D868" s="3"/>
      <c r="E868" s="3"/>
      <c r="F868" s="3"/>
      <c r="G868" s="3"/>
      <c r="H868" s="3"/>
    </row>
    <row r="869" spans="1:8" ht="15">
      <c r="A869" s="3"/>
      <c r="B869" s="3"/>
      <c r="C869" s="3"/>
      <c r="D869" s="3"/>
      <c r="E869" s="3"/>
      <c r="F869" s="3"/>
      <c r="G869" s="3"/>
      <c r="H869" s="3"/>
    </row>
    <row r="870" spans="1:8" ht="15">
      <c r="A870" s="3"/>
      <c r="B870" s="3"/>
      <c r="C870" s="3"/>
      <c r="D870" s="3"/>
      <c r="E870" s="3"/>
      <c r="F870" s="3"/>
      <c r="G870" s="3"/>
      <c r="H870" s="3"/>
    </row>
    <row r="871" spans="1:8" ht="15">
      <c r="A871" s="3"/>
      <c r="B871" s="3"/>
      <c r="C871" s="3"/>
      <c r="D871" s="3"/>
      <c r="E871" s="3"/>
      <c r="F871" s="3"/>
      <c r="G871" s="3"/>
      <c r="H871" s="3"/>
    </row>
    <row r="872" spans="1:8" ht="15">
      <c r="A872" s="3"/>
      <c r="B872" s="3"/>
      <c r="C872" s="3"/>
      <c r="D872" s="3"/>
      <c r="E872" s="3"/>
      <c r="F872" s="3"/>
      <c r="G872" s="3"/>
      <c r="H872" s="3"/>
    </row>
    <row r="873" spans="1:8" ht="15">
      <c r="A873" s="3"/>
      <c r="B873" s="3"/>
      <c r="C873" s="3"/>
      <c r="D873" s="3"/>
      <c r="E873" s="3"/>
      <c r="F873" s="3"/>
      <c r="G873" s="3"/>
      <c r="H873" s="3"/>
    </row>
    <row r="874" spans="1:8" ht="15">
      <c r="A874" s="3"/>
      <c r="B874" s="3"/>
      <c r="C874" s="3"/>
      <c r="D874" s="3"/>
      <c r="E874" s="3"/>
      <c r="F874" s="3"/>
      <c r="G874" s="3"/>
      <c r="H874" s="3"/>
    </row>
    <row r="875" spans="1:8" ht="15">
      <c r="A875" s="3"/>
      <c r="B875" s="3"/>
      <c r="C875" s="3"/>
      <c r="D875" s="3"/>
      <c r="E875" s="3"/>
      <c r="F875" s="3"/>
      <c r="G875" s="3"/>
      <c r="H875" s="3"/>
    </row>
    <row r="876" spans="1:8" ht="15">
      <c r="A876" s="3"/>
      <c r="B876" s="3"/>
      <c r="C876" s="3"/>
      <c r="D876" s="3"/>
      <c r="E876" s="3"/>
      <c r="F876" s="3"/>
      <c r="G876" s="3"/>
      <c r="H876" s="3"/>
    </row>
    <row r="877" spans="1:8" ht="15">
      <c r="A877" s="3"/>
      <c r="B877" s="3"/>
      <c r="C877" s="3"/>
      <c r="D877" s="3"/>
      <c r="E877" s="3"/>
      <c r="F877" s="3"/>
      <c r="G877" s="3"/>
      <c r="H877" s="3"/>
    </row>
    <row r="878" spans="1:8" ht="15">
      <c r="A878" s="3"/>
      <c r="B878" s="3"/>
      <c r="C878" s="3"/>
      <c r="D878" s="3"/>
      <c r="E878" s="3"/>
      <c r="F878" s="3"/>
      <c r="G878" s="3"/>
      <c r="H878" s="3"/>
    </row>
    <row r="879" spans="1:8" ht="15">
      <c r="A879" s="3"/>
      <c r="B879" s="3"/>
      <c r="C879" s="3"/>
      <c r="D879" s="3"/>
      <c r="E879" s="3"/>
      <c r="F879" s="3"/>
      <c r="G879" s="3"/>
      <c r="H879" s="3"/>
    </row>
    <row r="880" spans="1:8" ht="15">
      <c r="A880" s="3"/>
      <c r="B880" s="3"/>
      <c r="C880" s="3"/>
      <c r="D880" s="3"/>
      <c r="E880" s="3"/>
      <c r="F880" s="3"/>
      <c r="G880" s="3"/>
      <c r="H880" s="3"/>
    </row>
    <row r="881" spans="1:8" ht="15">
      <c r="A881" s="3"/>
      <c r="B881" s="3"/>
      <c r="C881" s="3"/>
      <c r="D881" s="3"/>
      <c r="E881" s="3"/>
      <c r="F881" s="3"/>
      <c r="G881" s="3"/>
      <c r="H881" s="3"/>
    </row>
    <row r="882" spans="1:8" ht="15">
      <c r="A882" s="3"/>
      <c r="B882" s="3"/>
      <c r="C882" s="3"/>
      <c r="D882" s="3"/>
      <c r="E882" s="3"/>
      <c r="F882" s="3"/>
      <c r="G882" s="3"/>
      <c r="H882" s="3"/>
    </row>
    <row r="883" spans="1:8" ht="15">
      <c r="A883" s="3"/>
      <c r="B883" s="3"/>
      <c r="C883" s="3"/>
      <c r="D883" s="3"/>
      <c r="E883" s="3"/>
      <c r="F883" s="3"/>
      <c r="G883" s="3"/>
      <c r="H883" s="3"/>
    </row>
    <row r="884" spans="1:8" ht="15">
      <c r="A884" s="3"/>
      <c r="B884" s="3"/>
      <c r="C884" s="3"/>
      <c r="D884" s="3"/>
      <c r="E884" s="3"/>
      <c r="F884" s="3"/>
      <c r="G884" s="3"/>
      <c r="H884" s="3"/>
    </row>
    <row r="885" spans="1:8" ht="15">
      <c r="A885" s="3"/>
      <c r="B885" s="3"/>
      <c r="C885" s="3"/>
      <c r="D885" s="3"/>
      <c r="E885" s="3"/>
      <c r="F885" s="3"/>
      <c r="G885" s="3"/>
      <c r="H885" s="3"/>
    </row>
    <row r="886" spans="1:8" ht="15">
      <c r="A886" s="3"/>
      <c r="B886" s="3"/>
      <c r="C886" s="3"/>
      <c r="D886" s="3"/>
      <c r="E886" s="3"/>
      <c r="F886" s="3"/>
      <c r="G886" s="3"/>
      <c r="H886" s="3"/>
    </row>
    <row r="887" spans="1:8" ht="15">
      <c r="A887" s="3"/>
      <c r="B887" s="3"/>
      <c r="C887" s="3"/>
      <c r="D887" s="3"/>
      <c r="E887" s="3"/>
      <c r="F887" s="3"/>
      <c r="G887" s="3"/>
      <c r="H887" s="3"/>
    </row>
    <row r="888" spans="1:8" ht="15">
      <c r="A888" s="3"/>
      <c r="B888" s="3"/>
      <c r="C888" s="3"/>
      <c r="D888" s="3"/>
      <c r="E888" s="3"/>
      <c r="F888" s="3"/>
      <c r="G888" s="3"/>
      <c r="H888" s="3"/>
    </row>
    <row r="889" spans="1:8" ht="15">
      <c r="A889" s="3"/>
      <c r="B889" s="3"/>
      <c r="C889" s="3"/>
      <c r="D889" s="3"/>
      <c r="E889" s="3"/>
      <c r="F889" s="3"/>
      <c r="G889" s="3"/>
      <c r="H889" s="3"/>
    </row>
    <row r="890" spans="1:8" ht="15">
      <c r="A890" s="3"/>
      <c r="B890" s="3"/>
      <c r="C890" s="3"/>
      <c r="D890" s="3"/>
      <c r="E890" s="3"/>
      <c r="F890" s="3"/>
      <c r="G890" s="3"/>
      <c r="H890" s="3"/>
    </row>
    <row r="891" spans="1:8" ht="15">
      <c r="A891" s="3"/>
      <c r="B891" s="3"/>
      <c r="C891" s="3"/>
      <c r="D891" s="3"/>
      <c r="E891" s="3"/>
      <c r="F891" s="3"/>
      <c r="G891" s="3"/>
      <c r="H891" s="3"/>
    </row>
    <row r="892" spans="1:8" ht="15">
      <c r="A892" s="3"/>
      <c r="B892" s="3"/>
      <c r="C892" s="3"/>
      <c r="D892" s="3"/>
      <c r="E892" s="3"/>
      <c r="F892" s="3"/>
      <c r="G892" s="3"/>
      <c r="H892" s="3"/>
    </row>
    <row r="893" spans="1:8" ht="15">
      <c r="A893" s="3"/>
      <c r="B893" s="3"/>
      <c r="C893" s="3"/>
      <c r="D893" s="3"/>
      <c r="E893" s="3"/>
      <c r="F893" s="3"/>
      <c r="G893" s="3"/>
      <c r="H893" s="3"/>
    </row>
    <row r="894" spans="1:8" ht="15">
      <c r="A894" s="3"/>
      <c r="B894" s="3"/>
      <c r="C894" s="3"/>
      <c r="D894" s="3"/>
      <c r="E894" s="3"/>
      <c r="F894" s="3"/>
      <c r="G894" s="3"/>
      <c r="H894" s="3"/>
    </row>
    <row r="895" spans="1:8" ht="15">
      <c r="A895" s="3"/>
      <c r="B895" s="3"/>
      <c r="C895" s="3"/>
      <c r="D895" s="3"/>
      <c r="E895" s="3"/>
      <c r="F895" s="3"/>
      <c r="G895" s="3"/>
      <c r="H895" s="3"/>
    </row>
    <row r="896" spans="1:8" ht="15">
      <c r="A896" s="3"/>
      <c r="B896" s="3"/>
      <c r="C896" s="3"/>
      <c r="D896" s="3"/>
      <c r="E896" s="3"/>
      <c r="F896" s="3"/>
      <c r="G896" s="3"/>
      <c r="H896" s="3"/>
    </row>
    <row r="897" spans="1:8" ht="15">
      <c r="A897" s="3"/>
      <c r="B897" s="3"/>
      <c r="C897" s="3"/>
      <c r="D897" s="3"/>
      <c r="E897" s="3"/>
      <c r="F897" s="3"/>
      <c r="G897" s="3"/>
      <c r="H897" s="3"/>
    </row>
    <row r="898" spans="1:8" ht="15">
      <c r="A898" s="3"/>
      <c r="B898" s="3"/>
      <c r="C898" s="3"/>
      <c r="D898" s="3"/>
      <c r="E898" s="3"/>
      <c r="F898" s="3"/>
      <c r="G898" s="3"/>
      <c r="H898" s="3"/>
    </row>
    <row r="899" spans="1:8" ht="15">
      <c r="A899" s="3"/>
      <c r="B899" s="3"/>
      <c r="C899" s="3"/>
      <c r="D899" s="3"/>
      <c r="E899" s="3"/>
      <c r="F899" s="3"/>
      <c r="G899" s="3"/>
      <c r="H899" s="3"/>
    </row>
    <row r="900" spans="1:8" ht="15">
      <c r="A900" s="3"/>
      <c r="B900" s="3"/>
      <c r="C900" s="3"/>
      <c r="D900" s="3"/>
      <c r="E900" s="3"/>
      <c r="F900" s="3"/>
      <c r="G900" s="3"/>
      <c r="H900" s="3"/>
    </row>
    <row r="901" spans="1:8" ht="15">
      <c r="A901" s="3"/>
      <c r="B901" s="3"/>
      <c r="C901" s="3"/>
      <c r="D901" s="3"/>
      <c r="E901" s="3"/>
      <c r="F901" s="3"/>
      <c r="G901" s="3"/>
      <c r="H901" s="3"/>
    </row>
    <row r="902" spans="1:8" ht="15">
      <c r="A902" s="3"/>
      <c r="B902" s="3"/>
      <c r="C902" s="3"/>
      <c r="D902" s="3"/>
      <c r="E902" s="3"/>
      <c r="F902" s="3"/>
      <c r="G902" s="3"/>
      <c r="H902" s="3"/>
    </row>
    <row r="903" spans="1:8" ht="15">
      <c r="A903" s="3"/>
      <c r="B903" s="3"/>
      <c r="C903" s="3"/>
      <c r="D903" s="3"/>
      <c r="E903" s="3"/>
      <c r="F903" s="3"/>
      <c r="G903" s="3"/>
      <c r="H903" s="3"/>
    </row>
    <row r="904" spans="1:8" ht="15">
      <c r="A904" s="3"/>
      <c r="B904" s="3"/>
      <c r="C904" s="3"/>
      <c r="D904" s="3"/>
      <c r="E904" s="3"/>
      <c r="F904" s="3"/>
      <c r="G904" s="3"/>
      <c r="H904" s="3"/>
    </row>
    <row r="905" spans="1:8" ht="15">
      <c r="A905" s="3"/>
      <c r="B905" s="3"/>
      <c r="C905" s="3"/>
      <c r="D905" s="3"/>
      <c r="E905" s="3"/>
      <c r="F905" s="3"/>
      <c r="G905" s="3"/>
      <c r="H905" s="3"/>
    </row>
    <row r="906" spans="1:8" ht="15">
      <c r="A906" s="3"/>
      <c r="B906" s="3"/>
      <c r="C906" s="3"/>
      <c r="D906" s="3"/>
      <c r="E906" s="3"/>
      <c r="F906" s="3"/>
      <c r="G906" s="3"/>
      <c r="H906" s="3"/>
    </row>
    <row r="907" spans="1:8" ht="15">
      <c r="A907" s="3"/>
      <c r="B907" s="3"/>
      <c r="C907" s="3"/>
      <c r="D907" s="3"/>
      <c r="E907" s="3"/>
      <c r="F907" s="3"/>
      <c r="G907" s="3"/>
      <c r="H907" s="3"/>
    </row>
    <row r="908" spans="1:8" ht="15">
      <c r="A908" s="3"/>
      <c r="B908" s="3"/>
      <c r="C908" s="3"/>
      <c r="D908" s="3"/>
      <c r="E908" s="3"/>
      <c r="F908" s="3"/>
      <c r="G908" s="3"/>
      <c r="H908" s="3"/>
    </row>
    <row r="909" spans="1:8" ht="15">
      <c r="A909" s="3"/>
      <c r="B909" s="3"/>
      <c r="C909" s="3"/>
      <c r="D909" s="3"/>
      <c r="E909" s="3"/>
      <c r="F909" s="3"/>
      <c r="G909" s="3"/>
      <c r="H909" s="3"/>
    </row>
    <row r="910" spans="1:8" ht="15">
      <c r="A910" s="3"/>
      <c r="B910" s="3"/>
      <c r="C910" s="3"/>
      <c r="D910" s="3"/>
      <c r="E910" s="3"/>
      <c r="F910" s="3"/>
      <c r="G910" s="3"/>
      <c r="H910" s="3"/>
    </row>
    <row r="911" spans="1:8" ht="15">
      <c r="A911" s="3"/>
      <c r="B911" s="3"/>
      <c r="C911" s="3"/>
      <c r="D911" s="3"/>
      <c r="E911" s="3"/>
      <c r="F911" s="3"/>
      <c r="G911" s="3"/>
      <c r="H911" s="3"/>
    </row>
    <row r="912" spans="1:8" ht="15">
      <c r="A912" s="3"/>
      <c r="B912" s="3"/>
      <c r="C912" s="3"/>
      <c r="D912" s="3"/>
      <c r="E912" s="3"/>
      <c r="F912" s="3"/>
      <c r="G912" s="3"/>
      <c r="H912" s="3"/>
    </row>
    <row r="913" spans="1:8" ht="15">
      <c r="A913" s="3"/>
      <c r="B913" s="3"/>
      <c r="C913" s="3"/>
      <c r="D913" s="3"/>
      <c r="E913" s="3"/>
      <c r="F913" s="3"/>
      <c r="G913" s="3"/>
      <c r="H913" s="3"/>
    </row>
    <row r="914" spans="1:8" ht="15">
      <c r="A914" s="3"/>
      <c r="B914" s="3"/>
      <c r="C914" s="3"/>
      <c r="D914" s="3"/>
      <c r="E914" s="3"/>
      <c r="F914" s="3"/>
      <c r="G914" s="3"/>
      <c r="H914" s="3"/>
    </row>
    <row r="915" spans="1:8" ht="15">
      <c r="A915" s="3"/>
      <c r="B915" s="3"/>
      <c r="C915" s="3"/>
      <c r="D915" s="3"/>
      <c r="E915" s="3"/>
      <c r="F915" s="3"/>
      <c r="G915" s="3"/>
      <c r="H915" s="3"/>
    </row>
    <row r="916" spans="1:8" ht="15">
      <c r="A916" s="3"/>
      <c r="B916" s="3"/>
      <c r="C916" s="3"/>
      <c r="D916" s="3"/>
      <c r="E916" s="3"/>
      <c r="F916" s="3"/>
      <c r="G916" s="3"/>
      <c r="H916" s="3"/>
    </row>
    <row r="917" spans="1:8" ht="15">
      <c r="A917" s="3"/>
      <c r="B917" s="3"/>
      <c r="C917" s="3"/>
      <c r="D917" s="3"/>
      <c r="E917" s="3"/>
      <c r="F917" s="3"/>
      <c r="G917" s="3"/>
      <c r="H917" s="3"/>
    </row>
    <row r="918" spans="1:8" ht="15">
      <c r="A918" s="3"/>
      <c r="B918" s="3"/>
      <c r="C918" s="3"/>
      <c r="D918" s="3"/>
      <c r="E918" s="3"/>
      <c r="F918" s="3"/>
      <c r="G918" s="3"/>
      <c r="H918" s="3"/>
    </row>
    <row r="919" spans="1:8" ht="15">
      <c r="A919" s="3"/>
      <c r="B919" s="3"/>
      <c r="C919" s="3"/>
      <c r="D919" s="3"/>
      <c r="E919" s="3"/>
      <c r="F919" s="3"/>
      <c r="G919" s="3"/>
      <c r="H919" s="3"/>
    </row>
    <row r="920" spans="1:8" ht="15">
      <c r="A920" s="3"/>
      <c r="B920" s="3"/>
      <c r="C920" s="3"/>
      <c r="D920" s="3"/>
      <c r="E920" s="3"/>
      <c r="F920" s="3"/>
      <c r="G920" s="3"/>
      <c r="H920" s="3"/>
    </row>
    <row r="921" spans="1:8" ht="15">
      <c r="A921" s="3"/>
      <c r="B921" s="3"/>
      <c r="C921" s="3"/>
      <c r="D921" s="3"/>
      <c r="E921" s="3"/>
      <c r="F921" s="3"/>
      <c r="G921" s="3"/>
      <c r="H921" s="3"/>
    </row>
    <row r="922" spans="1:8" ht="15">
      <c r="A922" s="3"/>
      <c r="B922" s="3"/>
      <c r="C922" s="3"/>
      <c r="D922" s="3"/>
      <c r="E922" s="3"/>
      <c r="F922" s="3"/>
      <c r="G922" s="3"/>
      <c r="H922" s="3"/>
    </row>
    <row r="923" spans="1:8" ht="15">
      <c r="A923" s="3"/>
      <c r="B923" s="3"/>
      <c r="C923" s="3"/>
      <c r="D923" s="3"/>
      <c r="E923" s="3"/>
      <c r="F923" s="3"/>
      <c r="G923" s="3"/>
      <c r="H923" s="3"/>
    </row>
    <row r="924" spans="1:8" ht="15">
      <c r="A924" s="3"/>
      <c r="B924" s="3"/>
      <c r="C924" s="3"/>
      <c r="D924" s="3"/>
      <c r="E924" s="3"/>
      <c r="F924" s="3"/>
      <c r="G924" s="3"/>
      <c r="H924" s="3"/>
    </row>
    <row r="925" spans="1:8" ht="15">
      <c r="A925" s="3"/>
      <c r="B925" s="3"/>
      <c r="C925" s="3"/>
      <c r="D925" s="3"/>
      <c r="E925" s="3"/>
      <c r="F925" s="3"/>
      <c r="G925" s="3"/>
      <c r="H925" s="3"/>
    </row>
    <row r="926" spans="1:8" ht="15">
      <c r="A926" s="3"/>
      <c r="B926" s="3"/>
      <c r="C926" s="3"/>
      <c r="D926" s="3"/>
      <c r="E926" s="3"/>
      <c r="F926" s="3"/>
      <c r="G926" s="3"/>
      <c r="H926" s="3"/>
    </row>
    <row r="927" spans="1:8" ht="15">
      <c r="A927" s="3"/>
      <c r="B927" s="3"/>
      <c r="C927" s="3"/>
      <c r="D927" s="3"/>
      <c r="E927" s="3"/>
      <c r="F927" s="3"/>
      <c r="G927" s="3"/>
      <c r="H927" s="3"/>
    </row>
    <row r="928" spans="1:8" ht="15">
      <c r="A928" s="3"/>
      <c r="B928" s="3"/>
      <c r="C928" s="3"/>
      <c r="D928" s="3"/>
      <c r="E928" s="3"/>
      <c r="F928" s="3"/>
      <c r="G928" s="3"/>
      <c r="H928" s="3"/>
    </row>
    <row r="929" spans="1:8" ht="15">
      <c r="A929" s="3"/>
      <c r="B929" s="3"/>
      <c r="C929" s="3"/>
      <c r="D929" s="3"/>
      <c r="E929" s="3"/>
      <c r="F929" s="3"/>
      <c r="G929" s="3"/>
      <c r="H929" s="3"/>
    </row>
    <row r="930" spans="1:8" ht="15">
      <c r="A930" s="3"/>
      <c r="B930" s="3"/>
      <c r="C930" s="3"/>
      <c r="D930" s="3"/>
      <c r="E930" s="3"/>
      <c r="F930" s="3"/>
      <c r="G930" s="3"/>
      <c r="H930" s="3"/>
    </row>
    <row r="931" spans="1:8" ht="15">
      <c r="A931" s="3"/>
      <c r="B931" s="3"/>
      <c r="C931" s="3"/>
      <c r="D931" s="3"/>
      <c r="E931" s="3"/>
      <c r="F931" s="3"/>
      <c r="G931" s="3"/>
      <c r="H931" s="3"/>
    </row>
    <row r="932" spans="1:8" ht="15">
      <c r="A932" s="3"/>
      <c r="B932" s="3"/>
      <c r="C932" s="3"/>
      <c r="D932" s="3"/>
      <c r="E932" s="3"/>
      <c r="F932" s="3"/>
      <c r="G932" s="3"/>
      <c r="H932" s="3"/>
    </row>
    <row r="933" spans="1:8" ht="15">
      <c r="A933" s="3"/>
      <c r="B933" s="3"/>
      <c r="C933" s="3"/>
      <c r="D933" s="3"/>
      <c r="E933" s="3"/>
      <c r="F933" s="3"/>
      <c r="G933" s="3"/>
      <c r="H933" s="3"/>
    </row>
    <row r="934" spans="1:8" ht="15">
      <c r="A934" s="3"/>
      <c r="B934" s="3"/>
      <c r="C934" s="3"/>
      <c r="D934" s="3"/>
      <c r="E934" s="3"/>
      <c r="F934" s="3"/>
      <c r="G934" s="3"/>
      <c r="H934" s="3"/>
    </row>
    <row r="935" spans="1:8" ht="15">
      <c r="A935" s="3"/>
      <c r="B935" s="3"/>
      <c r="C935" s="3"/>
      <c r="D935" s="3"/>
      <c r="E935" s="3"/>
      <c r="F935" s="3"/>
      <c r="G935" s="3"/>
      <c r="H935" s="3"/>
    </row>
    <row r="936" spans="1:8" ht="15">
      <c r="A936" s="3"/>
      <c r="B936" s="3"/>
      <c r="C936" s="3"/>
      <c r="D936" s="3"/>
      <c r="E936" s="3"/>
      <c r="F936" s="3"/>
      <c r="G936" s="3"/>
      <c r="H936" s="3"/>
    </row>
    <row r="937" spans="1:8" ht="15">
      <c r="A937" s="3"/>
      <c r="B937" s="3"/>
      <c r="C937" s="3"/>
      <c r="D937" s="3"/>
      <c r="E937" s="3"/>
      <c r="F937" s="3"/>
      <c r="G937" s="3"/>
      <c r="H937" s="3"/>
    </row>
    <row r="938" spans="1:8" ht="15">
      <c r="A938" s="3"/>
      <c r="B938" s="3"/>
      <c r="C938" s="3"/>
      <c r="D938" s="3"/>
      <c r="E938" s="3"/>
      <c r="F938" s="3"/>
      <c r="G938" s="3"/>
      <c r="H938" s="3"/>
    </row>
    <row r="939" spans="1:8" ht="15">
      <c r="A939" s="3"/>
      <c r="B939" s="3"/>
      <c r="C939" s="3"/>
      <c r="D939" s="3"/>
      <c r="E939" s="3"/>
      <c r="F939" s="3"/>
      <c r="G939" s="3"/>
      <c r="H939" s="3"/>
    </row>
    <row r="940" spans="1:8" ht="15">
      <c r="A940" s="3"/>
      <c r="B940" s="3"/>
      <c r="C940" s="3"/>
      <c r="D940" s="3"/>
      <c r="E940" s="3"/>
      <c r="F940" s="3"/>
      <c r="G940" s="3"/>
      <c r="H940" s="3"/>
    </row>
    <row r="941" spans="1:8" ht="15">
      <c r="A941" s="3"/>
      <c r="B941" s="3"/>
      <c r="C941" s="3"/>
      <c r="D941" s="3"/>
      <c r="E941" s="3"/>
      <c r="F941" s="3"/>
      <c r="G941" s="3"/>
      <c r="H941" s="3"/>
    </row>
    <row r="942" spans="1:8" ht="15">
      <c r="A942" s="3"/>
      <c r="B942" s="3"/>
      <c r="C942" s="3"/>
      <c r="D942" s="3"/>
      <c r="E942" s="3"/>
      <c r="F942" s="3"/>
      <c r="G942" s="3"/>
      <c r="H942" s="3"/>
    </row>
    <row r="943" spans="1:8" ht="15">
      <c r="A943" s="3"/>
      <c r="B943" s="3"/>
      <c r="C943" s="3"/>
      <c r="D943" s="3"/>
      <c r="E943" s="3"/>
      <c r="F943" s="3"/>
      <c r="G943" s="3"/>
      <c r="H943" s="3"/>
    </row>
    <row r="944" spans="1:8" ht="15">
      <c r="A944" s="3"/>
      <c r="B944" s="3"/>
      <c r="C944" s="3"/>
      <c r="D944" s="3"/>
      <c r="E944" s="3"/>
      <c r="F944" s="3"/>
      <c r="G944" s="3"/>
      <c r="H944" s="3"/>
    </row>
    <row r="945" spans="1:8" ht="15">
      <c r="A945" s="3"/>
      <c r="B945" s="3"/>
      <c r="C945" s="3"/>
      <c r="D945" s="3"/>
      <c r="E945" s="3"/>
      <c r="F945" s="3"/>
      <c r="G945" s="3"/>
      <c r="H945" s="3"/>
    </row>
    <row r="946" spans="1:8" ht="15">
      <c r="A946" s="3"/>
      <c r="B946" s="3"/>
      <c r="C946" s="3"/>
      <c r="D946" s="3"/>
      <c r="E946" s="3"/>
      <c r="F946" s="3"/>
      <c r="G946" s="3"/>
      <c r="H946" s="3"/>
    </row>
    <row r="947" spans="1:8" ht="15">
      <c r="A947" s="3"/>
      <c r="B947" s="3"/>
      <c r="C947" s="3"/>
      <c r="D947" s="3"/>
      <c r="E947" s="3"/>
      <c r="F947" s="3"/>
      <c r="G947" s="3"/>
      <c r="H947" s="3"/>
    </row>
    <row r="948" spans="1:8" ht="15">
      <c r="A948" s="3"/>
      <c r="B948" s="3"/>
      <c r="C948" s="3"/>
      <c r="D948" s="3"/>
      <c r="E948" s="3"/>
      <c r="F948" s="3"/>
      <c r="G948" s="3"/>
      <c r="H948" s="3"/>
    </row>
    <row r="949" spans="1:8" ht="15">
      <c r="A949" s="3"/>
      <c r="B949" s="3"/>
      <c r="C949" s="3"/>
      <c r="D949" s="3"/>
      <c r="E949" s="3"/>
      <c r="F949" s="3"/>
      <c r="G949" s="3"/>
      <c r="H949" s="3"/>
    </row>
    <row r="950" spans="1:8" ht="15">
      <c r="A950" s="3"/>
      <c r="B950" s="3"/>
      <c r="C950" s="3"/>
      <c r="D950" s="3"/>
      <c r="E950" s="3"/>
      <c r="F950" s="3"/>
      <c r="G950" s="3"/>
      <c r="H950" s="3"/>
    </row>
    <row r="951" spans="1:8" ht="15">
      <c r="A951" s="3"/>
      <c r="B951" s="3"/>
      <c r="C951" s="3"/>
      <c r="D951" s="3"/>
      <c r="E951" s="3"/>
      <c r="F951" s="3"/>
      <c r="G951" s="3"/>
      <c r="H951" s="3"/>
    </row>
    <row r="952" spans="1:8" ht="15">
      <c r="A952" s="3"/>
      <c r="B952" s="3"/>
      <c r="C952" s="3"/>
      <c r="D952" s="3"/>
      <c r="E952" s="3"/>
      <c r="F952" s="3"/>
      <c r="G952" s="3"/>
      <c r="H952" s="3"/>
    </row>
    <row r="953" spans="1:8" ht="15">
      <c r="A953" s="3"/>
      <c r="B953" s="3"/>
      <c r="C953" s="3"/>
      <c r="D953" s="3"/>
      <c r="E953" s="3"/>
      <c r="F953" s="3"/>
      <c r="G953" s="3"/>
      <c r="H953" s="3"/>
    </row>
    <row r="954" spans="1:8" ht="15">
      <c r="A954" s="3"/>
      <c r="B954" s="3"/>
      <c r="C954" s="3"/>
      <c r="D954" s="3"/>
      <c r="E954" s="3"/>
      <c r="F954" s="3"/>
      <c r="G954" s="3"/>
      <c r="H954" s="3"/>
    </row>
    <row r="955" spans="1:8" ht="15">
      <c r="A955" s="3"/>
      <c r="B955" s="3"/>
      <c r="C955" s="3"/>
      <c r="D955" s="3"/>
      <c r="E955" s="3"/>
      <c r="F955" s="3"/>
      <c r="G955" s="3"/>
      <c r="H955" s="3"/>
    </row>
    <row r="956" spans="1:8" ht="15">
      <c r="A956" s="3"/>
      <c r="B956" s="3"/>
      <c r="C956" s="3"/>
      <c r="D956" s="3"/>
      <c r="E956" s="3"/>
      <c r="F956" s="3"/>
      <c r="G956" s="3"/>
      <c r="H956" s="3"/>
    </row>
    <row r="957" spans="1:8" ht="15">
      <c r="A957" s="3"/>
      <c r="B957" s="3"/>
      <c r="C957" s="3"/>
      <c r="D957" s="3"/>
      <c r="E957" s="3"/>
      <c r="F957" s="3"/>
      <c r="G957" s="3"/>
      <c r="H957" s="3"/>
    </row>
    <row r="958" spans="1:8" ht="15">
      <c r="A958" s="3"/>
      <c r="B958" s="3"/>
      <c r="C958" s="3"/>
      <c r="D958" s="3"/>
      <c r="E958" s="3"/>
      <c r="F958" s="3"/>
      <c r="G958" s="3"/>
      <c r="H958" s="3"/>
    </row>
    <row r="959" spans="1:8" ht="15">
      <c r="A959" s="3"/>
      <c r="B959" s="3"/>
      <c r="C959" s="3"/>
      <c r="D959" s="3"/>
      <c r="E959" s="3"/>
      <c r="F959" s="3"/>
      <c r="G959" s="3"/>
      <c r="H959" s="3"/>
    </row>
    <row r="960" spans="1:8" ht="15">
      <c r="A960" s="3"/>
      <c r="B960" s="3"/>
      <c r="C960" s="3"/>
      <c r="D960" s="3"/>
      <c r="E960" s="3"/>
      <c r="F960" s="3"/>
      <c r="G960" s="3"/>
      <c r="H960" s="3"/>
    </row>
    <row r="961" spans="1:8" ht="15">
      <c r="A961" s="3"/>
      <c r="B961" s="3"/>
      <c r="C961" s="3"/>
      <c r="D961" s="3"/>
      <c r="E961" s="3"/>
      <c r="F961" s="3"/>
      <c r="G961" s="3"/>
      <c r="H961" s="3"/>
    </row>
    <row r="962" spans="1:8" ht="15">
      <c r="A962" s="3"/>
      <c r="B962" s="3"/>
      <c r="C962" s="3"/>
      <c r="D962" s="3"/>
      <c r="E962" s="3"/>
      <c r="F962" s="3"/>
      <c r="G962" s="3"/>
      <c r="H962" s="3"/>
    </row>
    <row r="963" spans="1:8" ht="15">
      <c r="A963" s="3"/>
      <c r="B963" s="3"/>
      <c r="C963" s="3"/>
      <c r="D963" s="3"/>
      <c r="E963" s="3"/>
      <c r="F963" s="3"/>
      <c r="G963" s="3"/>
      <c r="H963" s="3"/>
    </row>
    <row r="964" spans="1:8" ht="15">
      <c r="A964" s="3"/>
      <c r="B964" s="3"/>
      <c r="C964" s="3"/>
      <c r="D964" s="3"/>
      <c r="E964" s="3"/>
      <c r="F964" s="3"/>
      <c r="G964" s="3"/>
      <c r="H964" s="3"/>
    </row>
    <row r="965" spans="1:8" ht="15">
      <c r="A965" s="3"/>
      <c r="B965" s="3"/>
      <c r="C965" s="3"/>
      <c r="D965" s="3"/>
      <c r="E965" s="3"/>
      <c r="F965" s="3"/>
      <c r="G965" s="3"/>
      <c r="H965" s="3"/>
    </row>
    <row r="966" spans="1:8" ht="15">
      <c r="A966" s="3"/>
      <c r="B966" s="3"/>
      <c r="C966" s="3"/>
      <c r="D966" s="3"/>
      <c r="E966" s="3"/>
      <c r="F966" s="3"/>
      <c r="G966" s="3"/>
      <c r="H966" s="3"/>
    </row>
    <row r="967" spans="1:8" ht="15">
      <c r="A967" s="3"/>
      <c r="B967" s="3"/>
      <c r="C967" s="3"/>
      <c r="D967" s="3"/>
      <c r="E967" s="3"/>
      <c r="F967" s="3"/>
      <c r="G967" s="3"/>
      <c r="H967" s="3"/>
    </row>
    <row r="968" spans="1:8" ht="15">
      <c r="A968" s="3"/>
      <c r="B968" s="3"/>
      <c r="C968" s="3"/>
      <c r="D968" s="3"/>
      <c r="E968" s="3"/>
      <c r="F968" s="3"/>
      <c r="G968" s="3"/>
      <c r="H968" s="3"/>
    </row>
    <row r="969" spans="1:8" ht="15">
      <c r="A969" s="3"/>
      <c r="B969" s="3"/>
      <c r="C969" s="3"/>
      <c r="D969" s="3"/>
      <c r="E969" s="3"/>
      <c r="F969" s="3"/>
      <c r="G969" s="3"/>
      <c r="H969" s="3"/>
    </row>
    <row r="970" spans="1:8" ht="15">
      <c r="A970" s="3"/>
      <c r="B970" s="3"/>
      <c r="C970" s="3"/>
      <c r="D970" s="3"/>
      <c r="E970" s="3"/>
      <c r="F970" s="3"/>
      <c r="G970" s="3"/>
      <c r="H970" s="3"/>
    </row>
    <row r="971" spans="1:8" ht="15">
      <c r="A971" s="3"/>
      <c r="B971" s="3"/>
      <c r="C971" s="3"/>
      <c r="D971" s="3"/>
      <c r="E971" s="3"/>
      <c r="F971" s="3"/>
      <c r="G971" s="3"/>
      <c r="H971" s="3"/>
    </row>
    <row r="972" spans="1:8" ht="15">
      <c r="A972" s="3"/>
      <c r="B972" s="3"/>
      <c r="C972" s="3"/>
      <c r="D972" s="3"/>
      <c r="E972" s="3"/>
      <c r="F972" s="3"/>
      <c r="G972" s="3"/>
      <c r="H972" s="3"/>
    </row>
    <row r="973" spans="1:8" ht="15">
      <c r="A973" s="3"/>
      <c r="B973" s="3"/>
      <c r="C973" s="3"/>
      <c r="D973" s="3"/>
      <c r="E973" s="3"/>
      <c r="F973" s="3"/>
      <c r="G973" s="3"/>
      <c r="H973" s="3"/>
    </row>
    <row r="974" spans="1:8" ht="15">
      <c r="A974" s="3"/>
      <c r="B974" s="3"/>
      <c r="C974" s="3"/>
      <c r="D974" s="3"/>
      <c r="E974" s="3"/>
      <c r="F974" s="3"/>
      <c r="G974" s="3"/>
      <c r="H974" s="3"/>
    </row>
    <row r="975" spans="1:8" ht="15">
      <c r="A975" s="3"/>
      <c r="B975" s="3"/>
      <c r="C975" s="3"/>
      <c r="D975" s="3"/>
      <c r="E975" s="3"/>
      <c r="F975" s="3"/>
      <c r="G975" s="3"/>
      <c r="H975" s="3"/>
    </row>
    <row r="976" spans="1:8" ht="15">
      <c r="A976" s="3"/>
      <c r="B976" s="3"/>
      <c r="C976" s="3"/>
      <c r="D976" s="3"/>
      <c r="E976" s="3"/>
      <c r="F976" s="3"/>
      <c r="G976" s="3"/>
      <c r="H976" s="3"/>
    </row>
    <row r="977" spans="1:8" ht="15">
      <c r="A977" s="3"/>
      <c r="B977" s="3"/>
      <c r="C977" s="3"/>
      <c r="D977" s="3"/>
      <c r="E977" s="3"/>
      <c r="F977" s="3"/>
      <c r="G977" s="3"/>
      <c r="H977" s="3"/>
    </row>
    <row r="978" spans="1:8" ht="15">
      <c r="A978" s="3"/>
      <c r="B978" s="3"/>
      <c r="C978" s="3"/>
      <c r="D978" s="3"/>
      <c r="E978" s="3"/>
      <c r="F978" s="3"/>
      <c r="G978" s="3"/>
      <c r="H978" s="3"/>
    </row>
    <row r="979" spans="1:8" ht="15">
      <c r="A979" s="3"/>
      <c r="B979" s="3"/>
      <c r="C979" s="3"/>
      <c r="D979" s="3"/>
      <c r="E979" s="3"/>
      <c r="F979" s="3"/>
      <c r="G979" s="3"/>
      <c r="H979" s="3"/>
    </row>
    <row r="980" spans="1:8" ht="15">
      <c r="A980" s="3"/>
      <c r="B980" s="3"/>
      <c r="C980" s="3"/>
      <c r="D980" s="3"/>
      <c r="E980" s="3"/>
      <c r="F980" s="3"/>
      <c r="G980" s="3"/>
      <c r="H980" s="3"/>
    </row>
    <row r="981" spans="1:8" ht="15">
      <c r="A981" s="3"/>
      <c r="B981" s="3"/>
      <c r="C981" s="3"/>
      <c r="D981" s="3"/>
      <c r="E981" s="3"/>
      <c r="F981" s="3"/>
      <c r="G981" s="3"/>
      <c r="H981" s="3"/>
    </row>
    <row r="982" spans="1:8" ht="15">
      <c r="A982" s="3"/>
      <c r="B982" s="3"/>
      <c r="C982" s="3"/>
      <c r="D982" s="3"/>
      <c r="E982" s="3"/>
      <c r="F982" s="3"/>
      <c r="G982" s="3"/>
      <c r="H982" s="3"/>
    </row>
    <row r="983" spans="1:8" ht="15">
      <c r="A983" s="3"/>
      <c r="B983" s="3"/>
      <c r="C983" s="3"/>
      <c r="D983" s="3"/>
      <c r="E983" s="3"/>
      <c r="F983" s="3"/>
      <c r="G983" s="3"/>
      <c r="H983" s="3"/>
    </row>
    <row r="984" spans="1:8" ht="15">
      <c r="A984" s="3"/>
      <c r="B984" s="3"/>
      <c r="C984" s="3"/>
      <c r="D984" s="3"/>
      <c r="E984" s="3"/>
      <c r="F984" s="3"/>
      <c r="G984" s="3"/>
      <c r="H984" s="3"/>
    </row>
    <row r="985" spans="1:8" ht="15">
      <c r="A985" s="3"/>
      <c r="B985" s="3"/>
      <c r="C985" s="3"/>
      <c r="D985" s="3"/>
      <c r="E985" s="3"/>
      <c r="F985" s="3"/>
      <c r="G985" s="3"/>
      <c r="H985" s="3"/>
    </row>
    <row r="986" spans="1:8" ht="15">
      <c r="A986" s="3"/>
      <c r="B986" s="3"/>
      <c r="C986" s="3"/>
      <c r="D986" s="3"/>
      <c r="E986" s="3"/>
      <c r="F986" s="3"/>
      <c r="G986" s="3"/>
      <c r="H986" s="3"/>
    </row>
    <row r="987" spans="1:8" ht="15">
      <c r="A987" s="3"/>
      <c r="B987" s="3"/>
      <c r="C987" s="3"/>
      <c r="D987" s="3"/>
      <c r="E987" s="3"/>
      <c r="F987" s="3"/>
      <c r="G987" s="3"/>
      <c r="H987" s="3"/>
    </row>
    <row r="988" spans="1:8" ht="15">
      <c r="A988" s="3"/>
      <c r="B988" s="3"/>
      <c r="C988" s="3"/>
      <c r="D988" s="3"/>
      <c r="E988" s="3"/>
      <c r="F988" s="3"/>
      <c r="G988" s="3"/>
      <c r="H988" s="3"/>
    </row>
    <row r="989" spans="1:8" ht="15">
      <c r="A989" s="3"/>
      <c r="B989" s="3"/>
      <c r="C989" s="3"/>
      <c r="D989" s="3"/>
      <c r="E989" s="3"/>
      <c r="F989" s="3"/>
      <c r="G989" s="3"/>
      <c r="H989" s="3"/>
    </row>
    <row r="990" spans="1:8" ht="15">
      <c r="A990" s="3"/>
      <c r="B990" s="3"/>
      <c r="C990" s="3"/>
      <c r="D990" s="3"/>
      <c r="E990" s="3"/>
      <c r="F990" s="3"/>
      <c r="G990" s="3"/>
      <c r="H990" s="3"/>
    </row>
    <row r="991" spans="1:8" ht="15">
      <c r="A991" s="3"/>
      <c r="B991" s="3"/>
      <c r="C991" s="3"/>
      <c r="D991" s="3"/>
      <c r="E991" s="3"/>
      <c r="F991" s="3"/>
      <c r="G991" s="3"/>
      <c r="H991" s="3"/>
    </row>
    <row r="992" spans="1:8" ht="15">
      <c r="A992" s="3"/>
      <c r="B992" s="3"/>
      <c r="C992" s="3"/>
      <c r="D992" s="3"/>
      <c r="E992" s="3"/>
      <c r="F992" s="3"/>
      <c r="G992" s="3"/>
      <c r="H992" s="3"/>
    </row>
    <row r="993" spans="1:8" ht="15">
      <c r="A993" s="3"/>
      <c r="B993" s="3"/>
      <c r="C993" s="3"/>
      <c r="D993" s="3"/>
      <c r="E993" s="3"/>
      <c r="F993" s="3"/>
      <c r="G993" s="3"/>
      <c r="H993" s="3"/>
    </row>
    <row r="994" spans="1:8" ht="15">
      <c r="A994" s="3"/>
      <c r="B994" s="3"/>
      <c r="C994" s="3"/>
      <c r="D994" s="3"/>
      <c r="E994" s="3"/>
      <c r="F994" s="3"/>
      <c r="G994" s="3"/>
      <c r="H994" s="3"/>
    </row>
    <row r="995" spans="1:8" ht="15">
      <c r="A995" s="3"/>
      <c r="B995" s="3"/>
      <c r="C995" s="3"/>
      <c r="D995" s="3"/>
      <c r="E995" s="3"/>
      <c r="F995" s="3"/>
      <c r="G995" s="3"/>
      <c r="H995" s="3"/>
    </row>
    <row r="996" spans="1:8" ht="15">
      <c r="A996" s="3"/>
      <c r="B996" s="3"/>
      <c r="C996" s="3"/>
      <c r="D996" s="3"/>
      <c r="E996" s="3"/>
      <c r="F996" s="3"/>
      <c r="G996" s="3"/>
      <c r="H996" s="3"/>
    </row>
    <row r="997" spans="1:8" ht="15">
      <c r="A997" s="3"/>
      <c r="B997" s="3"/>
      <c r="C997" s="3"/>
      <c r="D997" s="3"/>
      <c r="E997" s="3"/>
      <c r="F997" s="3"/>
      <c r="G997" s="3"/>
      <c r="H997" s="3"/>
    </row>
    <row r="998" spans="1:8" ht="15">
      <c r="A998" s="3"/>
      <c r="B998" s="3"/>
      <c r="C998" s="3"/>
      <c r="D998" s="3"/>
      <c r="E998" s="3"/>
      <c r="F998" s="3"/>
      <c r="G998" s="3"/>
      <c r="H998" s="3"/>
    </row>
    <row r="999" spans="1:8" ht="15">
      <c r="A999" s="3"/>
      <c r="B999" s="3"/>
      <c r="C999" s="3"/>
      <c r="D999" s="3"/>
      <c r="E999" s="3"/>
      <c r="F999" s="3"/>
      <c r="G999" s="3"/>
      <c r="H999" s="3"/>
    </row>
    <row r="1000" spans="1:8" ht="15">
      <c r="A1000" s="3"/>
      <c r="B1000" s="3"/>
      <c r="C1000" s="3"/>
      <c r="D1000" s="3"/>
      <c r="E1000" s="3"/>
      <c r="F1000" s="3"/>
      <c r="G1000" s="3"/>
      <c r="H1000" s="3"/>
    </row>
  </sheetData>
  <mergeCells count="2">
    <mergeCell ref="A1:H1"/>
    <mergeCell ref="A2:H2"/>
  </mergeCells>
  <conditionalFormatting sqref="G5:G787">
    <cfRule type="expression" dxfId="3" priority="1">
      <formula>G5&lt;0</formula>
    </cfRule>
    <cfRule type="expression" dxfId="2" priority="2">
      <formula>G5&gt;0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Normal="100" zoomScaleSheetLayoutView="100" workbookViewId="0">
      <selection activeCell="D8" sqref="D8"/>
    </sheetView>
  </sheetViews>
  <sheetFormatPr defaultRowHeight="14.25"/>
  <cols>
    <col min="1" max="1" width="24" customWidth="1"/>
    <col min="2" max="7" width="20" customWidth="1"/>
    <col min="8" max="26" width="9" style="1"/>
  </cols>
  <sheetData>
    <row r="1" spans="1:7" ht="30" customHeight="1">
      <c r="A1" s="28" t="s">
        <v>77</v>
      </c>
      <c r="B1" s="28"/>
      <c r="C1" s="28"/>
      <c r="D1" s="28"/>
      <c r="E1" s="28"/>
      <c r="F1" s="28"/>
      <c r="G1" s="28"/>
    </row>
    <row r="2" spans="1:7" ht="15">
      <c r="A2" s="3"/>
      <c r="B2" s="3"/>
      <c r="C2" s="3"/>
      <c r="D2" s="3"/>
      <c r="E2" s="3"/>
      <c r="F2" s="3"/>
      <c r="G2" s="3"/>
    </row>
    <row r="3" spans="1:7" ht="15">
      <c r="A3" s="31" t="s">
        <v>78</v>
      </c>
      <c r="B3" s="31"/>
      <c r="C3" s="31"/>
      <c r="D3" s="31"/>
      <c r="E3" s="31"/>
      <c r="F3" s="3"/>
      <c r="G3" s="3"/>
    </row>
    <row r="4" spans="1:7" ht="15">
      <c r="A4" s="20" t="s">
        <v>32</v>
      </c>
      <c r="B4" s="20" t="s">
        <v>79</v>
      </c>
      <c r="C4" s="20" t="s">
        <v>20</v>
      </c>
      <c r="D4" s="20" t="s">
        <v>24</v>
      </c>
      <c r="E4" s="20" t="s">
        <v>80</v>
      </c>
      <c r="F4" s="3"/>
      <c r="G4" s="3"/>
    </row>
    <row r="5" spans="1:7" ht="15">
      <c r="A5" s="3" t="s">
        <v>38</v>
      </c>
      <c r="B5" s="13">
        <f>('Price Data'!B744/'Price Data'!B5)^(365/(Portfolio!$B$18-Portfolio!$B$17))-1</f>
        <v>0.10133520326186818</v>
      </c>
      <c r="C5" s="13">
        <f>_xlfn.SINGLE(_xlfn.STDEV.S(Returns!B6:B744))*SQRT(Portfolio!$B$16)</f>
        <v>0.20065113814876417</v>
      </c>
      <c r="D5" s="18">
        <f>(B5-Portfolio!$B$15)/C5</f>
        <v>0.18108645481456975</v>
      </c>
      <c r="E5" s="3" t="s">
        <v>81</v>
      </c>
      <c r="F5" s="3"/>
      <c r="G5" s="3"/>
    </row>
    <row r="6" spans="1:7" ht="15">
      <c r="A6" s="3" t="s">
        <v>42</v>
      </c>
      <c r="B6" s="13">
        <f>('Price Data'!C744/'Price Data'!C5)^(365/(Portfolio!$B$18-Portfolio!$B$17))-1</f>
        <v>8.1531018143771394E-2</v>
      </c>
      <c r="C6" s="13">
        <f>_xlfn.SINGLE(_xlfn.STDEV.S(Returns!C6:C744))*SQRT(Portfolio!$B$16)</f>
        <v>0.18471887122188355</v>
      </c>
      <c r="D6" s="18">
        <f>(B6-Portfolio!$B$15)/C6</f>
        <v>8.9492849509211228E-2</v>
      </c>
      <c r="E6" s="3" t="s">
        <v>81</v>
      </c>
      <c r="F6" s="3"/>
      <c r="G6" s="3"/>
    </row>
    <row r="7" spans="1:7" ht="15">
      <c r="A7" s="3" t="s">
        <v>45</v>
      </c>
      <c r="B7" s="13">
        <f>('Price Data'!D744/'Price Data'!D5)^(365/(Portfolio!$B$18-Portfolio!$B$17))-1</f>
        <v>2.4010476554920723E-2</v>
      </c>
      <c r="C7" s="13">
        <f>_xlfn.SINGLE(_xlfn.STDEV.S(Returns!D6:D744))*SQRT(Portfolio!$B$16)</f>
        <v>0.19763317381305773</v>
      </c>
      <c r="D7" s="18">
        <f>(B7-Portfolio!$B$15)/C7</f>
        <v>-0.20740204012435426</v>
      </c>
      <c r="E7" s="3" t="s">
        <v>81</v>
      </c>
      <c r="F7" s="3"/>
      <c r="G7" s="3"/>
    </row>
    <row r="8" spans="1:7" ht="15">
      <c r="A8" s="3" t="s">
        <v>48</v>
      </c>
      <c r="B8" s="13">
        <f>('Price Data'!E744/'Price Data'!E5)^(365/(Portfolio!$B$18-Portfolio!$B$17))-1</f>
        <v>0.15116181118298289</v>
      </c>
      <c r="C8" s="13">
        <f>_xlfn.SINGLE(_xlfn.STDEV.S(Returns!E6:E744))*SQRT(Portfolio!$B$16)</f>
        <v>0.17645904510022667</v>
      </c>
      <c r="D8" s="18">
        <f>(B8-Portfolio!$B$15)/C8</f>
        <v>0.48828220244558157</v>
      </c>
      <c r="E8" s="3" t="s">
        <v>81</v>
      </c>
      <c r="F8" s="3"/>
      <c r="G8" s="3"/>
    </row>
    <row r="9" spans="1:7" ht="15">
      <c r="A9" s="3" t="s">
        <v>50</v>
      </c>
      <c r="B9" s="13">
        <f>('Price Data'!F744/'Price Data'!F5)^(365/(Portfolio!$B$18-Portfolio!$B$17))-1</f>
        <v>4.9480330029199493E-2</v>
      </c>
      <c r="C9" s="13">
        <f>_xlfn.SINGLE(_xlfn.STDEV.S(Returns!F6:F744))*SQRT(Portfolio!$B$16)</f>
        <v>0.23749017729009098</v>
      </c>
      <c r="D9" s="18">
        <f>(B9-Portfolio!$B$15)/C9</f>
        <v>-6.5348681566073555E-2</v>
      </c>
      <c r="E9" s="3" t="s">
        <v>81</v>
      </c>
      <c r="F9" s="3"/>
      <c r="G9" s="3"/>
    </row>
    <row r="10" spans="1:7" ht="15">
      <c r="A10" s="3" t="s">
        <v>10</v>
      </c>
      <c r="B10" s="13">
        <f>(B754/B15)^(365/(A754-A15))-1</f>
        <v>9.1319430355413012E-2</v>
      </c>
      <c r="C10" s="13">
        <f>_xlfn.SINGLE(_xlfn.STDEV.S(Returns!G6:G744))*SQRT(Portfolio!$B$16)</f>
        <v>0.13396617913255154</v>
      </c>
      <c r="D10" s="18">
        <f>(B10-Portfolio!$B$15)/C10</f>
        <v>0.196463245617922</v>
      </c>
      <c r="E10" s="13">
        <f>MIN(D15:D754)</f>
        <v>-0.14675100100799643</v>
      </c>
      <c r="F10" s="3"/>
      <c r="G10" s="3"/>
    </row>
    <row r="11" spans="1:7" ht="15">
      <c r="A11" s="3" t="s">
        <v>74</v>
      </c>
      <c r="B11" s="13">
        <f>('Price Data'!G744/'Price Data'!G5)^(365/(Portfolio!$B$18-Portfolio!$B$17))-1</f>
        <v>0.12829315532174634</v>
      </c>
      <c r="C11" s="13">
        <f>_xlfn.SINGLE(_xlfn.STDEV.S(Returns!H6:H744))*SQRT(Portfolio!$B$16)</f>
        <v>0.12016528258426484</v>
      </c>
      <c r="D11" s="18">
        <f>(B11-Portfolio!$B$15)/C11</f>
        <v>0.52671748412327479</v>
      </c>
      <c r="E11" s="13">
        <f>MIN(G15:G754)</f>
        <v>-0.15766678303740755</v>
      </c>
      <c r="F11" s="3"/>
      <c r="G11" s="3"/>
    </row>
    <row r="12" spans="1:7" ht="15">
      <c r="A12" s="3"/>
      <c r="B12" s="3"/>
      <c r="C12" s="3"/>
      <c r="D12" s="3"/>
      <c r="E12" s="3"/>
      <c r="F12" s="3"/>
      <c r="G12" s="3"/>
    </row>
    <row r="13" spans="1:7" ht="15">
      <c r="A13" s="31" t="s">
        <v>82</v>
      </c>
      <c r="B13" s="31"/>
      <c r="C13" s="31"/>
      <c r="D13" s="31"/>
      <c r="E13" s="31"/>
      <c r="F13" s="31"/>
      <c r="G13" s="31"/>
    </row>
    <row r="14" spans="1:7" ht="15">
      <c r="A14" s="20" t="s">
        <v>73</v>
      </c>
      <c r="B14" s="20" t="s">
        <v>83</v>
      </c>
      <c r="C14" s="20" t="s">
        <v>84</v>
      </c>
      <c r="D14" s="20" t="s">
        <v>85</v>
      </c>
      <c r="E14" s="20" t="s">
        <v>86</v>
      </c>
      <c r="F14" s="20" t="s">
        <v>87</v>
      </c>
      <c r="G14" s="20" t="s">
        <v>88</v>
      </c>
    </row>
    <row r="15" spans="1:7" ht="15">
      <c r="A15" s="25">
        <f>Returns!A5</f>
        <v>44928</v>
      </c>
      <c r="B15" s="18">
        <v>100</v>
      </c>
      <c r="C15" s="18">
        <v>100</v>
      </c>
      <c r="D15" s="27">
        <v>0</v>
      </c>
      <c r="E15" s="18">
        <v>100</v>
      </c>
      <c r="F15" s="18">
        <v>100</v>
      </c>
      <c r="G15" s="27">
        <v>0</v>
      </c>
    </row>
    <row r="16" spans="1:7" ht="15">
      <c r="A16" s="25">
        <f>Returns!A6</f>
        <v>44929</v>
      </c>
      <c r="B16" s="18">
        <f>B15*(1+Returns!G6)</f>
        <v>100.25397111223802</v>
      </c>
      <c r="C16" s="18">
        <f t="shared" ref="C16:C79" si="0">MAX(C15,B16)</f>
        <v>100.25397111223802</v>
      </c>
      <c r="D16" s="27">
        <f t="shared" ref="D16:D79" si="1">B16/C16-1</f>
        <v>0</v>
      </c>
      <c r="E16" s="18">
        <f>E15*(1+Returns!H6)</f>
        <v>100.19289276248583</v>
      </c>
      <c r="F16" s="18">
        <f t="shared" ref="F16:F79" si="2">MAX(F15,E16)</f>
        <v>100.19289276248583</v>
      </c>
      <c r="G16" s="27">
        <f t="shared" ref="G16:G79" si="3">E16/F16-1</f>
        <v>0</v>
      </c>
    </row>
    <row r="17" spans="1:7" ht="15">
      <c r="A17" s="25">
        <f>Returns!A7</f>
        <v>44930</v>
      </c>
      <c r="B17" s="18">
        <f>B16*(1+Returns!G7)</f>
        <v>99.137006461730081</v>
      </c>
      <c r="C17" s="18">
        <f t="shared" si="0"/>
        <v>100.25397111223802</v>
      </c>
      <c r="D17" s="27">
        <f t="shared" si="1"/>
        <v>-1.1141350692806529E-2</v>
      </c>
      <c r="E17" s="18">
        <f>E16*(1+Returns!H7)</f>
        <v>99.150979908542311</v>
      </c>
      <c r="F17" s="18">
        <f t="shared" si="2"/>
        <v>100.19289276248583</v>
      </c>
      <c r="G17" s="27">
        <f t="shared" si="3"/>
        <v>-1.0399069487028845E-2</v>
      </c>
    </row>
    <row r="18" spans="1:7" ht="15">
      <c r="A18" s="25">
        <f>Returns!A8</f>
        <v>44931</v>
      </c>
      <c r="B18" s="18">
        <f>B17*(1+Returns!G8)</f>
        <v>98.387219961411191</v>
      </c>
      <c r="C18" s="18">
        <f t="shared" si="0"/>
        <v>100.25397111223802</v>
      </c>
      <c r="D18" s="27">
        <f t="shared" si="1"/>
        <v>-1.862022152456122E-2</v>
      </c>
      <c r="E18" s="18">
        <f>E17*(1+Returns!H8)</f>
        <v>98.871826344136934</v>
      </c>
      <c r="F18" s="18">
        <f t="shared" si="2"/>
        <v>100.19289276248583</v>
      </c>
      <c r="G18" s="27">
        <f t="shared" si="3"/>
        <v>-1.3185230827505556E-2</v>
      </c>
    </row>
    <row r="19" spans="1:7" ht="15">
      <c r="A19" s="25">
        <f>Returns!A9</f>
        <v>44932</v>
      </c>
      <c r="B19" s="18">
        <f>B18*(1+Returns!G9)</f>
        <v>97.518637517744352</v>
      </c>
      <c r="C19" s="18">
        <f t="shared" si="0"/>
        <v>100.25397111223802</v>
      </c>
      <c r="D19" s="27">
        <f t="shared" si="1"/>
        <v>-2.7284042359093763E-2</v>
      </c>
      <c r="E19" s="18">
        <f>E18*(1+Returns!H9)</f>
        <v>98.14259682257152</v>
      </c>
      <c r="F19" s="18">
        <f t="shared" si="2"/>
        <v>100.19289276248583</v>
      </c>
      <c r="G19" s="27">
        <f t="shared" si="3"/>
        <v>-2.0463486814126353E-2</v>
      </c>
    </row>
    <row r="20" spans="1:7" ht="15">
      <c r="A20" s="25">
        <f>Returns!A10</f>
        <v>44935</v>
      </c>
      <c r="B20" s="18">
        <f>B19*(1+Returns!G10)</f>
        <v>99.217672519286566</v>
      </c>
      <c r="C20" s="18">
        <f t="shared" si="0"/>
        <v>100.25397111223802</v>
      </c>
      <c r="D20" s="27">
        <f t="shared" si="1"/>
        <v>-1.0336733612190563E-2</v>
      </c>
      <c r="E20" s="18">
        <f>E19*(1+Returns!H10)</f>
        <v>99.471079716486727</v>
      </c>
      <c r="F20" s="18">
        <f t="shared" si="2"/>
        <v>100.19289276248583</v>
      </c>
      <c r="G20" s="27">
        <f t="shared" si="3"/>
        <v>-7.204234013985511E-3</v>
      </c>
    </row>
    <row r="21" spans="1:7" ht="15">
      <c r="A21" s="25">
        <f>Returns!A11</f>
        <v>44936</v>
      </c>
      <c r="B21" s="18">
        <f>B20*(1+Returns!G11)</f>
        <v>97.84509909557049</v>
      </c>
      <c r="C21" s="18">
        <f t="shared" si="0"/>
        <v>100.25397111223802</v>
      </c>
      <c r="D21" s="27">
        <f t="shared" si="1"/>
        <v>-2.4027696757973893E-2</v>
      </c>
      <c r="E21" s="18">
        <f>E20*(1+Returns!H11)</f>
        <v>98.443194841653437</v>
      </c>
      <c r="F21" s="18">
        <f t="shared" si="2"/>
        <v>100.19289276248583</v>
      </c>
      <c r="G21" s="27">
        <f t="shared" si="3"/>
        <v>-1.7463293778533506E-2</v>
      </c>
    </row>
    <row r="22" spans="1:7" ht="15">
      <c r="A22" s="25">
        <f>Returns!A12</f>
        <v>44937</v>
      </c>
      <c r="B22" s="18">
        <f>B21*(1+Returns!G12)</f>
        <v>98.240447748452482</v>
      </c>
      <c r="C22" s="18">
        <f t="shared" si="0"/>
        <v>100.25397111223802</v>
      </c>
      <c r="D22" s="27">
        <f t="shared" si="1"/>
        <v>-2.0084225506950992E-2</v>
      </c>
      <c r="E22" s="18">
        <f>E21*(1+Returns!H12)</f>
        <v>98.341800565712887</v>
      </c>
      <c r="F22" s="18">
        <f t="shared" si="2"/>
        <v>100.19289276248583</v>
      </c>
      <c r="G22" s="27">
        <f t="shared" si="3"/>
        <v>-1.8475284481116683E-2</v>
      </c>
    </row>
    <row r="23" spans="1:7" ht="15">
      <c r="A23" s="25">
        <f>Returns!A13</f>
        <v>44938</v>
      </c>
      <c r="B23" s="18">
        <f>B22*(1+Returns!G13)</f>
        <v>97.872204204115775</v>
      </c>
      <c r="C23" s="18">
        <f t="shared" si="0"/>
        <v>100.25397111223802</v>
      </c>
      <c r="D23" s="27">
        <f t="shared" si="1"/>
        <v>-2.3757332320091029E-2</v>
      </c>
      <c r="E23" s="18">
        <f>E22*(1+Returns!H13)</f>
        <v>98.135727727980438</v>
      </c>
      <c r="F23" s="18">
        <f t="shared" si="2"/>
        <v>100.19289276248583</v>
      </c>
      <c r="G23" s="27">
        <f t="shared" si="3"/>
        <v>-2.0532045515264663E-2</v>
      </c>
    </row>
    <row r="24" spans="1:7" ht="15">
      <c r="A24" s="25">
        <f>Returns!A14</f>
        <v>44939</v>
      </c>
      <c r="B24" s="18">
        <f>B23*(1+Returns!G14)</f>
        <v>98.534621545737636</v>
      </c>
      <c r="C24" s="18">
        <f t="shared" si="0"/>
        <v>100.25397111223802</v>
      </c>
      <c r="D24" s="27">
        <f t="shared" si="1"/>
        <v>-1.7149939772216238E-2</v>
      </c>
      <c r="E24" s="18">
        <f>E23*(1+Returns!H14)</f>
        <v>98.676465000782443</v>
      </c>
      <c r="F24" s="18">
        <f t="shared" si="2"/>
        <v>100.19289276248583</v>
      </c>
      <c r="G24" s="27">
        <f t="shared" si="3"/>
        <v>-1.5135083137066241E-2</v>
      </c>
    </row>
    <row r="25" spans="1:7" ht="15">
      <c r="A25" s="25">
        <f>Returns!A15</f>
        <v>44942</v>
      </c>
      <c r="B25" s="18">
        <f>B24*(1+Returns!G15)</f>
        <v>98.345866656350267</v>
      </c>
      <c r="C25" s="18">
        <f t="shared" si="0"/>
        <v>100.25397111223802</v>
      </c>
      <c r="D25" s="27">
        <f t="shared" si="1"/>
        <v>-1.9032706981268244E-2</v>
      </c>
      <c r="E25" s="18">
        <f>E24*(1+Returns!H15)</f>
        <v>98.337131727983007</v>
      </c>
      <c r="F25" s="18">
        <f t="shared" si="2"/>
        <v>100.19289276248583</v>
      </c>
      <c r="G25" s="27">
        <f t="shared" si="3"/>
        <v>-1.8521882973296599E-2</v>
      </c>
    </row>
    <row r="26" spans="1:7" ht="15">
      <c r="A26" s="25">
        <f>Returns!A16</f>
        <v>44943</v>
      </c>
      <c r="B26" s="18">
        <f>B25*(1+Returns!G16)</f>
        <v>99.456256821103949</v>
      </c>
      <c r="C26" s="18">
        <f t="shared" si="0"/>
        <v>100.25397111223802</v>
      </c>
      <c r="D26" s="27">
        <f t="shared" si="1"/>
        <v>-7.9569345960470717E-3</v>
      </c>
      <c r="E26" s="18">
        <f>E25*(1+Returns!H16)</f>
        <v>99.207864598124715</v>
      </c>
      <c r="F26" s="18">
        <f t="shared" si="2"/>
        <v>100.19289276248583</v>
      </c>
      <c r="G26" s="27">
        <f t="shared" si="3"/>
        <v>-9.8313177432274301E-3</v>
      </c>
    </row>
    <row r="27" spans="1:7" ht="15">
      <c r="A27" s="25">
        <f>Returns!A17</f>
        <v>44944</v>
      </c>
      <c r="B27" s="18">
        <f>B26*(1+Returns!G17)</f>
        <v>100.05451133977228</v>
      </c>
      <c r="C27" s="18">
        <f t="shared" si="0"/>
        <v>100.25397111223802</v>
      </c>
      <c r="D27" s="27">
        <f t="shared" si="1"/>
        <v>-1.9895448554595463E-3</v>
      </c>
      <c r="E27" s="18">
        <f>E26*(1+Returns!H17)</f>
        <v>99.823603797493092</v>
      </c>
      <c r="F27" s="18">
        <f t="shared" si="2"/>
        <v>100.19289276248583</v>
      </c>
      <c r="G27" s="27">
        <f t="shared" si="3"/>
        <v>-3.6857800469756175E-3</v>
      </c>
    </row>
    <row r="28" spans="1:7" ht="15">
      <c r="A28" s="25">
        <f>Returns!A18</f>
        <v>44945</v>
      </c>
      <c r="B28" s="18">
        <f>B27*(1+Returns!G18)</f>
        <v>99.910902847791164</v>
      </c>
      <c r="C28" s="18">
        <f t="shared" si="0"/>
        <v>100.25397111223802</v>
      </c>
      <c r="D28" s="27">
        <f t="shared" si="1"/>
        <v>-3.4219917738996797E-3</v>
      </c>
      <c r="E28" s="18">
        <f>E27*(1+Returns!H18)</f>
        <v>99.507625446303337</v>
      </c>
      <c r="F28" s="18">
        <f t="shared" si="2"/>
        <v>100.19289276248583</v>
      </c>
      <c r="G28" s="27">
        <f t="shared" si="3"/>
        <v>-6.8394802993357873E-3</v>
      </c>
    </row>
    <row r="29" spans="1:7" ht="15">
      <c r="A29" s="25">
        <f>Returns!A19</f>
        <v>44946</v>
      </c>
      <c r="B29" s="18">
        <f>B28*(1+Returns!G19)</f>
        <v>99.753259198650454</v>
      </c>
      <c r="C29" s="18">
        <f t="shared" si="0"/>
        <v>100.25397111223802</v>
      </c>
      <c r="D29" s="27">
        <f t="shared" si="1"/>
        <v>-4.994434714481244E-3</v>
      </c>
      <c r="E29" s="18">
        <f>E28*(1+Returns!H19)</f>
        <v>99.066908630523642</v>
      </c>
      <c r="F29" s="18">
        <f t="shared" si="2"/>
        <v>100.19289276248583</v>
      </c>
      <c r="G29" s="27">
        <f t="shared" si="3"/>
        <v>-1.1238163715178939E-2</v>
      </c>
    </row>
    <row r="30" spans="1:7" ht="15">
      <c r="A30" s="25">
        <f>Returns!A20</f>
        <v>44949</v>
      </c>
      <c r="B30" s="18">
        <f>B29*(1+Returns!G20)</f>
        <v>100.36029298001944</v>
      </c>
      <c r="C30" s="18">
        <f t="shared" si="0"/>
        <v>100.36029298001944</v>
      </c>
      <c r="D30" s="27">
        <f t="shared" si="1"/>
        <v>0</v>
      </c>
      <c r="E30" s="18">
        <f>E29*(1+Returns!H20)</f>
        <v>99.566431335779171</v>
      </c>
      <c r="F30" s="18">
        <f t="shared" si="2"/>
        <v>100.19289276248583</v>
      </c>
      <c r="G30" s="27">
        <f t="shared" si="3"/>
        <v>-6.2525535438099356E-3</v>
      </c>
    </row>
    <row r="31" spans="1:7" ht="15">
      <c r="A31" s="25">
        <f>Returns!A21</f>
        <v>44950</v>
      </c>
      <c r="B31" s="18">
        <f>B30*(1+Returns!G21)</f>
        <v>100.69536450022328</v>
      </c>
      <c r="C31" s="18">
        <f t="shared" si="0"/>
        <v>100.69536450022328</v>
      </c>
      <c r="D31" s="27">
        <f t="shared" si="1"/>
        <v>0</v>
      </c>
      <c r="E31" s="18">
        <f>E30*(1+Returns!H21)</f>
        <v>99.565057516860946</v>
      </c>
      <c r="F31" s="18">
        <f t="shared" si="2"/>
        <v>100.19289276248583</v>
      </c>
      <c r="G31" s="27">
        <f t="shared" si="3"/>
        <v>-6.2662652840377309E-3</v>
      </c>
    </row>
    <row r="32" spans="1:7" ht="15">
      <c r="A32" s="25">
        <f>Returns!A22</f>
        <v>44951</v>
      </c>
      <c r="B32" s="18">
        <f>B31*(1+Returns!G22)</f>
        <v>99.258725139994723</v>
      </c>
      <c r="C32" s="18">
        <f t="shared" si="0"/>
        <v>100.69536450022328</v>
      </c>
      <c r="D32" s="27">
        <f t="shared" si="1"/>
        <v>-1.4267184664944255E-2</v>
      </c>
      <c r="E32" s="18">
        <f>E31*(1+Returns!H22)</f>
        <v>98.321193281939628</v>
      </c>
      <c r="F32" s="18">
        <f t="shared" si="2"/>
        <v>100.19289276248583</v>
      </c>
      <c r="G32" s="27">
        <f t="shared" si="3"/>
        <v>-1.8680960584531614E-2</v>
      </c>
    </row>
    <row r="33" spans="1:7" ht="15">
      <c r="A33" s="25">
        <f>Returns!A23</f>
        <v>44953</v>
      </c>
      <c r="B33" s="18">
        <f>B32*(1+Returns!G23)</f>
        <v>97.291912064191393</v>
      </c>
      <c r="C33" s="18">
        <f t="shared" si="0"/>
        <v>100.69536450022328</v>
      </c>
      <c r="D33" s="27">
        <f t="shared" si="1"/>
        <v>-3.3799494673107167E-2</v>
      </c>
      <c r="E33" s="18">
        <f>E32*(1+Returns!H23)</f>
        <v>96.7407541450156</v>
      </c>
      <c r="F33" s="18">
        <f t="shared" si="2"/>
        <v>100.19289276248583</v>
      </c>
      <c r="G33" s="27">
        <f t="shared" si="3"/>
        <v>-3.4454925117830104E-2</v>
      </c>
    </row>
    <row r="34" spans="1:7" ht="15">
      <c r="A34" s="25">
        <f>Returns!A24</f>
        <v>44956</v>
      </c>
      <c r="B34" s="18">
        <f>B33*(1+Returns!G24)</f>
        <v>97.930368131812614</v>
      </c>
      <c r="C34" s="18">
        <f t="shared" si="0"/>
        <v>100.69536450022328</v>
      </c>
      <c r="D34" s="27">
        <f t="shared" si="1"/>
        <v>-2.7459023383390568E-2</v>
      </c>
      <c r="E34" s="18">
        <f>E33*(1+Returns!H24)</f>
        <v>96.985841293433353</v>
      </c>
      <c r="F34" s="18">
        <f t="shared" si="2"/>
        <v>100.19289276248583</v>
      </c>
      <c r="G34" s="27">
        <f t="shared" si="3"/>
        <v>-3.2008772085810655E-2</v>
      </c>
    </row>
    <row r="35" spans="1:7" ht="15">
      <c r="A35" s="25">
        <f>Returns!A25</f>
        <v>44957</v>
      </c>
      <c r="B35" s="18">
        <f>B34*(1+Returns!G25)</f>
        <v>97.381731662699167</v>
      </c>
      <c r="C35" s="18">
        <f t="shared" si="0"/>
        <v>100.69536450022328</v>
      </c>
      <c r="D35" s="27">
        <f t="shared" si="1"/>
        <v>-3.2907501293336749E-2</v>
      </c>
      <c r="E35" s="18">
        <f>E34*(1+Returns!H25)</f>
        <v>97.058385372091351</v>
      </c>
      <c r="F35" s="18">
        <f t="shared" si="2"/>
        <v>100.19289276248583</v>
      </c>
      <c r="G35" s="27">
        <f t="shared" si="3"/>
        <v>-3.1284727928008293E-2</v>
      </c>
    </row>
    <row r="36" spans="1:7" ht="15">
      <c r="A36" s="25">
        <f>Returns!A26</f>
        <v>44958</v>
      </c>
      <c r="B36" s="18">
        <f>B35*(1+Returns!G26)</f>
        <v>98.33755977893388</v>
      </c>
      <c r="C36" s="18">
        <f t="shared" si="0"/>
        <v>100.69536450022328</v>
      </c>
      <c r="D36" s="27">
        <f t="shared" si="1"/>
        <v>-2.3415226043341564E-2</v>
      </c>
      <c r="E36" s="18">
        <f>E35*(1+Returns!H26)</f>
        <v>96.806429129082531</v>
      </c>
      <c r="F36" s="18">
        <f t="shared" si="2"/>
        <v>100.19289276248583</v>
      </c>
      <c r="G36" s="27">
        <f t="shared" si="3"/>
        <v>-3.3799439661165831E-2</v>
      </c>
    </row>
    <row r="37" spans="1:7" ht="15">
      <c r="A37" s="25">
        <f>Returns!A27</f>
        <v>44959</v>
      </c>
      <c r="B37" s="18">
        <f>B36*(1+Returns!G27)</f>
        <v>98.619887716888513</v>
      </c>
      <c r="C37" s="18">
        <f t="shared" si="0"/>
        <v>100.69536450022328</v>
      </c>
      <c r="D37" s="27">
        <f t="shared" si="1"/>
        <v>-2.0611443174528232E-2</v>
      </c>
      <c r="E37" s="18">
        <f>E36*(1+Returns!H27)</f>
        <v>96.774004856020568</v>
      </c>
      <c r="F37" s="18">
        <f t="shared" si="2"/>
        <v>100.19289276248583</v>
      </c>
      <c r="G37" s="27">
        <f t="shared" si="3"/>
        <v>-3.4123058155132502E-2</v>
      </c>
    </row>
    <row r="38" spans="1:7" ht="15">
      <c r="A38" s="25">
        <f>Returns!A28</f>
        <v>44960</v>
      </c>
      <c r="B38" s="18">
        <f>B37*(1+Returns!G28)</f>
        <v>99.867009675946079</v>
      </c>
      <c r="C38" s="18">
        <f t="shared" si="0"/>
        <v>100.69536450022328</v>
      </c>
      <c r="D38" s="27">
        <f t="shared" si="1"/>
        <v>-8.2263451588713288E-3</v>
      </c>
      <c r="E38" s="18">
        <f>E37*(1+Returns!H28)</f>
        <v>98.112930920306283</v>
      </c>
      <c r="F38" s="18">
        <f t="shared" si="2"/>
        <v>100.19289276248583</v>
      </c>
      <c r="G38" s="27">
        <f t="shared" si="3"/>
        <v>-2.0759574704667272E-2</v>
      </c>
    </row>
    <row r="39" spans="1:7" ht="15">
      <c r="A39" s="25">
        <f>Returns!A29</f>
        <v>44963</v>
      </c>
      <c r="B39" s="18">
        <f>B38*(1+Returns!G29)</f>
        <v>98.992652387336548</v>
      </c>
      <c r="C39" s="18">
        <f t="shared" si="0"/>
        <v>100.69536450022328</v>
      </c>
      <c r="D39" s="27">
        <f t="shared" si="1"/>
        <v>-1.6909538203051633E-2</v>
      </c>
      <c r="E39" s="18">
        <f>E38*(1+Returns!H29)</f>
        <v>97.62137207159229</v>
      </c>
      <c r="F39" s="18">
        <f t="shared" si="2"/>
        <v>100.19289276248583</v>
      </c>
      <c r="G39" s="27">
        <f t="shared" si="3"/>
        <v>-2.5665699631904015E-2</v>
      </c>
    </row>
    <row r="40" spans="1:7" ht="15">
      <c r="A40" s="25">
        <f>Returns!A30</f>
        <v>44964</v>
      </c>
      <c r="B40" s="18">
        <f>B39*(1+Returns!G30)</f>
        <v>98.955044377634508</v>
      </c>
      <c r="C40" s="18">
        <f t="shared" si="0"/>
        <v>100.69536450022328</v>
      </c>
      <c r="D40" s="27">
        <f t="shared" si="1"/>
        <v>-1.7283021231676576E-2</v>
      </c>
      <c r="E40" s="18">
        <f>E39*(1+Returns!H30)</f>
        <v>97.384527836683858</v>
      </c>
      <c r="F40" s="18">
        <f t="shared" si="2"/>
        <v>100.19289276248583</v>
      </c>
      <c r="G40" s="27">
        <f t="shared" si="3"/>
        <v>-2.8029582222557359E-2</v>
      </c>
    </row>
    <row r="41" spans="1:7" ht="15">
      <c r="A41" s="25">
        <f>Returns!A31</f>
        <v>44965</v>
      </c>
      <c r="B41" s="18">
        <f>B40*(1+Returns!G31)</f>
        <v>100.09458667270449</v>
      </c>
      <c r="C41" s="18">
        <f t="shared" si="0"/>
        <v>100.69536450022328</v>
      </c>
      <c r="D41" s="27">
        <f t="shared" si="1"/>
        <v>-5.9662908069363363E-3</v>
      </c>
      <c r="E41" s="18">
        <f>E40*(1+Returns!H31)</f>
        <v>98.209913949564111</v>
      </c>
      <c r="F41" s="18">
        <f t="shared" si="2"/>
        <v>100.19289276248583</v>
      </c>
      <c r="G41" s="27">
        <f t="shared" si="3"/>
        <v>-1.9791611542971488E-2</v>
      </c>
    </row>
    <row r="42" spans="1:7" ht="15">
      <c r="A42" s="25">
        <f>Returns!A32</f>
        <v>44966</v>
      </c>
      <c r="B42" s="18">
        <f>B41*(1+Returns!G32)</f>
        <v>100.4838911869556</v>
      </c>
      <c r="C42" s="18">
        <f t="shared" si="0"/>
        <v>100.69536450022328</v>
      </c>
      <c r="D42" s="27">
        <f t="shared" si="1"/>
        <v>-2.1001295771386763E-3</v>
      </c>
      <c r="E42" s="18">
        <f>E41*(1+Returns!H32)</f>
        <v>98.329436195448935</v>
      </c>
      <c r="F42" s="18">
        <f t="shared" si="2"/>
        <v>100.19289276248583</v>
      </c>
      <c r="G42" s="27">
        <f t="shared" si="3"/>
        <v>-1.8598690143165619E-2</v>
      </c>
    </row>
    <row r="43" spans="1:7" ht="15">
      <c r="A43" s="25">
        <f>Returns!A33</f>
        <v>44967</v>
      </c>
      <c r="B43" s="18">
        <f>B42*(1+Returns!G33)</f>
        <v>100.15753815909737</v>
      </c>
      <c r="C43" s="18">
        <f t="shared" si="0"/>
        <v>100.69536450022328</v>
      </c>
      <c r="D43" s="27">
        <f t="shared" si="1"/>
        <v>-5.3411231370508183E-3</v>
      </c>
      <c r="E43" s="18">
        <f>E42*(1+Returns!H33)</f>
        <v>98.126390052520676</v>
      </c>
      <c r="F43" s="18">
        <f t="shared" si="2"/>
        <v>100.19289276248583</v>
      </c>
      <c r="G43" s="27">
        <f t="shared" si="3"/>
        <v>-2.0625242499624608E-2</v>
      </c>
    </row>
    <row r="44" spans="1:7" ht="15">
      <c r="A44" s="25">
        <f>Returns!A34</f>
        <v>44970</v>
      </c>
      <c r="B44" s="18">
        <f>B43*(1+Returns!G34)</f>
        <v>99.281447829075731</v>
      </c>
      <c r="C44" s="18">
        <f t="shared" si="0"/>
        <v>100.69536450022328</v>
      </c>
      <c r="D44" s="27">
        <f t="shared" si="1"/>
        <v>-1.4041526917998426E-2</v>
      </c>
      <c r="E44" s="18">
        <f>E43*(1+Returns!H34)</f>
        <v>97.655996601515454</v>
      </c>
      <c r="F44" s="18">
        <f t="shared" si="2"/>
        <v>100.19289276248583</v>
      </c>
      <c r="G44" s="27">
        <f t="shared" si="3"/>
        <v>-2.5320120928979062E-2</v>
      </c>
    </row>
    <row r="45" spans="1:7" ht="15">
      <c r="A45" s="25">
        <f>Returns!A35</f>
        <v>44971</v>
      </c>
      <c r="B45" s="18">
        <f>B44*(1+Returns!G35)</f>
        <v>100.69860548056303</v>
      </c>
      <c r="C45" s="18">
        <f t="shared" si="0"/>
        <v>100.69860548056303</v>
      </c>
      <c r="D45" s="27">
        <f t="shared" si="1"/>
        <v>0</v>
      </c>
      <c r="E45" s="18">
        <f>E44*(1+Returns!H35)</f>
        <v>98.529466376533293</v>
      </c>
      <c r="F45" s="18">
        <f t="shared" si="2"/>
        <v>100.19289276248583</v>
      </c>
      <c r="G45" s="27">
        <f t="shared" si="3"/>
        <v>-1.6602239341425129E-2</v>
      </c>
    </row>
    <row r="46" spans="1:7" ht="15">
      <c r="A46" s="25">
        <f>Returns!A36</f>
        <v>44972</v>
      </c>
      <c r="B46" s="18">
        <f>B45*(1+Returns!G36)</f>
        <v>101.46780033007467</v>
      </c>
      <c r="C46" s="18">
        <f t="shared" si="0"/>
        <v>101.46780033007467</v>
      </c>
      <c r="D46" s="27">
        <f t="shared" si="1"/>
        <v>0</v>
      </c>
      <c r="E46" s="18">
        <f>E45*(1+Returns!H36)</f>
        <v>99.002060084399716</v>
      </c>
      <c r="F46" s="18">
        <f t="shared" si="2"/>
        <v>100.19289276248583</v>
      </c>
      <c r="G46" s="27">
        <f t="shared" si="3"/>
        <v>-1.1885400703112392E-2</v>
      </c>
    </row>
    <row r="47" spans="1:7" ht="15">
      <c r="A47" s="25">
        <f>Returns!A37</f>
        <v>44973</v>
      </c>
      <c r="B47" s="18">
        <f>B46*(1+Returns!G37)</f>
        <v>101.59335355847968</v>
      </c>
      <c r="C47" s="18">
        <f t="shared" si="0"/>
        <v>101.59335355847968</v>
      </c>
      <c r="D47" s="27">
        <f t="shared" si="1"/>
        <v>0</v>
      </c>
      <c r="E47" s="18">
        <f>E46*(1+Returns!H37)</f>
        <v>99.111965597857036</v>
      </c>
      <c r="F47" s="18">
        <f t="shared" si="2"/>
        <v>100.19289276248583</v>
      </c>
      <c r="G47" s="27">
        <f t="shared" si="3"/>
        <v>-1.078846148489998E-2</v>
      </c>
    </row>
    <row r="48" spans="1:7" ht="15">
      <c r="A48" s="25">
        <f>Returns!A38</f>
        <v>44974</v>
      </c>
      <c r="B48" s="18">
        <f>B47*(1+Returns!G38)</f>
        <v>100.95664538202618</v>
      </c>
      <c r="C48" s="18">
        <f t="shared" si="0"/>
        <v>101.59335355847968</v>
      </c>
      <c r="D48" s="27">
        <f t="shared" si="1"/>
        <v>-6.2672227478640652E-3</v>
      </c>
      <c r="E48" s="18">
        <f>E47*(1+Returns!H38)</f>
        <v>98.608321435846861</v>
      </c>
      <c r="F48" s="18">
        <f t="shared" si="2"/>
        <v>100.19289276248583</v>
      </c>
      <c r="G48" s="27">
        <f t="shared" si="3"/>
        <v>-1.5815206876951815E-2</v>
      </c>
    </row>
    <row r="49" spans="1:7" ht="15">
      <c r="A49" s="25">
        <f>Returns!A39</f>
        <v>44977</v>
      </c>
      <c r="B49" s="18">
        <f>B48*(1+Returns!G39)</f>
        <v>100.27041345249756</v>
      </c>
      <c r="C49" s="18">
        <f t="shared" si="0"/>
        <v>101.59335355847968</v>
      </c>
      <c r="D49" s="27">
        <f t="shared" si="1"/>
        <v>-1.3021915899454894E-2</v>
      </c>
      <c r="E49" s="18">
        <f>E48*(1+Returns!H39)</f>
        <v>98.06099412542153</v>
      </c>
      <c r="F49" s="18">
        <f t="shared" si="2"/>
        <v>100.19289276248583</v>
      </c>
      <c r="G49" s="27">
        <f t="shared" si="3"/>
        <v>-2.1277942759054813E-2</v>
      </c>
    </row>
    <row r="50" spans="1:7" ht="15">
      <c r="A50" s="25">
        <f>Returns!A40</f>
        <v>44978</v>
      </c>
      <c r="B50" s="18">
        <f>B49*(1+Returns!G40)</f>
        <v>100.27494476103409</v>
      </c>
      <c r="C50" s="18">
        <f t="shared" si="0"/>
        <v>101.59335355847968</v>
      </c>
      <c r="D50" s="27">
        <f t="shared" si="1"/>
        <v>-1.297731348819664E-2</v>
      </c>
      <c r="E50" s="18">
        <f>E49*(1+Returns!H40)</f>
        <v>97.962626544285186</v>
      </c>
      <c r="F50" s="18">
        <f t="shared" si="2"/>
        <v>100.19289276248583</v>
      </c>
      <c r="G50" s="27">
        <f t="shared" si="3"/>
        <v>-2.2259724783948887E-2</v>
      </c>
    </row>
    <row r="51" spans="1:7" ht="15">
      <c r="A51" s="25">
        <f>Returns!A41</f>
        <v>44979</v>
      </c>
      <c r="B51" s="18">
        <f>B50*(1+Returns!G41)</f>
        <v>98.495477724512497</v>
      </c>
      <c r="C51" s="18">
        <f t="shared" si="0"/>
        <v>101.59335355847968</v>
      </c>
      <c r="D51" s="27">
        <f t="shared" si="1"/>
        <v>-3.0492898653886491E-2</v>
      </c>
      <c r="E51" s="18">
        <f>E50*(1+Returns!H41)</f>
        <v>96.465722037364884</v>
      </c>
      <c r="F51" s="18">
        <f t="shared" si="2"/>
        <v>100.19289276248583</v>
      </c>
      <c r="G51" s="27">
        <f t="shared" si="3"/>
        <v>-3.7199951237623763E-2</v>
      </c>
    </row>
    <row r="52" spans="1:7" ht="15">
      <c r="A52" s="25">
        <f>Returns!A42</f>
        <v>44980</v>
      </c>
      <c r="B52" s="18">
        <f>B51*(1+Returns!G42)</f>
        <v>98.185185245838682</v>
      </c>
      <c r="C52" s="18">
        <f t="shared" si="0"/>
        <v>101.59335355847968</v>
      </c>
      <c r="D52" s="27">
        <f t="shared" si="1"/>
        <v>-3.3547158286089784E-2</v>
      </c>
      <c r="E52" s="18">
        <f>E51*(1+Returns!H42)</f>
        <v>96.229146126463903</v>
      </c>
      <c r="F52" s="18">
        <f t="shared" si="2"/>
        <v>100.19289276248583</v>
      </c>
      <c r="G52" s="27">
        <f t="shared" si="3"/>
        <v>-3.9561155754013977E-2</v>
      </c>
    </row>
    <row r="53" spans="1:7" ht="15">
      <c r="A53" s="25">
        <f>Returns!A43</f>
        <v>44981</v>
      </c>
      <c r="B53" s="18">
        <f>B52*(1+Returns!G43)</f>
        <v>98.056063149488125</v>
      </c>
      <c r="C53" s="18">
        <f t="shared" si="0"/>
        <v>101.59335355847968</v>
      </c>
      <c r="D53" s="27">
        <f t="shared" si="1"/>
        <v>-3.4818128205162502E-2</v>
      </c>
      <c r="E53" s="18">
        <f>E52*(1+Returns!H43)</f>
        <v>95.979390140316283</v>
      </c>
      <c r="F53" s="18">
        <f t="shared" si="2"/>
        <v>100.19289276248583</v>
      </c>
      <c r="G53" s="27">
        <f t="shared" si="3"/>
        <v>-4.2053907278213232E-2</v>
      </c>
    </row>
    <row r="54" spans="1:7" ht="15">
      <c r="A54" s="25">
        <f>Returns!A44</f>
        <v>44984</v>
      </c>
      <c r="B54" s="18">
        <f>B53*(1+Returns!G44)</f>
        <v>97.458675770695493</v>
      </c>
      <c r="C54" s="18">
        <f t="shared" si="0"/>
        <v>101.59335355847968</v>
      </c>
      <c r="D54" s="27">
        <f t="shared" si="1"/>
        <v>-4.069830990867096E-2</v>
      </c>
      <c r="E54" s="18">
        <f>E53*(1+Returns!H44)</f>
        <v>95.577676902261587</v>
      </c>
      <c r="F54" s="18">
        <f t="shared" si="2"/>
        <v>100.19289276248583</v>
      </c>
      <c r="G54" s="27">
        <f t="shared" si="3"/>
        <v>-4.606330581915552E-2</v>
      </c>
    </row>
    <row r="55" spans="1:7" ht="15">
      <c r="A55" s="25">
        <f>Returns!A45</f>
        <v>44985</v>
      </c>
      <c r="B55" s="18">
        <f>B54*(1+Returns!G45)</f>
        <v>96.746745925032897</v>
      </c>
      <c r="C55" s="18">
        <f t="shared" si="0"/>
        <v>101.59335355847968</v>
      </c>
      <c r="D55" s="27">
        <f t="shared" si="1"/>
        <v>-4.7705951853011297E-2</v>
      </c>
      <c r="E55" s="18">
        <f>E54*(1+Returns!H45)</f>
        <v>95.08997118629479</v>
      </c>
      <c r="F55" s="18">
        <f t="shared" si="2"/>
        <v>100.19289276248583</v>
      </c>
      <c r="G55" s="27">
        <f t="shared" si="3"/>
        <v>-5.0930973599972451E-2</v>
      </c>
    </row>
    <row r="56" spans="1:7" ht="15">
      <c r="A56" s="25">
        <f>Returns!A46</f>
        <v>44986</v>
      </c>
      <c r="B56" s="18">
        <f>B55*(1+Returns!G46)</f>
        <v>97.47868232542389</v>
      </c>
      <c r="C56" s="18">
        <f t="shared" si="0"/>
        <v>101.59335355847968</v>
      </c>
      <c r="D56" s="27">
        <f t="shared" si="1"/>
        <v>-4.0501382117357543E-2</v>
      </c>
      <c r="E56" s="18">
        <f>E55*(1+Returns!H46)</f>
        <v>95.897508386198538</v>
      </c>
      <c r="F56" s="18">
        <f t="shared" si="2"/>
        <v>100.19289276248583</v>
      </c>
      <c r="G56" s="27">
        <f t="shared" si="3"/>
        <v>-4.2871148420375427E-2</v>
      </c>
    </row>
    <row r="57" spans="1:7" ht="15">
      <c r="A57" s="25">
        <f>Returns!A47</f>
        <v>44987</v>
      </c>
      <c r="B57" s="18">
        <f>B56*(1+Returns!G47)</f>
        <v>96.442866167980043</v>
      </c>
      <c r="C57" s="18">
        <f t="shared" si="0"/>
        <v>101.59335355847968</v>
      </c>
      <c r="D57" s="27">
        <f t="shared" si="1"/>
        <v>-5.0697090017162272E-2</v>
      </c>
      <c r="E57" s="18">
        <f>E56*(1+Returns!H47)</f>
        <v>95.188617824398904</v>
      </c>
      <c r="F57" s="18">
        <f t="shared" si="2"/>
        <v>100.19289276248583</v>
      </c>
      <c r="G57" s="27">
        <f t="shared" si="3"/>
        <v>-4.9946406377844643E-2</v>
      </c>
    </row>
    <row r="58" spans="1:7" ht="15">
      <c r="A58" s="25">
        <f>Returns!A48</f>
        <v>44988</v>
      </c>
      <c r="B58" s="18">
        <f>B57*(1+Returns!G48)</f>
        <v>97.973582955271468</v>
      </c>
      <c r="C58" s="18">
        <f t="shared" si="0"/>
        <v>101.59335355847968</v>
      </c>
      <c r="D58" s="27">
        <f t="shared" si="1"/>
        <v>-3.5629994250800823E-2</v>
      </c>
      <c r="E58" s="18">
        <f>E57*(1+Returns!H48)</f>
        <v>96.685801388286961</v>
      </c>
      <c r="F58" s="18">
        <f t="shared" si="2"/>
        <v>100.19289276248583</v>
      </c>
      <c r="G58" s="27">
        <f t="shared" si="3"/>
        <v>-3.5003394726936032E-2</v>
      </c>
    </row>
    <row r="59" spans="1:7" ht="15">
      <c r="A59" s="25">
        <f>Returns!A49</f>
        <v>44991</v>
      </c>
      <c r="B59" s="18">
        <f>B58*(1+Returns!G49)</f>
        <v>98.825872166476628</v>
      </c>
      <c r="C59" s="18">
        <f t="shared" si="0"/>
        <v>101.59335355847968</v>
      </c>
      <c r="D59" s="27">
        <f t="shared" si="1"/>
        <v>-2.7240772108285793E-2</v>
      </c>
      <c r="E59" s="18">
        <f>E58*(1+Returns!H49)</f>
        <v>97.32929602298745</v>
      </c>
      <c r="F59" s="18">
        <f t="shared" si="2"/>
        <v>100.19289276248583</v>
      </c>
      <c r="G59" s="27">
        <f t="shared" si="3"/>
        <v>-2.8580837028897133E-2</v>
      </c>
    </row>
    <row r="60" spans="1:7" ht="15">
      <c r="A60" s="25">
        <f>Returns!A50</f>
        <v>44993</v>
      </c>
      <c r="B60" s="18">
        <f>B59*(1+Returns!G50)</f>
        <v>99.001938158353354</v>
      </c>
      <c r="C60" s="18">
        <f t="shared" si="0"/>
        <v>101.59335355847968</v>
      </c>
      <c r="D60" s="27">
        <f t="shared" si="1"/>
        <v>-2.5507725745411491E-2</v>
      </c>
      <c r="E60" s="18">
        <f>E59*(1+Returns!H50)</f>
        <v>97.565324552913196</v>
      </c>
      <c r="F60" s="18">
        <f t="shared" si="2"/>
        <v>100.19289276248583</v>
      </c>
      <c r="G60" s="27">
        <f t="shared" si="3"/>
        <v>-2.6225095784004004E-2</v>
      </c>
    </row>
    <row r="61" spans="1:7" ht="15">
      <c r="A61" s="25">
        <f>Returns!A51</f>
        <v>44994</v>
      </c>
      <c r="B61" s="18">
        <f>B60*(1+Returns!G51)</f>
        <v>97.699238859965078</v>
      </c>
      <c r="C61" s="18">
        <f t="shared" si="0"/>
        <v>101.59335355847968</v>
      </c>
      <c r="D61" s="27">
        <f t="shared" si="1"/>
        <v>-3.8330408064274124E-2</v>
      </c>
      <c r="E61" s="18">
        <f>E60*(1+Returns!H51)</f>
        <v>96.65969882884086</v>
      </c>
      <c r="F61" s="18">
        <f t="shared" si="2"/>
        <v>100.19289276248583</v>
      </c>
      <c r="G61" s="27">
        <f t="shared" si="3"/>
        <v>-3.5263917791261368E-2</v>
      </c>
    </row>
    <row r="62" spans="1:7" ht="15">
      <c r="A62" s="25">
        <f>Returns!A52</f>
        <v>44995</v>
      </c>
      <c r="B62" s="18">
        <f>B61*(1+Returns!G52)</f>
        <v>96.341436246914526</v>
      </c>
      <c r="C62" s="18">
        <f t="shared" si="0"/>
        <v>101.59335355847968</v>
      </c>
      <c r="D62" s="27">
        <f t="shared" si="1"/>
        <v>-5.1695481324396053E-2</v>
      </c>
      <c r="E62" s="18">
        <f>E61*(1+Returns!H52)</f>
        <v>95.688687910629667</v>
      </c>
      <c r="F62" s="18">
        <f t="shared" si="2"/>
        <v>100.19289276248583</v>
      </c>
      <c r="G62" s="27">
        <f t="shared" si="3"/>
        <v>-4.4955332934978554E-2</v>
      </c>
    </row>
    <row r="63" spans="1:7" ht="15">
      <c r="A63" s="25">
        <f>Returns!A53</f>
        <v>44998</v>
      </c>
      <c r="B63" s="18">
        <f>B62*(1+Returns!G53)</f>
        <v>94.75452010278849</v>
      </c>
      <c r="C63" s="18">
        <f t="shared" si="0"/>
        <v>101.59335355847968</v>
      </c>
      <c r="D63" s="27">
        <f t="shared" si="1"/>
        <v>-6.7315756554434225E-2</v>
      </c>
      <c r="E63" s="18">
        <f>E62*(1+Returns!H53)</f>
        <v>94.267611768218742</v>
      </c>
      <c r="F63" s="18">
        <f t="shared" si="2"/>
        <v>100.19289276248583</v>
      </c>
      <c r="G63" s="27">
        <f t="shared" si="3"/>
        <v>-5.9138735601869219E-2</v>
      </c>
    </row>
    <row r="64" spans="1:7" ht="15">
      <c r="A64" s="25">
        <f>Returns!A54</f>
        <v>44999</v>
      </c>
      <c r="B64" s="18">
        <f>B63*(1+Returns!G54)</f>
        <v>94.099459300798244</v>
      </c>
      <c r="C64" s="18">
        <f t="shared" si="0"/>
        <v>101.59335355847968</v>
      </c>
      <c r="D64" s="27">
        <f t="shared" si="1"/>
        <v>-7.3763627197991455E-2</v>
      </c>
      <c r="E64" s="18">
        <f>E63*(1+Returns!H54)</f>
        <v>93.657636168530686</v>
      </c>
      <c r="F64" s="18">
        <f t="shared" si="2"/>
        <v>100.19289276248583</v>
      </c>
      <c r="G64" s="27">
        <f t="shared" si="3"/>
        <v>-6.5226748262947276E-2</v>
      </c>
    </row>
    <row r="65" spans="1:7" ht="15">
      <c r="A65" s="25">
        <f>Returns!A55</f>
        <v>45000</v>
      </c>
      <c r="B65" s="18">
        <f>B64*(1+Returns!G55)</f>
        <v>93.186695867492816</v>
      </c>
      <c r="C65" s="18">
        <f t="shared" si="0"/>
        <v>101.59335355847968</v>
      </c>
      <c r="D65" s="27">
        <f t="shared" si="1"/>
        <v>-8.2748107002371785E-2</v>
      </c>
      <c r="E65" s="18">
        <f>E64*(1+Returns!H55)</f>
        <v>93.266645157814253</v>
      </c>
      <c r="F65" s="18">
        <f t="shared" si="2"/>
        <v>100.19289276248583</v>
      </c>
      <c r="G65" s="27">
        <f t="shared" si="3"/>
        <v>-6.9129130956331664E-2</v>
      </c>
    </row>
    <row r="66" spans="1:7" ht="15">
      <c r="A66" s="25">
        <f>Returns!A56</f>
        <v>45001</v>
      </c>
      <c r="B66" s="18">
        <f>B65*(1+Returns!G56)</f>
        <v>92.953730607764498</v>
      </c>
      <c r="C66" s="18">
        <f t="shared" si="0"/>
        <v>101.59335355847968</v>
      </c>
      <c r="D66" s="27">
        <f t="shared" si="1"/>
        <v>-8.5041222167570152E-2</v>
      </c>
      <c r="E66" s="18">
        <f>E65*(1+Returns!H56)</f>
        <v>93.34055232243017</v>
      </c>
      <c r="F66" s="18">
        <f t="shared" si="2"/>
        <v>100.19289276248583</v>
      </c>
      <c r="G66" s="27">
        <f t="shared" si="3"/>
        <v>-6.8391482181272112E-2</v>
      </c>
    </row>
    <row r="67" spans="1:7" ht="15">
      <c r="A67" s="25">
        <f>Returns!A57</f>
        <v>45002</v>
      </c>
      <c r="B67" s="18">
        <f>B66*(1+Returns!G57)</f>
        <v>93.575788614721901</v>
      </c>
      <c r="C67" s="18">
        <f t="shared" si="0"/>
        <v>101.59335355847968</v>
      </c>
      <c r="D67" s="27">
        <f t="shared" si="1"/>
        <v>-7.8918203434860223E-2</v>
      </c>
      <c r="E67" s="18">
        <f>E66*(1+Returns!H57)</f>
        <v>93.969493062965796</v>
      </c>
      <c r="F67" s="18">
        <f t="shared" si="2"/>
        <v>100.19289276248583</v>
      </c>
      <c r="G67" s="27">
        <f t="shared" si="3"/>
        <v>-6.2114183231270048E-2</v>
      </c>
    </row>
    <row r="68" spans="1:7" ht="15">
      <c r="A68" s="25">
        <f>Returns!A58</f>
        <v>45005</v>
      </c>
      <c r="B68" s="18">
        <f>B67*(1+Returns!G58)</f>
        <v>92.806705545667484</v>
      </c>
      <c r="C68" s="18">
        <f t="shared" si="0"/>
        <v>101.59335355847968</v>
      </c>
      <c r="D68" s="27">
        <f t="shared" si="1"/>
        <v>-8.6488413907454875E-2</v>
      </c>
      <c r="E68" s="18">
        <f>E67*(1+Returns!H58)</f>
        <v>93.355943387498314</v>
      </c>
      <c r="F68" s="18">
        <f t="shared" si="2"/>
        <v>100.19289276248583</v>
      </c>
      <c r="G68" s="27">
        <f t="shared" si="3"/>
        <v>-6.8237867841534183E-2</v>
      </c>
    </row>
    <row r="69" spans="1:7" ht="15">
      <c r="A69" s="25">
        <f>Returns!A59</f>
        <v>45006</v>
      </c>
      <c r="B69" s="18">
        <f>B68*(1+Returns!G59)</f>
        <v>93.708485582754207</v>
      </c>
      <c r="C69" s="18">
        <f t="shared" si="0"/>
        <v>101.59335355847968</v>
      </c>
      <c r="D69" s="27">
        <f t="shared" si="1"/>
        <v>-7.7612045468966051E-2</v>
      </c>
      <c r="E69" s="18">
        <f>E68*(1+Returns!H59)</f>
        <v>94.010428573544516</v>
      </c>
      <c r="F69" s="18">
        <f t="shared" si="2"/>
        <v>100.19289276248583</v>
      </c>
      <c r="G69" s="27">
        <f t="shared" si="3"/>
        <v>-6.1705616221674253E-2</v>
      </c>
    </row>
    <row r="70" spans="1:7" ht="15">
      <c r="A70" s="25">
        <f>Returns!A60</f>
        <v>45007</v>
      </c>
      <c r="B70" s="18">
        <f>B69*(1+Returns!G60)</f>
        <v>93.988572994810752</v>
      </c>
      <c r="C70" s="18">
        <f t="shared" si="0"/>
        <v>101.59335355847968</v>
      </c>
      <c r="D70" s="27">
        <f t="shared" si="1"/>
        <v>-7.4855099249100165E-2</v>
      </c>
      <c r="E70" s="18">
        <f>E69*(1+Returns!H60)</f>
        <v>94.254420960011799</v>
      </c>
      <c r="F70" s="18">
        <f t="shared" si="2"/>
        <v>100.19289276248583</v>
      </c>
      <c r="G70" s="27">
        <f t="shared" si="3"/>
        <v>-5.9270389732648865E-2</v>
      </c>
    </row>
    <row r="71" spans="1:7" ht="15">
      <c r="A71" s="25">
        <f>Returns!A61</f>
        <v>45008</v>
      </c>
      <c r="B71" s="18">
        <f>B70*(1+Returns!G61)</f>
        <v>93.238743627293488</v>
      </c>
      <c r="C71" s="18">
        <f t="shared" si="0"/>
        <v>101.59335355847968</v>
      </c>
      <c r="D71" s="27">
        <f t="shared" si="1"/>
        <v>-8.2235792387511553E-2</v>
      </c>
      <c r="E71" s="18">
        <f>E70*(1+Returns!H61)</f>
        <v>93.842275284546901</v>
      </c>
      <c r="F71" s="18">
        <f t="shared" si="2"/>
        <v>100.19289276248583</v>
      </c>
      <c r="G71" s="27">
        <f t="shared" si="3"/>
        <v>-6.3383911800944825E-2</v>
      </c>
    </row>
    <row r="72" spans="1:7" ht="15">
      <c r="A72" s="25">
        <f>Returns!A62</f>
        <v>45009</v>
      </c>
      <c r="B72" s="18">
        <f>B71*(1+Returns!G62)</f>
        <v>92.727428999769955</v>
      </c>
      <c r="C72" s="18">
        <f t="shared" si="0"/>
        <v>101.59335355847968</v>
      </c>
      <c r="D72" s="27">
        <f t="shared" si="1"/>
        <v>-8.7268745918563151E-2</v>
      </c>
      <c r="E72" s="18">
        <f>E71*(1+Returns!H62)</f>
        <v>93.117725333671657</v>
      </c>
      <c r="F72" s="18">
        <f t="shared" si="2"/>
        <v>100.19289276248583</v>
      </c>
      <c r="G72" s="27">
        <f t="shared" si="3"/>
        <v>-7.0615462172415211E-2</v>
      </c>
    </row>
    <row r="73" spans="1:7" ht="15">
      <c r="A73" s="25">
        <f>Returns!A63</f>
        <v>45012</v>
      </c>
      <c r="B73" s="18">
        <f>B72*(1+Returns!G63)</f>
        <v>93.222732522502426</v>
      </c>
      <c r="C73" s="18">
        <f t="shared" si="0"/>
        <v>101.59335355847968</v>
      </c>
      <c r="D73" s="27">
        <f t="shared" si="1"/>
        <v>-8.2393392311426283E-2</v>
      </c>
      <c r="E73" s="18">
        <f>E72*(1+Returns!H63)</f>
        <v>93.341099703405405</v>
      </c>
      <c r="F73" s="18">
        <f t="shared" si="2"/>
        <v>100.19289276248583</v>
      </c>
      <c r="G73" s="27">
        <f t="shared" si="3"/>
        <v>-6.8386018909775026E-2</v>
      </c>
    </row>
    <row r="74" spans="1:7" ht="15">
      <c r="A74" s="25">
        <f>Returns!A64</f>
        <v>45013</v>
      </c>
      <c r="B74" s="18">
        <f>B73*(1+Returns!G64)</f>
        <v>93.468352999680263</v>
      </c>
      <c r="C74" s="18">
        <f t="shared" si="0"/>
        <v>101.59335355847968</v>
      </c>
      <c r="D74" s="27">
        <f t="shared" si="1"/>
        <v>-7.9975709770447323E-2</v>
      </c>
      <c r="E74" s="18">
        <f>E73*(1+Returns!H64)</f>
        <v>93.154260330527975</v>
      </c>
      <c r="F74" s="18">
        <f t="shared" si="2"/>
        <v>100.19289276248583</v>
      </c>
      <c r="G74" s="27">
        <f t="shared" si="3"/>
        <v>-7.0250815580735981E-2</v>
      </c>
    </row>
    <row r="75" spans="1:7" ht="15">
      <c r="A75" s="25">
        <f>Returns!A65</f>
        <v>45014</v>
      </c>
      <c r="B75" s="18">
        <f>B74*(1+Returns!G65)</f>
        <v>93.579519395779187</v>
      </c>
      <c r="C75" s="18">
        <f t="shared" si="0"/>
        <v>101.59335355847968</v>
      </c>
      <c r="D75" s="27">
        <f t="shared" si="1"/>
        <v>-7.8881480746548327E-2</v>
      </c>
      <c r="E75" s="18">
        <f>E74*(1+Returns!H65)</f>
        <v>93.86315089232761</v>
      </c>
      <c r="F75" s="18">
        <f t="shared" si="2"/>
        <v>100.19289276248583</v>
      </c>
      <c r="G75" s="27">
        <f t="shared" si="3"/>
        <v>-6.3175557623266765E-2</v>
      </c>
    </row>
    <row r="76" spans="1:7" ht="15">
      <c r="A76" s="25">
        <f>Returns!A66</f>
        <v>45016</v>
      </c>
      <c r="B76" s="18">
        <f>B75*(1+Returns!G66)</f>
        <v>96.191611714772066</v>
      </c>
      <c r="C76" s="18">
        <f t="shared" si="0"/>
        <v>101.59335355847968</v>
      </c>
      <c r="D76" s="27">
        <f t="shared" si="1"/>
        <v>-5.3170228705938238E-2</v>
      </c>
      <c r="E76" s="18">
        <f>E75*(1+Returns!H66)</f>
        <v>95.396611862024827</v>
      </c>
      <c r="F76" s="18">
        <f t="shared" si="2"/>
        <v>100.19289276248583</v>
      </c>
      <c r="G76" s="27">
        <f t="shared" si="3"/>
        <v>-4.7870470331971671E-2</v>
      </c>
    </row>
    <row r="77" spans="1:7" ht="15">
      <c r="A77" s="25">
        <f>Returns!A67</f>
        <v>45019</v>
      </c>
      <c r="B77" s="18">
        <f>B76*(1+Returns!G67)</f>
        <v>96.110216693038581</v>
      </c>
      <c r="C77" s="18">
        <f t="shared" si="0"/>
        <v>101.59335355847968</v>
      </c>
      <c r="D77" s="27">
        <f t="shared" si="1"/>
        <v>-5.3971413221287845E-2</v>
      </c>
      <c r="E77" s="18">
        <f>E76*(1+Returns!H67)</f>
        <v>95.607085213479692</v>
      </c>
      <c r="F77" s="18">
        <f t="shared" si="2"/>
        <v>100.19289276248583</v>
      </c>
      <c r="G77" s="27">
        <f t="shared" si="3"/>
        <v>-4.5769788879906903E-2</v>
      </c>
    </row>
    <row r="78" spans="1:7" ht="15">
      <c r="A78" s="25">
        <f>Returns!A68</f>
        <v>45021</v>
      </c>
      <c r="B78" s="18">
        <f>B77*(1+Returns!G68)</f>
        <v>97.078897661870741</v>
      </c>
      <c r="C78" s="18">
        <f t="shared" si="0"/>
        <v>101.59335355847968</v>
      </c>
      <c r="D78" s="27">
        <f t="shared" si="1"/>
        <v>-4.4436527966470796E-2</v>
      </c>
      <c r="E78" s="18">
        <f>E77*(1+Returns!H68)</f>
        <v>96.480834045465286</v>
      </c>
      <c r="F78" s="18">
        <f t="shared" si="2"/>
        <v>100.19289276248583</v>
      </c>
      <c r="G78" s="27">
        <f t="shared" si="3"/>
        <v>-3.7049122095119347E-2</v>
      </c>
    </row>
    <row r="79" spans="1:7" ht="15">
      <c r="A79" s="25">
        <f>Returns!A69</f>
        <v>45022</v>
      </c>
      <c r="B79" s="18">
        <f>B78*(1+Returns!G69)</f>
        <v>97.137219003324816</v>
      </c>
      <c r="C79" s="18">
        <f t="shared" si="0"/>
        <v>101.59335355847968</v>
      </c>
      <c r="D79" s="27">
        <f t="shared" si="1"/>
        <v>-4.3862461461022684E-2</v>
      </c>
      <c r="E79" s="18">
        <f>E78*(1+Returns!H69)</f>
        <v>96.712183004700861</v>
      </c>
      <c r="F79" s="18">
        <f t="shared" si="2"/>
        <v>100.19289276248583</v>
      </c>
      <c r="G79" s="27">
        <f t="shared" si="3"/>
        <v>-3.4740086465376629E-2</v>
      </c>
    </row>
    <row r="80" spans="1:7" ht="15">
      <c r="A80" s="25">
        <f>Returns!A70</f>
        <v>45026</v>
      </c>
      <c r="B80" s="18">
        <f>B79*(1+Returns!G70)</f>
        <v>97.056822375417241</v>
      </c>
      <c r="C80" s="18">
        <f t="shared" ref="C80:C143" si="4">MAX(C79,B80)</f>
        <v>101.59335355847968</v>
      </c>
      <c r="D80" s="27">
        <f t="shared" ref="D80:D143" si="5">B80/C80-1</f>
        <v>-4.4653818622604091E-2</v>
      </c>
      <c r="E80" s="18">
        <f>E79*(1+Returns!H70)</f>
        <v>96.84901751554726</v>
      </c>
      <c r="F80" s="18">
        <f t="shared" ref="F80:F143" si="6">MAX(F79,E80)</f>
        <v>100.19289276248583</v>
      </c>
      <c r="G80" s="27">
        <f t="shared" ref="G80:G143" si="7">E80/F80-1</f>
        <v>-3.3374375714108284E-2</v>
      </c>
    </row>
    <row r="81" spans="1:7" ht="15">
      <c r="A81" s="25">
        <f>Returns!A71</f>
        <v>45027</v>
      </c>
      <c r="B81" s="18">
        <f>B80*(1+Returns!G71)</f>
        <v>96.959509091144625</v>
      </c>
      <c r="C81" s="18">
        <f t="shared" si="4"/>
        <v>101.59335355847968</v>
      </c>
      <c r="D81" s="27">
        <f t="shared" si="5"/>
        <v>-4.5611689200393379E-2</v>
      </c>
      <c r="E81" s="18">
        <f>E80*(1+Returns!H71)</f>
        <v>97.388928350406289</v>
      </c>
      <c r="F81" s="18">
        <f t="shared" si="6"/>
        <v>100.19289276248583</v>
      </c>
      <c r="G81" s="27">
        <f t="shared" si="7"/>
        <v>-2.798566180464046E-2</v>
      </c>
    </row>
    <row r="82" spans="1:7" ht="15">
      <c r="A82" s="25">
        <f>Returns!A72</f>
        <v>45028</v>
      </c>
      <c r="B82" s="18">
        <f>B81*(1+Returns!G72)</f>
        <v>97.914357485730605</v>
      </c>
      <c r="C82" s="18">
        <f t="shared" si="4"/>
        <v>101.59335355847968</v>
      </c>
      <c r="D82" s="27">
        <f t="shared" si="5"/>
        <v>-3.6212960236924885E-2</v>
      </c>
      <c r="E82" s="18">
        <f>E81*(1+Returns!H72)</f>
        <v>97.884050541939402</v>
      </c>
      <c r="F82" s="18">
        <f t="shared" si="6"/>
        <v>100.19289276248583</v>
      </c>
      <c r="G82" s="27">
        <f t="shared" si="7"/>
        <v>-2.3043972051188244E-2</v>
      </c>
    </row>
    <row r="83" spans="1:7" ht="15">
      <c r="A83" s="25">
        <f>Returns!A73</f>
        <v>45029</v>
      </c>
      <c r="B83" s="18">
        <f>B82*(1+Returns!G73)</f>
        <v>97.54135009973038</v>
      </c>
      <c r="C83" s="18">
        <f t="shared" si="4"/>
        <v>101.59335355847968</v>
      </c>
      <c r="D83" s="27">
        <f t="shared" si="5"/>
        <v>-3.9884532962255914E-2</v>
      </c>
      <c r="E83" s="18">
        <f>E82*(1+Returns!H73)</f>
        <v>97.969774695844038</v>
      </c>
      <c r="F83" s="18">
        <f t="shared" si="6"/>
        <v>100.19289276248583</v>
      </c>
      <c r="G83" s="27">
        <f t="shared" si="7"/>
        <v>-2.2188380885576842E-2</v>
      </c>
    </row>
    <row r="84" spans="1:7" ht="15">
      <c r="A84" s="25">
        <f>Returns!A74</f>
        <v>45033</v>
      </c>
      <c r="B84" s="18">
        <f>B83*(1+Returns!G74)</f>
        <v>95.650206407821145</v>
      </c>
      <c r="C84" s="18">
        <f t="shared" si="4"/>
        <v>101.59335355847968</v>
      </c>
      <c r="D84" s="27">
        <f t="shared" si="5"/>
        <v>-5.8499369717503358E-2</v>
      </c>
      <c r="E84" s="18">
        <f>E83*(1+Returns!H74)</f>
        <v>97.304019901484338</v>
      </c>
      <c r="F84" s="18">
        <f t="shared" si="6"/>
        <v>100.19289276248583</v>
      </c>
      <c r="G84" s="27">
        <f t="shared" si="7"/>
        <v>-2.8833111624491758E-2</v>
      </c>
    </row>
    <row r="85" spans="1:7" ht="15">
      <c r="A85" s="25">
        <f>Returns!A75</f>
        <v>45034</v>
      </c>
      <c r="B85" s="18">
        <f>B84*(1+Returns!G75)</f>
        <v>95.163142501262186</v>
      </c>
      <c r="C85" s="18">
        <f t="shared" si="4"/>
        <v>101.59335355847968</v>
      </c>
      <c r="D85" s="27">
        <f t="shared" si="5"/>
        <v>-6.329361943462275E-2</v>
      </c>
      <c r="E85" s="18">
        <f>E84*(1+Returns!H75)</f>
        <v>97.047394820745652</v>
      </c>
      <c r="F85" s="18">
        <f t="shared" si="6"/>
        <v>100.19289276248583</v>
      </c>
      <c r="G85" s="27">
        <f t="shared" si="7"/>
        <v>-3.1394421849829102E-2</v>
      </c>
    </row>
    <row r="86" spans="1:7" ht="15">
      <c r="A86" s="25">
        <f>Returns!A76</f>
        <v>45035</v>
      </c>
      <c r="B86" s="18">
        <f>B85*(1+Returns!G76)</f>
        <v>94.732326911886886</v>
      </c>
      <c r="C86" s="18">
        <f t="shared" si="4"/>
        <v>101.59335355847968</v>
      </c>
      <c r="D86" s="27">
        <f t="shared" si="5"/>
        <v>-6.7534207763339626E-2</v>
      </c>
      <c r="E86" s="18">
        <f>E85*(1+Returns!H76)</f>
        <v>96.819888261296967</v>
      </c>
      <c r="F86" s="18">
        <f t="shared" si="6"/>
        <v>100.19289276248583</v>
      </c>
      <c r="G86" s="27">
        <f t="shared" si="7"/>
        <v>-3.3665107456122612E-2</v>
      </c>
    </row>
    <row r="87" spans="1:7" ht="15">
      <c r="A87" s="25">
        <f>Returns!A77</f>
        <v>45036</v>
      </c>
      <c r="B87" s="18">
        <f>B86*(1+Returns!G77)</f>
        <v>94.792130047623175</v>
      </c>
      <c r="C87" s="18">
        <f t="shared" si="4"/>
        <v>101.59335355847968</v>
      </c>
      <c r="D87" s="27">
        <f t="shared" si="5"/>
        <v>-6.6945555714346461E-2</v>
      </c>
      <c r="E87" s="18">
        <f>E86*(1+Returns!H77)</f>
        <v>96.85120703944817</v>
      </c>
      <c r="F87" s="18">
        <f t="shared" si="6"/>
        <v>100.19289276248583</v>
      </c>
      <c r="G87" s="27">
        <f t="shared" si="7"/>
        <v>-3.3352522628120496E-2</v>
      </c>
    </row>
    <row r="88" spans="1:7" ht="15">
      <c r="A88" s="25">
        <f>Returns!A78</f>
        <v>45037</v>
      </c>
      <c r="B88" s="18">
        <f>B87*(1+Returns!G78)</f>
        <v>95.109253317923205</v>
      </c>
      <c r="C88" s="18">
        <f t="shared" si="4"/>
        <v>101.59335355847968</v>
      </c>
      <c r="D88" s="27">
        <f t="shared" si="5"/>
        <v>-6.3824059482632034E-2</v>
      </c>
      <c r="E88" s="18">
        <f>E87*(1+Returns!H78)</f>
        <v>96.84901751554726</v>
      </c>
      <c r="F88" s="18">
        <f t="shared" si="6"/>
        <v>100.19289276248583</v>
      </c>
      <c r="G88" s="27">
        <f t="shared" si="7"/>
        <v>-3.3374375714108284E-2</v>
      </c>
    </row>
    <row r="89" spans="1:7" ht="15">
      <c r="A89" s="25">
        <f>Returns!A79</f>
        <v>45040</v>
      </c>
      <c r="B89" s="18">
        <f>B88*(1+Returns!G79)</f>
        <v>95.772169723772151</v>
      </c>
      <c r="C89" s="18">
        <f t="shared" si="4"/>
        <v>101.59335355847968</v>
      </c>
      <c r="D89" s="27">
        <f t="shared" si="5"/>
        <v>-5.7298864845097386E-2</v>
      </c>
      <c r="E89" s="18">
        <f>E88*(1+Returns!H79)</f>
        <v>97.504876520511672</v>
      </c>
      <c r="F89" s="18">
        <f t="shared" si="6"/>
        <v>100.19289276248583</v>
      </c>
      <c r="G89" s="27">
        <f t="shared" si="7"/>
        <v>-2.6828412354020781E-2</v>
      </c>
    </row>
    <row r="90" spans="1:7" ht="15">
      <c r="A90" s="25">
        <f>Returns!A80</f>
        <v>45041</v>
      </c>
      <c r="B90" s="18">
        <f>B89*(1+Returns!G80)</f>
        <v>95.744039688569558</v>
      </c>
      <c r="C90" s="18">
        <f t="shared" si="4"/>
        <v>101.59335355847968</v>
      </c>
      <c r="D90" s="27">
        <f t="shared" si="5"/>
        <v>-5.757575338373988E-2</v>
      </c>
      <c r="E90" s="18">
        <f>E89*(1+Returns!H80)</f>
        <v>97.646927250063172</v>
      </c>
      <c r="F90" s="18">
        <f t="shared" si="6"/>
        <v>100.19289276248583</v>
      </c>
      <c r="G90" s="27">
        <f t="shared" si="7"/>
        <v>-2.5410639839075655E-2</v>
      </c>
    </row>
    <row r="91" spans="1:7" ht="15">
      <c r="A91" s="25">
        <f>Returns!A81</f>
        <v>45042</v>
      </c>
      <c r="B91" s="18">
        <f>B90*(1+Returns!G81)</f>
        <v>95.901738747393949</v>
      </c>
      <c r="C91" s="18">
        <f t="shared" si="4"/>
        <v>101.59335355847968</v>
      </c>
      <c r="D91" s="27">
        <f t="shared" si="5"/>
        <v>-5.6023495747775431E-2</v>
      </c>
      <c r="E91" s="18">
        <f>E90*(1+Returns!H81)</f>
        <v>97.890640579562685</v>
      </c>
      <c r="F91" s="18">
        <f t="shared" si="6"/>
        <v>100.19289276248583</v>
      </c>
      <c r="G91" s="27">
        <f t="shared" si="7"/>
        <v>-2.2978198547284112E-2</v>
      </c>
    </row>
    <row r="92" spans="1:7" ht="15">
      <c r="A92" s="25">
        <f>Returns!A82</f>
        <v>45043</v>
      </c>
      <c r="B92" s="18">
        <f>B91*(1+Returns!G82)</f>
        <v>96.3968350805727</v>
      </c>
      <c r="C92" s="18">
        <f t="shared" si="4"/>
        <v>101.59335355847968</v>
      </c>
      <c r="D92" s="27">
        <f t="shared" si="5"/>
        <v>-5.1150181541312456E-2</v>
      </c>
      <c r="E92" s="18">
        <f>E91*(1+Returns!H82)</f>
        <v>98.448142736351059</v>
      </c>
      <c r="F92" s="18">
        <f t="shared" si="6"/>
        <v>100.19289276248583</v>
      </c>
      <c r="G92" s="27">
        <f t="shared" si="7"/>
        <v>-1.7413910089119966E-2</v>
      </c>
    </row>
    <row r="93" spans="1:7" ht="15">
      <c r="A93" s="25">
        <f>Returns!A83</f>
        <v>45044</v>
      </c>
      <c r="B93" s="18">
        <f>B92*(1+Returns!G83)</f>
        <v>97.185651087682899</v>
      </c>
      <c r="C93" s="18">
        <f t="shared" si="4"/>
        <v>101.59335355847968</v>
      </c>
      <c r="D93" s="27">
        <f t="shared" si="5"/>
        <v>-4.3385736531077246E-2</v>
      </c>
      <c r="E93" s="18">
        <f>E92*(1+Returns!H83)</f>
        <v>99.272155030313115</v>
      </c>
      <c r="F93" s="18">
        <f t="shared" si="6"/>
        <v>100.19289276248583</v>
      </c>
      <c r="G93" s="27">
        <f t="shared" si="7"/>
        <v>-9.1896511497615574E-3</v>
      </c>
    </row>
    <row r="94" spans="1:7" ht="15">
      <c r="A94" s="25">
        <f>Returns!A84</f>
        <v>45048</v>
      </c>
      <c r="B94" s="18">
        <f>B93*(1+Returns!G84)</f>
        <v>97.745914267689912</v>
      </c>
      <c r="C94" s="18">
        <f t="shared" si="4"/>
        <v>101.59335355847968</v>
      </c>
      <c r="D94" s="27">
        <f t="shared" si="5"/>
        <v>-3.7870974389826451E-2</v>
      </c>
      <c r="E94" s="18">
        <f>E93*(1+Returns!H84)</f>
        <v>99.726341711267494</v>
      </c>
      <c r="F94" s="18">
        <f t="shared" si="6"/>
        <v>100.19289276248583</v>
      </c>
      <c r="G94" s="27">
        <f t="shared" si="7"/>
        <v>-4.656528405905247E-3</v>
      </c>
    </row>
    <row r="95" spans="1:7" ht="15">
      <c r="A95" s="25">
        <f>Returns!A85</f>
        <v>45049</v>
      </c>
      <c r="B95" s="18">
        <f>B94*(1+Returns!G85)</f>
        <v>97.298442681191432</v>
      </c>
      <c r="C95" s="18">
        <f t="shared" si="4"/>
        <v>101.59335355847968</v>
      </c>
      <c r="D95" s="27">
        <f t="shared" si="5"/>
        <v>-4.2275510423189111E-2</v>
      </c>
      <c r="E95" s="18">
        <f>E94*(1+Returns!H85)</f>
        <v>99.408710484191758</v>
      </c>
      <c r="F95" s="18">
        <f t="shared" si="6"/>
        <v>100.19289276248583</v>
      </c>
      <c r="G95" s="27">
        <f t="shared" si="7"/>
        <v>-7.8267255957269466E-3</v>
      </c>
    </row>
    <row r="96" spans="1:7" ht="15">
      <c r="A96" s="25">
        <f>Returns!A86</f>
        <v>45050</v>
      </c>
      <c r="B96" s="18">
        <f>B95*(1+Returns!G86)</f>
        <v>98.358761115856751</v>
      </c>
      <c r="C96" s="18">
        <f t="shared" si="4"/>
        <v>101.59335355847968</v>
      </c>
      <c r="D96" s="27">
        <f t="shared" si="5"/>
        <v>-3.1838622600060318E-2</v>
      </c>
      <c r="E96" s="18">
        <f>E95*(1+Returns!H86)</f>
        <v>100.32065792187994</v>
      </c>
      <c r="F96" s="18">
        <f t="shared" si="6"/>
        <v>100.32065792187994</v>
      </c>
      <c r="G96" s="27">
        <f t="shared" si="7"/>
        <v>0</v>
      </c>
    </row>
    <row r="97" spans="1:7" ht="15">
      <c r="A97" s="25">
        <f>Returns!A87</f>
        <v>45051</v>
      </c>
      <c r="B97" s="18">
        <f>B96*(1+Returns!G87)</f>
        <v>96.819916653755143</v>
      </c>
      <c r="C97" s="18">
        <f t="shared" si="4"/>
        <v>101.59335355847968</v>
      </c>
      <c r="D97" s="27">
        <f t="shared" si="5"/>
        <v>-4.6985720399286057E-2</v>
      </c>
      <c r="E97" s="18">
        <f>E96*(1+Returns!H87)</f>
        <v>99.294136133004571</v>
      </c>
      <c r="F97" s="18">
        <f t="shared" si="6"/>
        <v>100.32065792187994</v>
      </c>
      <c r="G97" s="27">
        <f t="shared" si="7"/>
        <v>-1.0232406865540389E-2</v>
      </c>
    </row>
    <row r="98" spans="1:7" ht="15">
      <c r="A98" s="25">
        <f>Returns!A88</f>
        <v>45054</v>
      </c>
      <c r="B98" s="18">
        <f>B97*(1+Returns!G88)</f>
        <v>97.764524038474633</v>
      </c>
      <c r="C98" s="18">
        <f t="shared" si="4"/>
        <v>101.59335355847968</v>
      </c>
      <c r="D98" s="27">
        <f t="shared" si="5"/>
        <v>-3.7687795371387889E-2</v>
      </c>
      <c r="E98" s="18">
        <f>E97*(1+Returns!H88)</f>
        <v>100.36791514607454</v>
      </c>
      <c r="F98" s="18">
        <f t="shared" si="6"/>
        <v>100.36791514607454</v>
      </c>
      <c r="G98" s="27">
        <f t="shared" si="7"/>
        <v>0</v>
      </c>
    </row>
    <row r="99" spans="1:7" ht="15">
      <c r="A99" s="25">
        <f>Returns!A89</f>
        <v>45055</v>
      </c>
      <c r="B99" s="18">
        <f>B98*(1+Returns!G89)</f>
        <v>98.041675519091982</v>
      </c>
      <c r="C99" s="18">
        <f t="shared" si="4"/>
        <v>101.59335355847968</v>
      </c>
      <c r="D99" s="27">
        <f t="shared" si="5"/>
        <v>-3.4959748005003677E-2</v>
      </c>
      <c r="E99" s="18">
        <f>E98*(1+Returns!H89)</f>
        <v>100.37642638359129</v>
      </c>
      <c r="F99" s="18">
        <f t="shared" si="6"/>
        <v>100.37642638359129</v>
      </c>
      <c r="G99" s="27">
        <f t="shared" si="7"/>
        <v>0</v>
      </c>
    </row>
    <row r="100" spans="1:7" ht="15">
      <c r="A100" s="25">
        <f>Returns!A90</f>
        <v>45056</v>
      </c>
      <c r="B100" s="18">
        <f>B99*(1+Returns!G90)</f>
        <v>98.284435973742646</v>
      </c>
      <c r="C100" s="18">
        <f t="shared" si="4"/>
        <v>101.59335355847968</v>
      </c>
      <c r="D100" s="27">
        <f t="shared" si="5"/>
        <v>-3.2570217133666479E-2</v>
      </c>
      <c r="E100" s="18">
        <f>E99*(1+Returns!H90)</f>
        <v>100.64652132950469</v>
      </c>
      <c r="F100" s="18">
        <f t="shared" si="6"/>
        <v>100.64652132950469</v>
      </c>
      <c r="G100" s="27">
        <f t="shared" si="7"/>
        <v>0</v>
      </c>
    </row>
    <row r="101" spans="1:7" ht="15">
      <c r="A101" s="25">
        <f>Returns!A91</f>
        <v>45057</v>
      </c>
      <c r="B101" s="18">
        <f>B100*(1+Returns!G91)</f>
        <v>98.078730067574014</v>
      </c>
      <c r="C101" s="18">
        <f t="shared" si="4"/>
        <v>101.59335355847968</v>
      </c>
      <c r="D101" s="27">
        <f t="shared" si="5"/>
        <v>-3.4595014022079318E-2</v>
      </c>
      <c r="E101" s="18">
        <f>E100*(1+Returns!H91)</f>
        <v>100.54705898641789</v>
      </c>
      <c r="F101" s="18">
        <f t="shared" si="6"/>
        <v>100.64652132950469</v>
      </c>
      <c r="G101" s="27">
        <f t="shared" si="7"/>
        <v>-9.8823428542726965E-4</v>
      </c>
    </row>
    <row r="102" spans="1:7" ht="15">
      <c r="A102" s="25">
        <f>Returns!A92</f>
        <v>45058</v>
      </c>
      <c r="B102" s="18">
        <f>B101*(1+Returns!G92)</f>
        <v>98.234352179253122</v>
      </c>
      <c r="C102" s="18">
        <f t="shared" si="4"/>
        <v>101.59335355847968</v>
      </c>
      <c r="D102" s="27">
        <f t="shared" si="5"/>
        <v>-3.306320011665953E-2</v>
      </c>
      <c r="E102" s="18">
        <f>E101*(1+Returns!H92)</f>
        <v>100.64487918657902</v>
      </c>
      <c r="F102" s="18">
        <f t="shared" si="6"/>
        <v>100.64652132950469</v>
      </c>
      <c r="G102" s="27">
        <f t="shared" si="7"/>
        <v>-1.6315943203837335E-5</v>
      </c>
    </row>
    <row r="103" spans="1:7" ht="15">
      <c r="A103" s="25">
        <f>Returns!A93</f>
        <v>45061</v>
      </c>
      <c r="B103" s="18">
        <f>B102*(1+Returns!G93)</f>
        <v>98.469581750523091</v>
      </c>
      <c r="C103" s="18">
        <f t="shared" si="4"/>
        <v>101.59335355847968</v>
      </c>
      <c r="D103" s="27">
        <f t="shared" si="5"/>
        <v>-3.0747796962509621E-2</v>
      </c>
      <c r="E103" s="18">
        <f>E102*(1+Returns!H93)</f>
        <v>101.10675066710716</v>
      </c>
      <c r="F103" s="18">
        <f t="shared" si="6"/>
        <v>101.10675066710716</v>
      </c>
      <c r="G103" s="27">
        <f t="shared" si="7"/>
        <v>0</v>
      </c>
    </row>
    <row r="104" spans="1:7" ht="15">
      <c r="A104" s="25">
        <f>Returns!A94</f>
        <v>45062</v>
      </c>
      <c r="B104" s="18">
        <f>B103*(1+Returns!G94)</f>
        <v>98.075812368787254</v>
      </c>
      <c r="C104" s="18">
        <f t="shared" si="4"/>
        <v>101.59335355847968</v>
      </c>
      <c r="D104" s="27">
        <f t="shared" si="5"/>
        <v>-3.4623733408580049E-2</v>
      </c>
      <c r="E104" s="18">
        <f>E103*(1+Returns!H94)</f>
        <v>100.48935859185279</v>
      </c>
      <c r="F104" s="18">
        <f t="shared" si="6"/>
        <v>101.10675066710716</v>
      </c>
      <c r="G104" s="27">
        <f t="shared" si="7"/>
        <v>-6.106338807060796E-3</v>
      </c>
    </row>
    <row r="105" spans="1:7" ht="15">
      <c r="A105" s="25">
        <f>Returns!A95</f>
        <v>45063</v>
      </c>
      <c r="B105" s="18">
        <f>B104*(1+Returns!G95)</f>
        <v>97.190207761291475</v>
      </c>
      <c r="C105" s="18">
        <f t="shared" si="4"/>
        <v>101.59335355847968</v>
      </c>
      <c r="D105" s="27">
        <f t="shared" si="5"/>
        <v>-4.3340884447264916E-2</v>
      </c>
      <c r="E105" s="18">
        <f>E104*(1+Returns!H95)</f>
        <v>99.913728465120144</v>
      </c>
      <c r="F105" s="18">
        <f t="shared" si="6"/>
        <v>101.10675066710716</v>
      </c>
      <c r="G105" s="27">
        <f t="shared" si="7"/>
        <v>-1.1799629541206724E-2</v>
      </c>
    </row>
    <row r="106" spans="1:7" ht="15">
      <c r="A106" s="25">
        <f>Returns!A96</f>
        <v>45064</v>
      </c>
      <c r="B106" s="18">
        <f>B105*(1+Returns!G96)</f>
        <v>97.281874678410077</v>
      </c>
      <c r="C106" s="18">
        <f t="shared" si="4"/>
        <v>101.59335355847968</v>
      </c>
      <c r="D106" s="27">
        <f t="shared" si="5"/>
        <v>-4.2438591985132224E-2</v>
      </c>
      <c r="E106" s="18">
        <f>E105*(1+Returns!H96)</f>
        <v>99.629068892081605</v>
      </c>
      <c r="F106" s="18">
        <f t="shared" si="6"/>
        <v>101.10675066710716</v>
      </c>
      <c r="G106" s="27">
        <f t="shared" si="7"/>
        <v>-1.4615065416262896E-2</v>
      </c>
    </row>
    <row r="107" spans="1:7" ht="15">
      <c r="A107" s="25">
        <f>Returns!A97</f>
        <v>45065</v>
      </c>
      <c r="B107" s="18">
        <f>B106*(1+Returns!G97)</f>
        <v>97.917194613891581</v>
      </c>
      <c r="C107" s="18">
        <f t="shared" si="4"/>
        <v>101.59335355847968</v>
      </c>
      <c r="D107" s="27">
        <f t="shared" si="5"/>
        <v>-3.6185033920275167E-2</v>
      </c>
      <c r="E107" s="18">
        <f>E106*(1+Returns!H97)</f>
        <v>100.03270333002973</v>
      </c>
      <c r="F107" s="18">
        <f t="shared" si="6"/>
        <v>101.10675066710716</v>
      </c>
      <c r="G107" s="27">
        <f t="shared" si="7"/>
        <v>-1.0622904306496039E-2</v>
      </c>
    </row>
    <row r="108" spans="1:7" ht="15">
      <c r="A108" s="25">
        <f>Returns!A98</f>
        <v>45068</v>
      </c>
      <c r="B108" s="18">
        <f>B107*(1+Returns!G98)</f>
        <v>98.637811216143163</v>
      </c>
      <c r="C108" s="18">
        <f t="shared" si="4"/>
        <v>101.59335355847968</v>
      </c>
      <c r="D108" s="27">
        <f t="shared" si="5"/>
        <v>-2.9091886809654577E-2</v>
      </c>
      <c r="E108" s="18">
        <f>E107*(1+Returns!H98)</f>
        <v>100.64267892971779</v>
      </c>
      <c r="F108" s="18">
        <f t="shared" si="6"/>
        <v>101.10675066710716</v>
      </c>
      <c r="G108" s="27">
        <f t="shared" si="7"/>
        <v>-4.589918421147976E-3</v>
      </c>
    </row>
    <row r="109" spans="1:7" ht="15">
      <c r="A109" s="25">
        <f>Returns!A99</f>
        <v>45069</v>
      </c>
      <c r="B109" s="18">
        <f>B108*(1+Returns!G99)</f>
        <v>98.696026624938014</v>
      </c>
      <c r="C109" s="18">
        <f t="shared" si="4"/>
        <v>101.59335355847968</v>
      </c>
      <c r="D109" s="27">
        <f t="shared" si="5"/>
        <v>-2.8518863016702034E-2</v>
      </c>
      <c r="E109" s="18">
        <f>E108*(1+Returns!H99)</f>
        <v>100.827318045734</v>
      </c>
      <c r="F109" s="18">
        <f t="shared" si="6"/>
        <v>101.10675066710716</v>
      </c>
      <c r="G109" s="27">
        <f t="shared" si="7"/>
        <v>-2.76373851923295E-3</v>
      </c>
    </row>
    <row r="110" spans="1:7" ht="15">
      <c r="A110" s="25">
        <f>Returns!A100</f>
        <v>45070</v>
      </c>
      <c r="B110" s="18">
        <f>B109*(1+Returns!G100)</f>
        <v>98.053554098817983</v>
      </c>
      <c r="C110" s="18">
        <f t="shared" si="4"/>
        <v>101.59335355847968</v>
      </c>
      <c r="D110" s="27">
        <f t="shared" si="5"/>
        <v>-3.48428252013957E-2</v>
      </c>
      <c r="E110" s="18">
        <f>E109*(1+Returns!H100)</f>
        <v>100.48331593520469</v>
      </c>
      <c r="F110" s="18">
        <f t="shared" si="6"/>
        <v>101.10675066710716</v>
      </c>
      <c r="G110" s="27">
        <f t="shared" si="7"/>
        <v>-6.166103922725541E-3</v>
      </c>
    </row>
    <row r="111" spans="1:7" ht="15">
      <c r="A111" s="25">
        <f>Returns!A101</f>
        <v>45071</v>
      </c>
      <c r="B111" s="18">
        <f>B110*(1+Returns!G101)</f>
        <v>97.950046345889604</v>
      </c>
      <c r="C111" s="18">
        <f t="shared" si="4"/>
        <v>101.59335355847968</v>
      </c>
      <c r="D111" s="27">
        <f t="shared" si="5"/>
        <v>-3.5861668947594016E-2</v>
      </c>
      <c r="E111" s="18">
        <f>E110*(1+Returns!H101)</f>
        <v>100.67977204050963</v>
      </c>
      <c r="F111" s="18">
        <f t="shared" si="6"/>
        <v>101.10675066710716</v>
      </c>
      <c r="G111" s="27">
        <f t="shared" si="7"/>
        <v>-4.2230476578497544E-3</v>
      </c>
    </row>
    <row r="112" spans="1:7" ht="15">
      <c r="A112" s="25">
        <f>Returns!A102</f>
        <v>45072</v>
      </c>
      <c r="B112" s="18">
        <f>B111*(1+Returns!G102)</f>
        <v>99.240014712307428</v>
      </c>
      <c r="C112" s="18">
        <f t="shared" si="4"/>
        <v>101.59335355847968</v>
      </c>
      <c r="D112" s="27">
        <f t="shared" si="5"/>
        <v>-2.3164299274928579E-2</v>
      </c>
      <c r="E112" s="18">
        <f>E111*(1+Returns!H102)</f>
        <v>101.65902587223012</v>
      </c>
      <c r="F112" s="18">
        <f t="shared" si="6"/>
        <v>101.65902587223012</v>
      </c>
      <c r="G112" s="27">
        <f t="shared" si="7"/>
        <v>0</v>
      </c>
    </row>
    <row r="113" spans="1:7" ht="15">
      <c r="A113" s="25">
        <f>Returns!A103</f>
        <v>45075</v>
      </c>
      <c r="B113" s="18">
        <f>B112*(1+Returns!G103)</f>
        <v>99.556694359281067</v>
      </c>
      <c r="C113" s="18">
        <f t="shared" si="4"/>
        <v>101.59335355847968</v>
      </c>
      <c r="D113" s="27">
        <f t="shared" si="5"/>
        <v>-2.0047169700193601E-2</v>
      </c>
      <c r="E113" s="18">
        <f>E112*(1+Returns!H103)</f>
        <v>102.20471103972976</v>
      </c>
      <c r="F113" s="18">
        <f t="shared" si="6"/>
        <v>102.20471103972976</v>
      </c>
      <c r="G113" s="27">
        <f t="shared" si="7"/>
        <v>0</v>
      </c>
    </row>
    <row r="114" spans="1:7" ht="15">
      <c r="A114" s="25">
        <f>Returns!A104</f>
        <v>45076</v>
      </c>
      <c r="B114" s="18">
        <f>B113*(1+Returns!G104)</f>
        <v>99.680126357128088</v>
      </c>
      <c r="C114" s="18">
        <f t="shared" si="4"/>
        <v>101.59335355847968</v>
      </c>
      <c r="D114" s="27">
        <f t="shared" si="5"/>
        <v>-1.8832208351605262E-2</v>
      </c>
      <c r="E114" s="18">
        <f>E113*(1+Returns!H104)</f>
        <v>102.3981404502305</v>
      </c>
      <c r="F114" s="18">
        <f t="shared" si="6"/>
        <v>102.3981404502305</v>
      </c>
      <c r="G114" s="27">
        <f t="shared" si="7"/>
        <v>0</v>
      </c>
    </row>
    <row r="115" spans="1:7" ht="15">
      <c r="A115" s="25">
        <f>Returns!A105</f>
        <v>45077</v>
      </c>
      <c r="B115" s="18">
        <f>B114*(1+Returns!G105)</f>
        <v>98.555063592916866</v>
      </c>
      <c r="C115" s="18">
        <f t="shared" si="4"/>
        <v>101.59335355847968</v>
      </c>
      <c r="D115" s="27">
        <f t="shared" si="5"/>
        <v>-2.9906385202786878E-2</v>
      </c>
      <c r="E115" s="18">
        <f>E114*(1+Returns!H105)</f>
        <v>101.85163957774816</v>
      </c>
      <c r="F115" s="18">
        <f t="shared" si="6"/>
        <v>102.3981404502305</v>
      </c>
      <c r="G115" s="27">
        <f t="shared" si="7"/>
        <v>-5.3370195013254795E-3</v>
      </c>
    </row>
    <row r="116" spans="1:7" ht="15">
      <c r="A116" s="25">
        <f>Returns!A106</f>
        <v>45078</v>
      </c>
      <c r="B116" s="18">
        <f>B115*(1+Returns!G106)</f>
        <v>98.40087669519643</v>
      </c>
      <c r="C116" s="18">
        <f t="shared" si="4"/>
        <v>101.59335355847968</v>
      </c>
      <c r="D116" s="27">
        <f t="shared" si="5"/>
        <v>-3.1424072062406938E-2</v>
      </c>
      <c r="E116" s="18">
        <f>E115*(1+Returns!H106)</f>
        <v>101.59528282101692</v>
      </c>
      <c r="F116" s="18">
        <f t="shared" si="6"/>
        <v>102.3981404502305</v>
      </c>
      <c r="G116" s="27">
        <f t="shared" si="7"/>
        <v>-7.8405489170362275E-3</v>
      </c>
    </row>
    <row r="117" spans="1:7" ht="15">
      <c r="A117" s="25">
        <f>Returns!A107</f>
        <v>45079</v>
      </c>
      <c r="B117" s="18">
        <f>B116*(1+Returns!G107)</f>
        <v>98.248195369082694</v>
      </c>
      <c r="C117" s="18">
        <f t="shared" si="4"/>
        <v>101.59335355847968</v>
      </c>
      <c r="D117" s="27">
        <f t="shared" si="5"/>
        <v>-3.2926939334386951E-2</v>
      </c>
      <c r="E117" s="18">
        <f>E116*(1+Returns!H107)</f>
        <v>101.84998670186218</v>
      </c>
      <c r="F117" s="18">
        <f t="shared" si="6"/>
        <v>102.3981404502305</v>
      </c>
      <c r="G117" s="27">
        <f t="shared" si="7"/>
        <v>-5.3531611605266427E-3</v>
      </c>
    </row>
    <row r="118" spans="1:7" ht="15">
      <c r="A118" s="25">
        <f>Returns!A108</f>
        <v>45082</v>
      </c>
      <c r="B118" s="18">
        <f>B117*(1+Returns!G108)</f>
        <v>98.534902166899414</v>
      </c>
      <c r="C118" s="18">
        <f t="shared" si="4"/>
        <v>101.59335355847968</v>
      </c>
      <c r="D118" s="27">
        <f t="shared" si="5"/>
        <v>-3.0104837417535779E-2</v>
      </c>
      <c r="E118" s="18">
        <f>E117*(1+Returns!H108)</f>
        <v>102.17832942331589</v>
      </c>
      <c r="F118" s="18">
        <f t="shared" si="6"/>
        <v>102.3981404502305</v>
      </c>
      <c r="G118" s="27">
        <f t="shared" si="7"/>
        <v>-2.1466310418151169E-3</v>
      </c>
    </row>
    <row r="119" spans="1:7" ht="15">
      <c r="A119" s="25">
        <f>Returns!A109</f>
        <v>45083</v>
      </c>
      <c r="B119" s="18">
        <f>B118*(1+Returns!G109)</f>
        <v>97.778351916399657</v>
      </c>
      <c r="C119" s="18">
        <f t="shared" si="4"/>
        <v>101.59335355847968</v>
      </c>
      <c r="D119" s="27">
        <f t="shared" si="5"/>
        <v>-3.7551685306696836E-2</v>
      </c>
      <c r="E119" s="18">
        <f>E118*(1+Returns!H109)</f>
        <v>102.2066322396232</v>
      </c>
      <c r="F119" s="18">
        <f t="shared" si="6"/>
        <v>102.3981404502305</v>
      </c>
      <c r="G119" s="27">
        <f t="shared" si="7"/>
        <v>-1.8702313319877151E-3</v>
      </c>
    </row>
    <row r="120" spans="1:7" ht="15">
      <c r="A120" s="25">
        <f>Returns!A110</f>
        <v>45084</v>
      </c>
      <c r="B120" s="18">
        <f>B119*(1+Returns!G110)</f>
        <v>98.432810377094</v>
      </c>
      <c r="C120" s="18">
        <f t="shared" si="4"/>
        <v>101.59335355847968</v>
      </c>
      <c r="D120" s="27">
        <f t="shared" si="5"/>
        <v>-3.1109743607059759E-2</v>
      </c>
      <c r="E120" s="18">
        <f>E119*(1+Returns!H110)</f>
        <v>102.90673250693831</v>
      </c>
      <c r="F120" s="18">
        <f t="shared" si="6"/>
        <v>102.90673250693831</v>
      </c>
      <c r="G120" s="27">
        <f t="shared" si="7"/>
        <v>0</v>
      </c>
    </row>
    <row r="121" spans="1:7" ht="15">
      <c r="A121" s="25">
        <f>Returns!A111</f>
        <v>45085</v>
      </c>
      <c r="B121" s="18">
        <f>B120*(1+Returns!G111)</f>
        <v>98.125192318018406</v>
      </c>
      <c r="C121" s="18">
        <f t="shared" si="4"/>
        <v>101.59335355847968</v>
      </c>
      <c r="D121" s="27">
        <f t="shared" si="5"/>
        <v>-3.4137678489616019E-2</v>
      </c>
      <c r="E121" s="18">
        <f>E120*(1+Returns!H111)</f>
        <v>102.40199358297768</v>
      </c>
      <c r="F121" s="18">
        <f t="shared" si="6"/>
        <v>102.90673250693831</v>
      </c>
      <c r="G121" s="27">
        <f t="shared" si="7"/>
        <v>-4.9048192636628185E-3</v>
      </c>
    </row>
    <row r="122" spans="1:7" ht="15">
      <c r="A122" s="25">
        <f>Returns!A112</f>
        <v>45086</v>
      </c>
      <c r="B122" s="18">
        <f>B121*(1+Returns!G112)</f>
        <v>97.624854564126977</v>
      </c>
      <c r="C122" s="18">
        <f t="shared" si="4"/>
        <v>101.59335355847968</v>
      </c>
      <c r="D122" s="27">
        <f t="shared" si="5"/>
        <v>-3.906258485766323E-2</v>
      </c>
      <c r="E122" s="18">
        <f>E121*(1+Returns!H112)</f>
        <v>102.01100257226125</v>
      </c>
      <c r="F122" s="18">
        <f t="shared" si="6"/>
        <v>102.90673250693831</v>
      </c>
      <c r="G122" s="27">
        <f t="shared" si="7"/>
        <v>-8.7042889503529119E-3</v>
      </c>
    </row>
    <row r="123" spans="1:7" ht="15">
      <c r="A123" s="25">
        <f>Returns!A113</f>
        <v>45089</v>
      </c>
      <c r="B123" s="18">
        <f>B122*(1+Returns!G113)</f>
        <v>97.994703970830898</v>
      </c>
      <c r="C123" s="18">
        <f t="shared" si="4"/>
        <v>101.59335355847968</v>
      </c>
      <c r="D123" s="27">
        <f t="shared" si="5"/>
        <v>-3.5422096639199041E-2</v>
      </c>
      <c r="E123" s="18">
        <f>E122*(1+Returns!H113)</f>
        <v>102.22037042880537</v>
      </c>
      <c r="F123" s="18">
        <f t="shared" si="6"/>
        <v>102.90673250693831</v>
      </c>
      <c r="G123" s="27">
        <f t="shared" si="7"/>
        <v>-6.669749018478166E-3</v>
      </c>
    </row>
    <row r="124" spans="1:7" ht="15">
      <c r="A124" s="25">
        <f>Returns!A114</f>
        <v>45090</v>
      </c>
      <c r="B124" s="18">
        <f>B123*(1+Returns!G114)</f>
        <v>98.644764863215087</v>
      </c>
      <c r="C124" s="18">
        <f t="shared" si="4"/>
        <v>101.59335355847968</v>
      </c>
      <c r="D124" s="27">
        <f t="shared" si="5"/>
        <v>-2.9023440923891863E-2</v>
      </c>
      <c r="E124" s="18">
        <f>E123*(1+Returns!H114)</f>
        <v>102.85040593129145</v>
      </c>
      <c r="F124" s="18">
        <f t="shared" si="6"/>
        <v>102.90673250693831</v>
      </c>
      <c r="G124" s="27">
        <f t="shared" si="7"/>
        <v>-5.4735559350371776E-4</v>
      </c>
    </row>
    <row r="125" spans="1:7" ht="15">
      <c r="A125" s="25">
        <f>Returns!A115</f>
        <v>45091</v>
      </c>
      <c r="B125" s="18">
        <f>B124*(1+Returns!G115)</f>
        <v>98.856560425437877</v>
      </c>
      <c r="C125" s="18">
        <f t="shared" si="4"/>
        <v>101.59335355847968</v>
      </c>
      <c r="D125" s="27">
        <f t="shared" si="5"/>
        <v>-2.6938702554655136E-2</v>
      </c>
      <c r="E125" s="18">
        <f>E124*(1+Returns!H115)</f>
        <v>103.06884313928784</v>
      </c>
      <c r="F125" s="18">
        <f t="shared" si="6"/>
        <v>103.06884313928784</v>
      </c>
      <c r="G125" s="27">
        <f t="shared" si="7"/>
        <v>0</v>
      </c>
    </row>
    <row r="126" spans="1:7" ht="15">
      <c r="A126" s="25">
        <f>Returns!A116</f>
        <v>45092</v>
      </c>
      <c r="B126" s="18">
        <f>B125*(1+Returns!G116)</f>
        <v>98.130170649830063</v>
      </c>
      <c r="C126" s="18">
        <f t="shared" si="4"/>
        <v>101.59335355847968</v>
      </c>
      <c r="D126" s="27">
        <f t="shared" si="5"/>
        <v>-3.4088675955126546E-2</v>
      </c>
      <c r="E126" s="18">
        <f>E125*(1+Returns!H116)</f>
        <v>102.69625915548345</v>
      </c>
      <c r="F126" s="18">
        <f t="shared" si="6"/>
        <v>103.06884313928784</v>
      </c>
      <c r="G126" s="27">
        <f t="shared" si="7"/>
        <v>-3.6149041015322014E-3</v>
      </c>
    </row>
    <row r="127" spans="1:7" ht="15">
      <c r="A127" s="25">
        <f>Returns!A117</f>
        <v>45093</v>
      </c>
      <c r="B127" s="18">
        <f>B126*(1+Returns!G117)</f>
        <v>98.613570335979091</v>
      </c>
      <c r="C127" s="18">
        <f t="shared" si="4"/>
        <v>101.59335355847968</v>
      </c>
      <c r="D127" s="27">
        <f t="shared" si="5"/>
        <v>-2.9330493758977561E-2</v>
      </c>
      <c r="E127" s="18">
        <f>E126*(1+Returns!H117)</f>
        <v>103.45405981736366</v>
      </c>
      <c r="F127" s="18">
        <f t="shared" si="6"/>
        <v>103.45405981736366</v>
      </c>
      <c r="G127" s="27">
        <f t="shared" si="7"/>
        <v>0</v>
      </c>
    </row>
    <row r="128" spans="1:7" ht="15">
      <c r="A128" s="25">
        <f>Returns!A118</f>
        <v>45096</v>
      </c>
      <c r="B128" s="18">
        <f>B127*(1+Returns!G118)</f>
        <v>98.462714744915615</v>
      </c>
      <c r="C128" s="18">
        <f t="shared" si="4"/>
        <v>101.59335355847968</v>
      </c>
      <c r="D128" s="27">
        <f t="shared" si="5"/>
        <v>-3.0815390022163047E-2</v>
      </c>
      <c r="E128" s="18">
        <f>E127*(1+Returns!H118)</f>
        <v>103.06636382545888</v>
      </c>
      <c r="F128" s="18">
        <f t="shared" si="6"/>
        <v>103.45405981736366</v>
      </c>
      <c r="G128" s="27">
        <f t="shared" si="7"/>
        <v>-3.7475183921172883E-3</v>
      </c>
    </row>
    <row r="129" spans="1:7" ht="15">
      <c r="A129" s="25">
        <f>Returns!A119</f>
        <v>45097</v>
      </c>
      <c r="B129" s="18">
        <f>B128*(1+Returns!G119)</f>
        <v>98.817050112416865</v>
      </c>
      <c r="C129" s="18">
        <f t="shared" si="4"/>
        <v>101.59335355847968</v>
      </c>
      <c r="D129" s="27">
        <f t="shared" si="5"/>
        <v>-2.7327609029705879E-2</v>
      </c>
      <c r="E129" s="18">
        <f>E128*(1+Returns!H119)</f>
        <v>103.40294946042188</v>
      </c>
      <c r="F129" s="18">
        <f t="shared" si="6"/>
        <v>103.45405981736366</v>
      </c>
      <c r="G129" s="27">
        <f t="shared" si="7"/>
        <v>-4.9403916126644631E-4</v>
      </c>
    </row>
    <row r="130" spans="1:7" ht="15">
      <c r="A130" s="25">
        <f>Returns!A120</f>
        <v>45098</v>
      </c>
      <c r="B130" s="18">
        <f>B129*(1+Returns!G120)</f>
        <v>99.445532322519142</v>
      </c>
      <c r="C130" s="18">
        <f t="shared" si="4"/>
        <v>101.59335355847968</v>
      </c>
      <c r="D130" s="27">
        <f t="shared" si="5"/>
        <v>-2.1141355814425333E-2</v>
      </c>
      <c r="E130" s="18">
        <f>E129*(1+Returns!H120)</f>
        <v>103.6235869252795</v>
      </c>
      <c r="F130" s="18">
        <f t="shared" si="6"/>
        <v>103.6235869252795</v>
      </c>
      <c r="G130" s="27">
        <f t="shared" si="7"/>
        <v>0</v>
      </c>
    </row>
    <row r="131" spans="1:7" ht="15">
      <c r="A131" s="25">
        <f>Returns!A121</f>
        <v>45099</v>
      </c>
      <c r="B131" s="18">
        <f>B130*(1+Returns!G121)</f>
        <v>98.980246223927708</v>
      </c>
      <c r="C131" s="18">
        <f t="shared" si="4"/>
        <v>101.59335355847968</v>
      </c>
      <c r="D131" s="27">
        <f t="shared" si="5"/>
        <v>-2.5721243004817262E-2</v>
      </c>
      <c r="E131" s="18">
        <f>E130*(1+Returns!H121)</f>
        <v>103.15319347427427</v>
      </c>
      <c r="F131" s="18">
        <f t="shared" si="6"/>
        <v>103.6235869252795</v>
      </c>
      <c r="G131" s="27">
        <f t="shared" si="7"/>
        <v>-4.5394438174043428E-3</v>
      </c>
    </row>
    <row r="132" spans="1:7" ht="15">
      <c r="A132" s="25">
        <f>Returns!A122</f>
        <v>45100</v>
      </c>
      <c r="B132" s="18">
        <f>B131*(1+Returns!G122)</f>
        <v>98.413020134480405</v>
      </c>
      <c r="C132" s="18">
        <f t="shared" si="4"/>
        <v>101.59335355847968</v>
      </c>
      <c r="D132" s="27">
        <f t="shared" si="5"/>
        <v>-3.130454220283807E-2</v>
      </c>
      <c r="E132" s="18">
        <f>E131*(1+Returns!H122)</f>
        <v>102.57206807186877</v>
      </c>
      <c r="F132" s="18">
        <f t="shared" si="6"/>
        <v>103.6235869252795</v>
      </c>
      <c r="G132" s="27">
        <f t="shared" si="7"/>
        <v>-1.014748557361711E-2</v>
      </c>
    </row>
    <row r="133" spans="1:7" ht="15">
      <c r="A133" s="25">
        <f>Returns!A123</f>
        <v>45103</v>
      </c>
      <c r="B133" s="18">
        <f>B132*(1+Returns!G123)</f>
        <v>98.068345538498974</v>
      </c>
      <c r="C133" s="18">
        <f t="shared" si="4"/>
        <v>101.59335355847968</v>
      </c>
      <c r="D133" s="27">
        <f t="shared" si="5"/>
        <v>-3.4697230640699517E-2</v>
      </c>
      <c r="E133" s="18">
        <f>E132*(1+Returns!H123)</f>
        <v>102.71329236347728</v>
      </c>
      <c r="F133" s="18">
        <f t="shared" si="6"/>
        <v>103.6235869252795</v>
      </c>
      <c r="G133" s="27">
        <f t="shared" si="7"/>
        <v>-8.784627021824809E-3</v>
      </c>
    </row>
    <row r="134" spans="1:7" ht="15">
      <c r="A134" s="25">
        <f>Returns!A124</f>
        <v>45104</v>
      </c>
      <c r="B134" s="18">
        <f>B133*(1+Returns!G124)</f>
        <v>98.70915319286884</v>
      </c>
      <c r="C134" s="18">
        <f t="shared" si="4"/>
        <v>101.59335355847968</v>
      </c>
      <c r="D134" s="27">
        <f t="shared" si="5"/>
        <v>-2.8389656061019952E-2</v>
      </c>
      <c r="E134" s="18">
        <f>E133*(1+Returns!H124)</f>
        <v>103.40680259316906</v>
      </c>
      <c r="F134" s="18">
        <f t="shared" si="6"/>
        <v>103.6235869252795</v>
      </c>
      <c r="G134" s="27">
        <f t="shared" si="7"/>
        <v>-2.0920365579195632E-3</v>
      </c>
    </row>
    <row r="135" spans="1:7" ht="15">
      <c r="A135" s="25">
        <f>Returns!A125</f>
        <v>45105</v>
      </c>
      <c r="B135" s="18">
        <f>B134*(1+Returns!G125)</f>
        <v>99.594447013020186</v>
      </c>
      <c r="C135" s="18">
        <f t="shared" si="4"/>
        <v>101.59335355847968</v>
      </c>
      <c r="D135" s="27">
        <f t="shared" si="5"/>
        <v>-1.9675564153011971E-2</v>
      </c>
      <c r="E135" s="18">
        <f>E134*(1+Returns!H125)</f>
        <v>104.25691744657721</v>
      </c>
      <c r="F135" s="18">
        <f t="shared" si="6"/>
        <v>104.25691744657721</v>
      </c>
      <c r="G135" s="27">
        <f t="shared" si="7"/>
        <v>0</v>
      </c>
    </row>
    <row r="136" spans="1:7" ht="15">
      <c r="A136" s="25">
        <f>Returns!A126</f>
        <v>45107</v>
      </c>
      <c r="B136" s="18">
        <f>B135*(1+Returns!G126)</f>
        <v>101.15292647688707</v>
      </c>
      <c r="C136" s="18">
        <f t="shared" si="4"/>
        <v>101.59335355847968</v>
      </c>
      <c r="D136" s="27">
        <f t="shared" si="5"/>
        <v>-4.3351958190757101E-3</v>
      </c>
      <c r="E136" s="18">
        <f>E135*(1+Returns!H126)</f>
        <v>105.44912394358153</v>
      </c>
      <c r="F136" s="18">
        <f t="shared" si="6"/>
        <v>105.44912394358153</v>
      </c>
      <c r="G136" s="27">
        <f t="shared" si="7"/>
        <v>0</v>
      </c>
    </row>
    <row r="137" spans="1:7" ht="15">
      <c r="A137" s="25">
        <f>Returns!A127</f>
        <v>45110</v>
      </c>
      <c r="B137" s="18">
        <f>B136*(1+Returns!G127)</f>
        <v>102.00054135148422</v>
      </c>
      <c r="C137" s="18">
        <f t="shared" si="4"/>
        <v>102.00054135148422</v>
      </c>
      <c r="D137" s="27">
        <f t="shared" si="5"/>
        <v>0</v>
      </c>
      <c r="E137" s="18">
        <f>E136*(1+Returns!H127)</f>
        <v>106.18274324590905</v>
      </c>
      <c r="F137" s="18">
        <f t="shared" si="6"/>
        <v>106.18274324590905</v>
      </c>
      <c r="G137" s="27">
        <f t="shared" si="7"/>
        <v>0</v>
      </c>
    </row>
    <row r="138" spans="1:7" ht="15">
      <c r="A138" s="25">
        <f>Returns!A128</f>
        <v>45111</v>
      </c>
      <c r="B138" s="18">
        <f>B137*(1+Returns!G128)</f>
        <v>102.2564711436149</v>
      </c>
      <c r="C138" s="18">
        <f t="shared" si="4"/>
        <v>102.2564711436149</v>
      </c>
      <c r="D138" s="27">
        <f t="shared" si="5"/>
        <v>0</v>
      </c>
      <c r="E138" s="18">
        <f>E137*(1+Returns!H128)</f>
        <v>106.54790002118683</v>
      </c>
      <c r="F138" s="18">
        <f t="shared" si="6"/>
        <v>106.54790002118683</v>
      </c>
      <c r="G138" s="27">
        <f t="shared" si="7"/>
        <v>0</v>
      </c>
    </row>
    <row r="139" spans="1:7" ht="15">
      <c r="A139" s="25">
        <f>Returns!A129</f>
        <v>45112</v>
      </c>
      <c r="B139" s="18">
        <f>B138*(1+Returns!G129)</f>
        <v>101.71147039867319</v>
      </c>
      <c r="C139" s="18">
        <f t="shared" si="4"/>
        <v>102.2564711436149</v>
      </c>
      <c r="D139" s="27">
        <f t="shared" si="5"/>
        <v>-5.3297433291658036E-3</v>
      </c>
      <c r="E139" s="18">
        <f>E138*(1+Returns!H129)</f>
        <v>106.60010514007905</v>
      </c>
      <c r="F139" s="18">
        <f t="shared" si="6"/>
        <v>106.60010514007905</v>
      </c>
      <c r="G139" s="27">
        <f t="shared" si="7"/>
        <v>0</v>
      </c>
    </row>
    <row r="140" spans="1:7" ht="15">
      <c r="A140" s="25">
        <f>Returns!A130</f>
        <v>45113</v>
      </c>
      <c r="B140" s="18">
        <f>B139*(1+Returns!G130)</f>
        <v>102.27291854483018</v>
      </c>
      <c r="C140" s="18">
        <f t="shared" si="4"/>
        <v>102.27291854483018</v>
      </c>
      <c r="D140" s="27">
        <f t="shared" si="5"/>
        <v>0</v>
      </c>
      <c r="E140" s="18">
        <f>E139*(1+Returns!H130)</f>
        <v>107.14304266974227</v>
      </c>
      <c r="F140" s="18">
        <f t="shared" si="6"/>
        <v>107.14304266974227</v>
      </c>
      <c r="G140" s="27">
        <f t="shared" si="7"/>
        <v>0</v>
      </c>
    </row>
    <row r="141" spans="1:7" ht="15">
      <c r="A141" s="25">
        <f>Returns!A131</f>
        <v>45114</v>
      </c>
      <c r="B141" s="18">
        <f>B140*(1+Returns!G131)</f>
        <v>101.6749806617226</v>
      </c>
      <c r="C141" s="18">
        <f t="shared" si="4"/>
        <v>102.27291854483018</v>
      </c>
      <c r="D141" s="27">
        <f t="shared" si="5"/>
        <v>-5.8464928117356596E-3</v>
      </c>
      <c r="E141" s="18">
        <f>E140*(1+Returns!H131)</f>
        <v>106.23357454588304</v>
      </c>
      <c r="F141" s="18">
        <f t="shared" si="6"/>
        <v>107.14304266974227</v>
      </c>
      <c r="G141" s="27">
        <f t="shared" si="7"/>
        <v>-8.48835445771845E-3</v>
      </c>
    </row>
    <row r="142" spans="1:7" ht="15">
      <c r="A142" s="25">
        <f>Returns!A132</f>
        <v>45117</v>
      </c>
      <c r="B142" s="18">
        <f>B141*(1+Returns!G132)</f>
        <v>102.26387572570425</v>
      </c>
      <c r="C142" s="18">
        <f t="shared" si="4"/>
        <v>102.27291854483018</v>
      </c>
      <c r="D142" s="27">
        <f t="shared" si="5"/>
        <v>-8.8418510536203421E-5</v>
      </c>
      <c r="E142" s="18">
        <f>E141*(1+Returns!H132)</f>
        <v>106.36600854300704</v>
      </c>
      <c r="F142" s="18">
        <f t="shared" si="6"/>
        <v>107.14304266974227</v>
      </c>
      <c r="G142" s="27">
        <f t="shared" si="7"/>
        <v>-7.2523059582166871E-3</v>
      </c>
    </row>
    <row r="143" spans="1:7" ht="15">
      <c r="A143" s="25">
        <f>Returns!A133</f>
        <v>45118</v>
      </c>
      <c r="B143" s="18">
        <f>B142*(1+Returns!G133)</f>
        <v>102.58827265343918</v>
      </c>
      <c r="C143" s="18">
        <f t="shared" si="4"/>
        <v>102.58827265343918</v>
      </c>
      <c r="D143" s="27">
        <f t="shared" si="5"/>
        <v>0</v>
      </c>
      <c r="E143" s="18">
        <f>E142*(1+Returns!H133)</f>
        <v>106.8248640616913</v>
      </c>
      <c r="F143" s="18">
        <f t="shared" si="6"/>
        <v>107.14304266974227</v>
      </c>
      <c r="G143" s="27">
        <f t="shared" si="7"/>
        <v>-2.9696618662560237E-3</v>
      </c>
    </row>
    <row r="144" spans="1:7" ht="15">
      <c r="A144" s="25">
        <f>Returns!A134</f>
        <v>45119</v>
      </c>
      <c r="B144" s="18">
        <f>B143*(1+Returns!G134)</f>
        <v>102.11427185072742</v>
      </c>
      <c r="C144" s="18">
        <f t="shared" ref="C144:C207" si="8">MAX(C143,B144)</f>
        <v>102.58827265343918</v>
      </c>
      <c r="D144" s="27">
        <f t="shared" ref="D144:D207" si="9">B144/C144-1</f>
        <v>-4.620418986027941E-3</v>
      </c>
      <c r="E144" s="18">
        <f>E143*(1+Returns!H134)</f>
        <v>106.52207651870847</v>
      </c>
      <c r="F144" s="18">
        <f t="shared" ref="F144:F207" si="10">MAX(F143,E144)</f>
        <v>107.14304266974227</v>
      </c>
      <c r="G144" s="27">
        <f t="shared" ref="G144:G207" si="11">E144/F144-1</f>
        <v>-5.7956740406175378E-3</v>
      </c>
    </row>
    <row r="145" spans="1:7" ht="15">
      <c r="A145" s="25">
        <f>Returns!A135</f>
        <v>45120</v>
      </c>
      <c r="B145" s="18">
        <f>B144*(1+Returns!G135)</f>
        <v>103.06725773795448</v>
      </c>
      <c r="C145" s="18">
        <f t="shared" si="8"/>
        <v>103.06725773795448</v>
      </c>
      <c r="D145" s="27">
        <f t="shared" si="9"/>
        <v>0</v>
      </c>
      <c r="E145" s="18">
        <f>E144*(1+Returns!H135)</f>
        <v>106.68390809409023</v>
      </c>
      <c r="F145" s="18">
        <f t="shared" si="10"/>
        <v>107.14304266974227</v>
      </c>
      <c r="G145" s="27">
        <f t="shared" si="11"/>
        <v>-4.2852486191500283E-3</v>
      </c>
    </row>
    <row r="146" spans="1:7" ht="15">
      <c r="A146" s="25">
        <f>Returns!A136</f>
        <v>45121</v>
      </c>
      <c r="B146" s="18">
        <f>B145*(1+Returns!G136)</f>
        <v>104.93286132744632</v>
      </c>
      <c r="C146" s="18">
        <f t="shared" si="8"/>
        <v>104.93286132744632</v>
      </c>
      <c r="D146" s="27">
        <f t="shared" si="9"/>
        <v>0</v>
      </c>
      <c r="E146" s="18">
        <f>E145*(1+Returns!H136)</f>
        <v>107.51232090177469</v>
      </c>
      <c r="F146" s="18">
        <f t="shared" si="10"/>
        <v>107.51232090177469</v>
      </c>
      <c r="G146" s="27">
        <f t="shared" si="11"/>
        <v>0</v>
      </c>
    </row>
    <row r="147" spans="1:7" ht="15">
      <c r="A147" s="25">
        <f>Returns!A137</f>
        <v>45124</v>
      </c>
      <c r="B147" s="18">
        <f>B146*(1+Returns!G137)</f>
        <v>105.98929473349862</v>
      </c>
      <c r="C147" s="18">
        <f t="shared" si="8"/>
        <v>105.98929473349862</v>
      </c>
      <c r="D147" s="27">
        <f t="shared" si="9"/>
        <v>0</v>
      </c>
      <c r="E147" s="18">
        <f>E146*(1+Returns!H137)</f>
        <v>108.31984736871813</v>
      </c>
      <c r="F147" s="18">
        <f t="shared" si="10"/>
        <v>108.31984736871813</v>
      </c>
      <c r="G147" s="27">
        <f t="shared" si="11"/>
        <v>0</v>
      </c>
    </row>
    <row r="148" spans="1:7" ht="15">
      <c r="A148" s="25">
        <f>Returns!A138</f>
        <v>45125</v>
      </c>
      <c r="B148" s="18">
        <f>B147*(1+Returns!G138)</f>
        <v>106.91804002376331</v>
      </c>
      <c r="C148" s="18">
        <f t="shared" si="8"/>
        <v>106.91804002376331</v>
      </c>
      <c r="D148" s="27">
        <f t="shared" si="9"/>
        <v>0</v>
      </c>
      <c r="E148" s="18">
        <f>E147*(1+Returns!H138)</f>
        <v>108.52757308233656</v>
      </c>
      <c r="F148" s="18">
        <f t="shared" si="10"/>
        <v>108.52757308233656</v>
      </c>
      <c r="G148" s="27">
        <f t="shared" si="11"/>
        <v>0</v>
      </c>
    </row>
    <row r="149" spans="1:7" ht="15">
      <c r="A149" s="25">
        <f>Returns!A139</f>
        <v>45126</v>
      </c>
      <c r="B149" s="18">
        <f>B148*(1+Returns!G139)</f>
        <v>107.04246754572395</v>
      </c>
      <c r="C149" s="18">
        <f t="shared" si="8"/>
        <v>107.04246754572395</v>
      </c>
      <c r="D149" s="27">
        <f t="shared" si="9"/>
        <v>0</v>
      </c>
      <c r="E149" s="18">
        <f>E148*(1+Returns!H139)</f>
        <v>108.98862885788202</v>
      </c>
      <c r="F149" s="18">
        <f t="shared" si="10"/>
        <v>108.98862885788202</v>
      </c>
      <c r="G149" s="27">
        <f t="shared" si="11"/>
        <v>0</v>
      </c>
    </row>
    <row r="150" spans="1:7" ht="15">
      <c r="A150" s="25">
        <f>Returns!A140</f>
        <v>45127</v>
      </c>
      <c r="B150" s="18">
        <f>B149*(1+Returns!G140)</f>
        <v>107.17024273230841</v>
      </c>
      <c r="C150" s="18">
        <f t="shared" si="8"/>
        <v>107.17024273230841</v>
      </c>
      <c r="D150" s="27">
        <f t="shared" si="9"/>
        <v>0</v>
      </c>
      <c r="E150" s="18">
        <f>E149*(1+Returns!H140)</f>
        <v>109.79093910612036</v>
      </c>
      <c r="F150" s="18">
        <f t="shared" si="10"/>
        <v>109.79093910612036</v>
      </c>
      <c r="G150" s="27">
        <f t="shared" si="11"/>
        <v>0</v>
      </c>
    </row>
    <row r="151" spans="1:7" ht="15">
      <c r="A151" s="25">
        <f>Returns!A141</f>
        <v>45128</v>
      </c>
      <c r="B151" s="18">
        <f>B150*(1+Returns!G141)</f>
        <v>104.26170117133802</v>
      </c>
      <c r="C151" s="18">
        <f t="shared" si="8"/>
        <v>107.17024273230841</v>
      </c>
      <c r="D151" s="27">
        <f t="shared" si="9"/>
        <v>-2.713945109031235E-2</v>
      </c>
      <c r="E151" s="18">
        <f>E150*(1+Returns!H141)</f>
        <v>108.50421816072688</v>
      </c>
      <c r="F151" s="18">
        <f t="shared" si="10"/>
        <v>109.79093910612036</v>
      </c>
      <c r="G151" s="27">
        <f t="shared" si="11"/>
        <v>-1.1719737128305097E-2</v>
      </c>
    </row>
    <row r="152" spans="1:7" ht="15">
      <c r="A152" s="25">
        <f>Returns!A142</f>
        <v>45131</v>
      </c>
      <c r="B152" s="18">
        <f>B151*(1+Returns!G142)</f>
        <v>103.9197425679547</v>
      </c>
      <c r="C152" s="18">
        <f t="shared" si="8"/>
        <v>107.17024273230841</v>
      </c>
      <c r="D152" s="27">
        <f t="shared" si="9"/>
        <v>-3.0330249157621725E-2</v>
      </c>
      <c r="E152" s="18">
        <f>E151*(1+Returns!H142)</f>
        <v>108.10498423650114</v>
      </c>
      <c r="F152" s="18">
        <f t="shared" si="10"/>
        <v>109.79093910612036</v>
      </c>
      <c r="G152" s="27">
        <f t="shared" si="11"/>
        <v>-1.5356047442035559E-2</v>
      </c>
    </row>
    <row r="153" spans="1:7" ht="15">
      <c r="A153" s="25">
        <f>Returns!A143</f>
        <v>45132</v>
      </c>
      <c r="B153" s="18">
        <f>B152*(1+Returns!G143)</f>
        <v>104.23079453533019</v>
      </c>
      <c r="C153" s="18">
        <f t="shared" si="8"/>
        <v>107.17024273230841</v>
      </c>
      <c r="D153" s="27">
        <f t="shared" si="9"/>
        <v>-2.7427839314691282E-2</v>
      </c>
      <c r="E153" s="18">
        <f>E152*(1+Returns!H143)</f>
        <v>108.15032026080229</v>
      </c>
      <c r="F153" s="18">
        <f t="shared" si="10"/>
        <v>109.79093910612036</v>
      </c>
      <c r="G153" s="27">
        <f t="shared" si="11"/>
        <v>-1.4943116970083548E-2</v>
      </c>
    </row>
    <row r="154" spans="1:7" ht="15">
      <c r="A154" s="25">
        <f>Returns!A144</f>
        <v>45133</v>
      </c>
      <c r="B154" s="18">
        <f>B153*(1+Returns!G144)</f>
        <v>104.69157609617622</v>
      </c>
      <c r="C154" s="18">
        <f t="shared" si="8"/>
        <v>107.17024273230841</v>
      </c>
      <c r="D154" s="27">
        <f t="shared" si="9"/>
        <v>-2.3128310368050964E-2</v>
      </c>
      <c r="E154" s="18">
        <f>E153*(1+Returns!H144)</f>
        <v>108.68721513381742</v>
      </c>
      <c r="F154" s="18">
        <f t="shared" si="10"/>
        <v>109.79093910612036</v>
      </c>
      <c r="G154" s="27">
        <f t="shared" si="11"/>
        <v>-1.0052960483707296E-2</v>
      </c>
    </row>
    <row r="155" spans="1:7" ht="15">
      <c r="A155" s="25">
        <f>Returns!A145</f>
        <v>45134</v>
      </c>
      <c r="B155" s="18">
        <f>B154*(1+Returns!G145)</f>
        <v>104.18191672644792</v>
      </c>
      <c r="C155" s="18">
        <f t="shared" si="8"/>
        <v>107.17024273230841</v>
      </c>
      <c r="D155" s="27">
        <f t="shared" si="9"/>
        <v>-2.7883915625018907E-2</v>
      </c>
      <c r="E155" s="18">
        <f>E154*(1+Returns!H145)</f>
        <v>108.03657234755811</v>
      </c>
      <c r="F155" s="18">
        <f t="shared" si="10"/>
        <v>109.79093910612036</v>
      </c>
      <c r="G155" s="27">
        <f t="shared" si="11"/>
        <v>-1.5979157960080315E-2</v>
      </c>
    </row>
    <row r="156" spans="1:7" ht="15">
      <c r="A156" s="25">
        <f>Returns!A146</f>
        <v>45135</v>
      </c>
      <c r="B156" s="18">
        <f>B155*(1+Returns!G146)</f>
        <v>103.67534532338001</v>
      </c>
      <c r="C156" s="18">
        <f t="shared" si="8"/>
        <v>107.17024273230841</v>
      </c>
      <c r="D156" s="27">
        <f t="shared" si="9"/>
        <v>-3.2610707224560498E-2</v>
      </c>
      <c r="E156" s="18">
        <f>E155*(1+Returns!H146)</f>
        <v>107.96046492608099</v>
      </c>
      <c r="F156" s="18">
        <f t="shared" si="10"/>
        <v>109.79093910612036</v>
      </c>
      <c r="G156" s="27">
        <f t="shared" si="11"/>
        <v>-1.6672361079543174E-2</v>
      </c>
    </row>
    <row r="157" spans="1:7" ht="15">
      <c r="A157" s="25">
        <f>Returns!A147</f>
        <v>45138</v>
      </c>
      <c r="B157" s="18">
        <f>B156*(1+Returns!G147)</f>
        <v>104.63347203186476</v>
      </c>
      <c r="C157" s="18">
        <f t="shared" si="8"/>
        <v>107.17024273230841</v>
      </c>
      <c r="D157" s="27">
        <f t="shared" si="9"/>
        <v>-2.3670476391287498E-2</v>
      </c>
      <c r="E157" s="18">
        <f>E156*(1+Returns!H147)</f>
        <v>108.55258087983222</v>
      </c>
      <c r="F157" s="18">
        <f t="shared" si="10"/>
        <v>109.79093910612036</v>
      </c>
      <c r="G157" s="27">
        <f t="shared" si="11"/>
        <v>-1.1279238854958518E-2</v>
      </c>
    </row>
    <row r="158" spans="1:7" ht="15">
      <c r="A158" s="25">
        <f>Returns!A148</f>
        <v>45139</v>
      </c>
      <c r="B158" s="18">
        <f>B157*(1+Returns!G148)</f>
        <v>104.67680248401425</v>
      </c>
      <c r="C158" s="18">
        <f t="shared" si="8"/>
        <v>107.17024273230841</v>
      </c>
      <c r="D158" s="27">
        <f t="shared" si="9"/>
        <v>-2.3266162180133554E-2</v>
      </c>
      <c r="E158" s="18">
        <f>E157*(1+Returns!H148)</f>
        <v>108.4413015474567</v>
      </c>
      <c r="F158" s="18">
        <f t="shared" si="10"/>
        <v>109.79093910612036</v>
      </c>
      <c r="G158" s="27">
        <f t="shared" si="11"/>
        <v>-1.2292795467931494E-2</v>
      </c>
    </row>
    <row r="159" spans="1:7" ht="15">
      <c r="A159" s="25">
        <f>Returns!A149</f>
        <v>45140</v>
      </c>
      <c r="B159" s="18">
        <f>B158*(1+Returns!G149)</f>
        <v>103.76964983639125</v>
      </c>
      <c r="C159" s="18">
        <f t="shared" si="8"/>
        <v>107.17024273230841</v>
      </c>
      <c r="D159" s="27">
        <f t="shared" si="9"/>
        <v>-3.1730756684121841E-2</v>
      </c>
      <c r="E159" s="18">
        <f>E158*(1+Returns!H149)</f>
        <v>107.30377948317357</v>
      </c>
      <c r="F159" s="18">
        <f t="shared" si="10"/>
        <v>109.79093910612036</v>
      </c>
      <c r="G159" s="27">
        <f t="shared" si="11"/>
        <v>-2.2653596400544318E-2</v>
      </c>
    </row>
    <row r="160" spans="1:7" ht="15">
      <c r="A160" s="25">
        <f>Returns!A150</f>
        <v>45141</v>
      </c>
      <c r="B160" s="18">
        <f>B159*(1+Returns!G150)</f>
        <v>102.96700579800383</v>
      </c>
      <c r="C160" s="18">
        <f t="shared" si="8"/>
        <v>107.17024273230841</v>
      </c>
      <c r="D160" s="27">
        <f t="shared" si="9"/>
        <v>-3.9220186752805031E-2</v>
      </c>
      <c r="E160" s="18">
        <f>E159*(1+Returns!H150)</f>
        <v>106.50751189158332</v>
      </c>
      <c r="F160" s="18">
        <f t="shared" si="10"/>
        <v>109.79093910612036</v>
      </c>
      <c r="G160" s="27">
        <f t="shared" si="11"/>
        <v>-2.9906176605005497E-2</v>
      </c>
    </row>
    <row r="161" spans="1:7" ht="15">
      <c r="A161" s="25">
        <f>Returns!A151</f>
        <v>45142</v>
      </c>
      <c r="B161" s="18">
        <f>B160*(1+Returns!G151)</f>
        <v>104.20025640237114</v>
      </c>
      <c r="C161" s="18">
        <f t="shared" si="8"/>
        <v>107.17024273230841</v>
      </c>
      <c r="D161" s="27">
        <f t="shared" si="9"/>
        <v>-2.771278905615393E-2</v>
      </c>
      <c r="E161" s="18">
        <f>E160*(1+Returns!H151)</f>
        <v>107.2512953073136</v>
      </c>
      <c r="F161" s="18">
        <f t="shared" si="10"/>
        <v>109.79093910612036</v>
      </c>
      <c r="G161" s="27">
        <f t="shared" si="11"/>
        <v>-2.3131633807704555E-2</v>
      </c>
    </row>
    <row r="162" spans="1:7" ht="15">
      <c r="A162" s="25">
        <f>Returns!A152</f>
        <v>45145</v>
      </c>
      <c r="B162" s="18">
        <f>B161*(1+Returns!G152)</f>
        <v>104.82788666859726</v>
      </c>
      <c r="C162" s="18">
        <f t="shared" si="8"/>
        <v>107.17024273230841</v>
      </c>
      <c r="D162" s="27">
        <f t="shared" si="9"/>
        <v>-2.1856403456712581E-2</v>
      </c>
      <c r="E162" s="18">
        <f>E161*(1+Returns!H152)</f>
        <v>107.69257023702882</v>
      </c>
      <c r="F162" s="18">
        <f t="shared" si="10"/>
        <v>109.79093910612036</v>
      </c>
      <c r="G162" s="27">
        <f t="shared" si="11"/>
        <v>-1.9112404777440917E-2</v>
      </c>
    </row>
    <row r="163" spans="1:7" ht="15">
      <c r="A163" s="25">
        <f>Returns!A153</f>
        <v>45146</v>
      </c>
      <c r="B163" s="18">
        <f>B162*(1+Returns!G153)</f>
        <v>104.60458117722321</v>
      </c>
      <c r="C163" s="18">
        <f t="shared" si="8"/>
        <v>107.17024273230841</v>
      </c>
      <c r="D163" s="27">
        <f t="shared" si="9"/>
        <v>-2.3940055463845034E-2</v>
      </c>
      <c r="E163" s="18">
        <f>E162*(1+Returns!H153)</f>
        <v>107.54721375570534</v>
      </c>
      <c r="F163" s="18">
        <f t="shared" si="10"/>
        <v>109.79093910612036</v>
      </c>
      <c r="G163" s="27">
        <f t="shared" si="11"/>
        <v>-2.043634355150481E-2</v>
      </c>
    </row>
    <row r="164" spans="1:7" ht="15">
      <c r="A164" s="25">
        <f>Returns!A154</f>
        <v>45147</v>
      </c>
      <c r="B164" s="18">
        <f>B163*(1+Returns!G154)</f>
        <v>104.79810592085397</v>
      </c>
      <c r="C164" s="18">
        <f t="shared" si="8"/>
        <v>107.17024273230841</v>
      </c>
      <c r="D164" s="27">
        <f t="shared" si="9"/>
        <v>-2.2134286075842891E-2</v>
      </c>
      <c r="E164" s="18">
        <f>E163*(1+Returns!H154)</f>
        <v>107.88627870449733</v>
      </c>
      <c r="F164" s="18">
        <f t="shared" si="10"/>
        <v>109.79093910612036</v>
      </c>
      <c r="G164" s="27">
        <f t="shared" si="11"/>
        <v>-1.7348065488191566E-2</v>
      </c>
    </row>
    <row r="165" spans="1:7" ht="15">
      <c r="A165" s="25">
        <f>Returns!A155</f>
        <v>45148</v>
      </c>
      <c r="B165" s="18">
        <f>B164*(1+Returns!G155)</f>
        <v>104.36005414262326</v>
      </c>
      <c r="C165" s="18">
        <f t="shared" si="8"/>
        <v>107.17024273230841</v>
      </c>
      <c r="D165" s="27">
        <f t="shared" si="9"/>
        <v>-2.6221724594806539E-2</v>
      </c>
      <c r="E165" s="18">
        <f>E164*(1+Returns!H155)</f>
        <v>107.39471985578334</v>
      </c>
      <c r="F165" s="18">
        <f t="shared" si="10"/>
        <v>109.79093910612036</v>
      </c>
      <c r="G165" s="27">
        <f t="shared" si="11"/>
        <v>-2.1825291502615918E-2</v>
      </c>
    </row>
    <row r="166" spans="1:7" ht="15">
      <c r="A166" s="25">
        <f>Returns!A156</f>
        <v>45149</v>
      </c>
      <c r="B166" s="18">
        <f>B165*(1+Returns!G156)</f>
        <v>103.86175014344551</v>
      </c>
      <c r="C166" s="18">
        <f t="shared" si="8"/>
        <v>107.17024273230841</v>
      </c>
      <c r="D166" s="27">
        <f t="shared" si="9"/>
        <v>-3.087137347562896E-2</v>
      </c>
      <c r="E166" s="18">
        <f>E165*(1+Returns!H156)</f>
        <v>106.76386864831457</v>
      </c>
      <c r="F166" s="18">
        <f t="shared" si="10"/>
        <v>109.79093910612036</v>
      </c>
      <c r="G166" s="27">
        <f t="shared" si="11"/>
        <v>-2.7571222930153905E-2</v>
      </c>
    </row>
    <row r="167" spans="1:7" ht="15">
      <c r="A167" s="25">
        <f>Returns!A157</f>
        <v>45152</v>
      </c>
      <c r="B167" s="18">
        <f>B166*(1+Returns!G157)</f>
        <v>104.40418144815106</v>
      </c>
      <c r="C167" s="18">
        <f t="shared" si="8"/>
        <v>107.17024273230841</v>
      </c>
      <c r="D167" s="27">
        <f t="shared" si="9"/>
        <v>-2.5809974985933959E-2</v>
      </c>
      <c r="E167" s="18">
        <f>E166*(1+Returns!H157)</f>
        <v>106.79821412126998</v>
      </c>
      <c r="F167" s="18">
        <f t="shared" si="10"/>
        <v>109.79093910612036</v>
      </c>
      <c r="G167" s="27">
        <f t="shared" si="11"/>
        <v>-2.7258396815038721E-2</v>
      </c>
    </row>
    <row r="168" spans="1:7" ht="15">
      <c r="A168" s="25">
        <f>Returns!A158</f>
        <v>45154</v>
      </c>
      <c r="B168" s="18">
        <f>B167*(1+Returns!G158)</f>
        <v>104.5891148712418</v>
      </c>
      <c r="C168" s="18">
        <f t="shared" si="8"/>
        <v>107.17024273230841</v>
      </c>
      <c r="D168" s="27">
        <f t="shared" si="9"/>
        <v>-2.4084370766181751E-2</v>
      </c>
      <c r="E168" s="18">
        <f>E167*(1+Returns!H158)</f>
        <v>106.9655409723246</v>
      </c>
      <c r="F168" s="18">
        <f t="shared" si="10"/>
        <v>109.79093910612036</v>
      </c>
      <c r="G168" s="27">
        <f t="shared" si="11"/>
        <v>-2.5734347085462295E-2</v>
      </c>
    </row>
    <row r="169" spans="1:7" ht="15">
      <c r="A169" s="25">
        <f>Returns!A159</f>
        <v>45155</v>
      </c>
      <c r="B169" s="18">
        <f>B168*(1+Returns!G159)</f>
        <v>103.77361876600862</v>
      </c>
      <c r="C169" s="18">
        <f t="shared" si="8"/>
        <v>107.17024273230841</v>
      </c>
      <c r="D169" s="27">
        <f t="shared" si="9"/>
        <v>-3.1693722806842239E-2</v>
      </c>
      <c r="E169" s="18">
        <f>E168*(1+Returns!H159)</f>
        <v>106.41738722395628</v>
      </c>
      <c r="F169" s="18">
        <f t="shared" si="10"/>
        <v>109.79093910612036</v>
      </c>
      <c r="G169" s="27">
        <f t="shared" si="11"/>
        <v>-3.0727051882699641E-2</v>
      </c>
    </row>
    <row r="170" spans="1:7" ht="15">
      <c r="A170" s="25">
        <f>Returns!A160</f>
        <v>45156</v>
      </c>
      <c r="B170" s="18">
        <f>B169*(1+Returns!G160)</f>
        <v>103.17746786884049</v>
      </c>
      <c r="C170" s="18">
        <f t="shared" si="8"/>
        <v>107.17024273230841</v>
      </c>
      <c r="D170" s="27">
        <f t="shared" si="9"/>
        <v>-3.7256376039393024E-2</v>
      </c>
      <c r="E170" s="18">
        <f>E169*(1+Returns!H160)</f>
        <v>106.11459968097346</v>
      </c>
      <c r="F170" s="18">
        <f t="shared" si="10"/>
        <v>109.79093910612036</v>
      </c>
      <c r="G170" s="27">
        <f t="shared" si="11"/>
        <v>-3.3484907361922445E-2</v>
      </c>
    </row>
    <row r="171" spans="1:7" ht="15">
      <c r="A171" s="25">
        <f>Returns!A161</f>
        <v>45159</v>
      </c>
      <c r="B171" s="18">
        <f>B170*(1+Returns!G161)</f>
        <v>103.34654857215546</v>
      </c>
      <c r="C171" s="18">
        <f t="shared" si="8"/>
        <v>107.17024273230841</v>
      </c>
      <c r="D171" s="27">
        <f t="shared" si="9"/>
        <v>-3.5678692729136041E-2</v>
      </c>
      <c r="E171" s="18">
        <f>E170*(1+Returns!H161)</f>
        <v>106.57317614268996</v>
      </c>
      <c r="F171" s="18">
        <f t="shared" si="10"/>
        <v>109.79093910612036</v>
      </c>
      <c r="G171" s="27">
        <f t="shared" si="11"/>
        <v>-2.9308092176169587E-2</v>
      </c>
    </row>
    <row r="172" spans="1:7" ht="15">
      <c r="A172" s="25">
        <f>Returns!A162</f>
        <v>45160</v>
      </c>
      <c r="B172" s="18">
        <f>B171*(1+Returns!G162)</f>
        <v>103.04124530958558</v>
      </c>
      <c r="C172" s="18">
        <f t="shared" si="8"/>
        <v>107.17024273230841</v>
      </c>
      <c r="D172" s="27">
        <f t="shared" si="9"/>
        <v>-3.8527461704424004E-2</v>
      </c>
      <c r="E172" s="18">
        <f>E171*(1+Returns!H162)</f>
        <v>106.58883553176555</v>
      </c>
      <c r="F172" s="18">
        <f t="shared" si="10"/>
        <v>109.79093910612036</v>
      </c>
      <c r="G172" s="27">
        <f t="shared" si="11"/>
        <v>-2.9165463019309446E-2</v>
      </c>
    </row>
    <row r="173" spans="1:7" ht="15">
      <c r="A173" s="25">
        <f>Returns!A163</f>
        <v>45161</v>
      </c>
      <c r="B173" s="18">
        <f>B172*(1+Returns!G163)</f>
        <v>103.51879524928445</v>
      </c>
      <c r="C173" s="18">
        <f t="shared" si="8"/>
        <v>107.17024273230841</v>
      </c>
      <c r="D173" s="27">
        <f t="shared" si="9"/>
        <v>-3.4071467880730677E-2</v>
      </c>
      <c r="E173" s="18">
        <f>E172*(1+Returns!H163)</f>
        <v>106.85014018319441</v>
      </c>
      <c r="F173" s="18">
        <f t="shared" si="10"/>
        <v>109.79093910612036</v>
      </c>
      <c r="G173" s="27">
        <f t="shared" si="11"/>
        <v>-2.6785442832249262E-2</v>
      </c>
    </row>
    <row r="174" spans="1:7" ht="15">
      <c r="A174" s="25">
        <f>Returns!A164</f>
        <v>45162</v>
      </c>
      <c r="B174" s="18">
        <f>B173*(1+Returns!G164)</f>
        <v>103.10702299425321</v>
      </c>
      <c r="C174" s="18">
        <f t="shared" si="8"/>
        <v>107.17024273230841</v>
      </c>
      <c r="D174" s="27">
        <f t="shared" si="9"/>
        <v>-3.7913693525957304E-2</v>
      </c>
      <c r="E174" s="18">
        <f>E173*(1+Returns!H164)</f>
        <v>106.53525659395511</v>
      </c>
      <c r="F174" s="18">
        <f t="shared" si="10"/>
        <v>109.79093910612036</v>
      </c>
      <c r="G174" s="27">
        <f t="shared" si="11"/>
        <v>-2.9653471758889105E-2</v>
      </c>
    </row>
    <row r="175" spans="1:7" ht="15">
      <c r="A175" s="25">
        <f>Returns!A165</f>
        <v>45163</v>
      </c>
      <c r="B175" s="18">
        <f>B174*(1+Returns!G165)</f>
        <v>102.64333605954234</v>
      </c>
      <c r="C175" s="18">
        <f t="shared" si="8"/>
        <v>107.17024273230841</v>
      </c>
      <c r="D175" s="27">
        <f t="shared" si="9"/>
        <v>-4.2240332366079048E-2</v>
      </c>
      <c r="E175" s="18">
        <f>E174*(1+Returns!H165)</f>
        <v>105.87088635147393</v>
      </c>
      <c r="F175" s="18">
        <f t="shared" si="10"/>
        <v>109.79093910612036</v>
      </c>
      <c r="G175" s="27">
        <f t="shared" si="11"/>
        <v>-3.5704701923147231E-2</v>
      </c>
    </row>
    <row r="176" spans="1:7" ht="15">
      <c r="A176" s="25">
        <f>Returns!A166</f>
        <v>45166</v>
      </c>
      <c r="B176" s="18">
        <f>B175*(1+Returns!G166)</f>
        <v>102.57386240323896</v>
      </c>
      <c r="C176" s="18">
        <f t="shared" si="8"/>
        <v>107.17024273230841</v>
      </c>
      <c r="D176" s="27">
        <f t="shared" si="9"/>
        <v>-4.2888587464995909E-2</v>
      </c>
      <c r="E176" s="18">
        <f>E175*(1+Returns!H166)</f>
        <v>106.09207119730677</v>
      </c>
      <c r="F176" s="18">
        <f t="shared" si="10"/>
        <v>109.79093910612036</v>
      </c>
      <c r="G176" s="27">
        <f t="shared" si="11"/>
        <v>-3.3690101741805756E-2</v>
      </c>
    </row>
    <row r="177" spans="1:7" ht="15">
      <c r="A177" s="25">
        <f>Returns!A167</f>
        <v>45167</v>
      </c>
      <c r="B177" s="18">
        <f>B176*(1+Returns!G167)</f>
        <v>102.51328562875831</v>
      </c>
      <c r="C177" s="18">
        <f t="shared" si="8"/>
        <v>107.17024273230841</v>
      </c>
      <c r="D177" s="27">
        <f t="shared" si="9"/>
        <v>-4.3453826219114977E-2</v>
      </c>
      <c r="E177" s="18">
        <f>E176*(1+Returns!H167)</f>
        <v>106.29319614034158</v>
      </c>
      <c r="F177" s="18">
        <f t="shared" si="10"/>
        <v>109.79093910612036</v>
      </c>
      <c r="G177" s="27">
        <f t="shared" si="11"/>
        <v>-3.1858211563323802E-2</v>
      </c>
    </row>
    <row r="178" spans="1:7" ht="15">
      <c r="A178" s="25">
        <f>Returns!A168</f>
        <v>45168</v>
      </c>
      <c r="B178" s="18">
        <f>B177*(1+Returns!G168)</f>
        <v>102.44107336782932</v>
      </c>
      <c r="C178" s="18">
        <f t="shared" si="8"/>
        <v>107.17024273230841</v>
      </c>
      <c r="D178" s="27">
        <f t="shared" si="9"/>
        <v>-4.4127635096354978E-2</v>
      </c>
      <c r="E178" s="18">
        <f>E177*(1+Returns!H168)</f>
        <v>106.31956702379516</v>
      </c>
      <c r="F178" s="18">
        <f t="shared" si="10"/>
        <v>109.79093910612036</v>
      </c>
      <c r="G178" s="27">
        <f t="shared" si="11"/>
        <v>-3.1618019761811889E-2</v>
      </c>
    </row>
    <row r="179" spans="1:7" ht="15">
      <c r="A179" s="25">
        <f>Returns!A169</f>
        <v>45169</v>
      </c>
      <c r="B179" s="18">
        <f>B178*(1+Returns!G169)</f>
        <v>102.00089565736542</v>
      </c>
      <c r="C179" s="18">
        <f t="shared" si="8"/>
        <v>107.17024273230841</v>
      </c>
      <c r="D179" s="27">
        <f t="shared" si="9"/>
        <v>-4.8234910579190049E-2</v>
      </c>
      <c r="E179" s="18">
        <f>E178*(1+Returns!H169)</f>
        <v>105.80494304339955</v>
      </c>
      <c r="F179" s="18">
        <f t="shared" si="10"/>
        <v>109.79093910612036</v>
      </c>
      <c r="G179" s="27">
        <f t="shared" si="11"/>
        <v>-3.6305328064168196E-2</v>
      </c>
    </row>
    <row r="180" spans="1:7" ht="15">
      <c r="A180" s="25">
        <f>Returns!A170</f>
        <v>45170</v>
      </c>
      <c r="B180" s="18">
        <f>B179*(1+Returns!G170)</f>
        <v>102.49794158667297</v>
      </c>
      <c r="C180" s="18">
        <f t="shared" si="8"/>
        <v>107.17024273230841</v>
      </c>
      <c r="D180" s="27">
        <f t="shared" si="9"/>
        <v>-4.3597000683351927E-2</v>
      </c>
      <c r="E180" s="18">
        <f>E179*(1+Returns!H170)</f>
        <v>106.80233557802461</v>
      </c>
      <c r="F180" s="18">
        <f t="shared" si="10"/>
        <v>109.79093910612036</v>
      </c>
      <c r="G180" s="27">
        <f t="shared" si="11"/>
        <v>-2.7220857681225064E-2</v>
      </c>
    </row>
    <row r="181" spans="1:7" ht="15">
      <c r="A181" s="25">
        <f>Returns!A171</f>
        <v>45173</v>
      </c>
      <c r="B181" s="18">
        <f>B180*(1+Returns!G171)</f>
        <v>103.08077641092993</v>
      </c>
      <c r="C181" s="18">
        <f t="shared" si="8"/>
        <v>107.17024273230841</v>
      </c>
      <c r="D181" s="27">
        <f t="shared" si="9"/>
        <v>-3.8158599039410768E-2</v>
      </c>
      <c r="E181" s="18">
        <f>E180*(1+Returns!H171)</f>
        <v>107.31614385343751</v>
      </c>
      <c r="F181" s="18">
        <f t="shared" si="10"/>
        <v>109.79093910612036</v>
      </c>
      <c r="G181" s="27">
        <f t="shared" si="11"/>
        <v>-2.2540978999103012E-2</v>
      </c>
    </row>
    <row r="182" spans="1:7" ht="15">
      <c r="A182" s="25">
        <f>Returns!A172</f>
        <v>45174</v>
      </c>
      <c r="B182" s="18">
        <f>B181*(1+Returns!G172)</f>
        <v>103.28959717875719</v>
      </c>
      <c r="C182" s="18">
        <f t="shared" si="8"/>
        <v>107.17024273230841</v>
      </c>
      <c r="D182" s="27">
        <f t="shared" si="9"/>
        <v>-3.621010323961249E-2</v>
      </c>
      <c r="E182" s="18">
        <f>E181*(1+Returns!H172)</f>
        <v>107.56947391536454</v>
      </c>
      <c r="F182" s="18">
        <f t="shared" si="10"/>
        <v>109.79093910612036</v>
      </c>
      <c r="G182" s="27">
        <f t="shared" si="11"/>
        <v>-2.0233593125646099E-2</v>
      </c>
    </row>
    <row r="183" spans="1:7" ht="15">
      <c r="A183" s="25">
        <f>Returns!A173</f>
        <v>45175</v>
      </c>
      <c r="B183" s="18">
        <f>B182*(1+Returns!G173)</f>
        <v>103.49542517994023</v>
      </c>
      <c r="C183" s="18">
        <f t="shared" si="8"/>
        <v>107.17024273230841</v>
      </c>
      <c r="D183" s="27">
        <f t="shared" si="9"/>
        <v>-3.4289532790806487E-2</v>
      </c>
      <c r="E183" s="18">
        <f>E182*(1+Returns!H173)</f>
        <v>107.76813027753067</v>
      </c>
      <c r="F183" s="18">
        <f t="shared" si="10"/>
        <v>109.79093910612036</v>
      </c>
      <c r="G183" s="27">
        <f t="shared" si="11"/>
        <v>-1.8424187324188046E-2</v>
      </c>
    </row>
    <row r="184" spans="1:7" ht="15">
      <c r="A184" s="25">
        <f>Returns!A174</f>
        <v>45176</v>
      </c>
      <c r="B184" s="18">
        <f>B183*(1+Returns!G174)</f>
        <v>103.94642859277087</v>
      </c>
      <c r="C184" s="18">
        <f t="shared" si="8"/>
        <v>107.17024273230841</v>
      </c>
      <c r="D184" s="27">
        <f t="shared" si="9"/>
        <v>-3.0081243238293642E-2</v>
      </c>
      <c r="E184" s="18">
        <f>E183*(1+Returns!H174)</f>
        <v>108.40558225558307</v>
      </c>
      <c r="F184" s="18">
        <f t="shared" si="10"/>
        <v>109.79093910612036</v>
      </c>
      <c r="G184" s="27">
        <f t="shared" si="11"/>
        <v>-1.2618134627651267E-2</v>
      </c>
    </row>
    <row r="185" spans="1:7" ht="15">
      <c r="A185" s="25">
        <f>Returns!A175</f>
        <v>45177</v>
      </c>
      <c r="B185" s="18">
        <f>B184*(1+Returns!G175)</f>
        <v>104.35693908220955</v>
      </c>
      <c r="C185" s="18">
        <f t="shared" si="8"/>
        <v>107.17024273230841</v>
      </c>
      <c r="D185" s="27">
        <f t="shared" si="9"/>
        <v>-2.6250791062645717E-2</v>
      </c>
      <c r="E185" s="18">
        <f>E184*(1+Returns!H175)</f>
        <v>108.91608477922402</v>
      </c>
      <c r="F185" s="18">
        <f t="shared" si="10"/>
        <v>109.79093910612036</v>
      </c>
      <c r="G185" s="27">
        <f t="shared" si="11"/>
        <v>-7.9683654591089503E-3</v>
      </c>
    </row>
    <row r="186" spans="1:7" ht="15">
      <c r="A186" s="25">
        <f>Returns!A176</f>
        <v>45180</v>
      </c>
      <c r="B186" s="18">
        <f>B185*(1+Returns!G176)</f>
        <v>105.20539840597</v>
      </c>
      <c r="C186" s="18">
        <f t="shared" si="8"/>
        <v>107.17024273230841</v>
      </c>
      <c r="D186" s="27">
        <f t="shared" si="9"/>
        <v>-1.8333860932332025E-2</v>
      </c>
      <c r="E186" s="18">
        <f>E185*(1+Returns!H176)</f>
        <v>109.88545355450954</v>
      </c>
      <c r="F186" s="18">
        <f t="shared" si="10"/>
        <v>109.88545355450954</v>
      </c>
      <c r="G186" s="27">
        <f t="shared" si="11"/>
        <v>0</v>
      </c>
    </row>
    <row r="187" spans="1:7" ht="15">
      <c r="A187" s="25">
        <f>Returns!A177</f>
        <v>45181</v>
      </c>
      <c r="B187" s="18">
        <f>B186*(1+Returns!G177)</f>
        <v>105.9741320428685</v>
      </c>
      <c r="C187" s="18">
        <f t="shared" si="8"/>
        <v>107.17024273230841</v>
      </c>
      <c r="D187" s="27">
        <f t="shared" si="9"/>
        <v>-1.1160847068598767E-2</v>
      </c>
      <c r="E187" s="18">
        <f>E186*(1+Returns!H177)</f>
        <v>109.86814128954795</v>
      </c>
      <c r="F187" s="18">
        <f t="shared" si="10"/>
        <v>109.88545355450954</v>
      </c>
      <c r="G187" s="27">
        <f t="shared" si="11"/>
        <v>-1.575482868895195E-4</v>
      </c>
    </row>
    <row r="188" spans="1:7" ht="15">
      <c r="A188" s="25">
        <f>Returns!A178</f>
        <v>45182</v>
      </c>
      <c r="B188" s="18">
        <f>B187*(1+Returns!G178)</f>
        <v>106.10295075229568</v>
      </c>
      <c r="C188" s="18">
        <f t="shared" si="8"/>
        <v>107.17024273230841</v>
      </c>
      <c r="D188" s="27">
        <f t="shared" si="9"/>
        <v>-9.9588463439298502E-3</v>
      </c>
      <c r="E188" s="18">
        <f>E187*(1+Returns!H178)</f>
        <v>110.29018275440814</v>
      </c>
      <c r="F188" s="18">
        <f t="shared" si="10"/>
        <v>110.29018275440814</v>
      </c>
      <c r="G188" s="27">
        <f t="shared" si="11"/>
        <v>0</v>
      </c>
    </row>
    <row r="189" spans="1:7" ht="15">
      <c r="A189" s="25">
        <f>Returns!A179</f>
        <v>45183</v>
      </c>
      <c r="B189" s="18">
        <f>B188*(1+Returns!G179)</f>
        <v>106.12235685590743</v>
      </c>
      <c r="C189" s="18">
        <f t="shared" si="8"/>
        <v>107.17024273230841</v>
      </c>
      <c r="D189" s="27">
        <f t="shared" si="9"/>
        <v>-9.7777689933801204E-3</v>
      </c>
      <c r="E189" s="18">
        <f>E188*(1+Returns!H179)</f>
        <v>110.47207423258791</v>
      </c>
      <c r="F189" s="18">
        <f t="shared" si="10"/>
        <v>110.47207423258791</v>
      </c>
      <c r="G189" s="27">
        <f t="shared" si="11"/>
        <v>0</v>
      </c>
    </row>
    <row r="190" spans="1:7" ht="15">
      <c r="A190" s="25">
        <f>Returns!A180</f>
        <v>45184</v>
      </c>
      <c r="B190" s="18">
        <f>B189*(1+Returns!G180)</f>
        <v>106.82967458396804</v>
      </c>
      <c r="C190" s="18">
        <f t="shared" si="8"/>
        <v>107.17024273230841</v>
      </c>
      <c r="D190" s="27">
        <f t="shared" si="9"/>
        <v>-3.177823803115265E-3</v>
      </c>
      <c r="E190" s="18">
        <f>E189*(1+Returns!H180)</f>
        <v>110.96252758639113</v>
      </c>
      <c r="F190" s="18">
        <f t="shared" si="10"/>
        <v>110.96252758639113</v>
      </c>
      <c r="G190" s="27">
        <f t="shared" si="11"/>
        <v>0</v>
      </c>
    </row>
    <row r="191" spans="1:7" ht="15">
      <c r="A191" s="25">
        <f>Returns!A181</f>
        <v>45187</v>
      </c>
      <c r="B191" s="18">
        <f>B190*(1+Returns!G181)</f>
        <v>105.8719680262266</v>
      </c>
      <c r="C191" s="18">
        <f t="shared" si="8"/>
        <v>107.17024273230841</v>
      </c>
      <c r="D191" s="27">
        <f t="shared" si="9"/>
        <v>-1.2114134231501761E-2</v>
      </c>
      <c r="E191" s="18">
        <f>E190*(1+Returns!H181)</f>
        <v>110.63803799768462</v>
      </c>
      <c r="F191" s="18">
        <f t="shared" si="10"/>
        <v>110.96252758639113</v>
      </c>
      <c r="G191" s="27">
        <f t="shared" si="11"/>
        <v>-2.9243168460981739E-3</v>
      </c>
    </row>
    <row r="192" spans="1:7" ht="15">
      <c r="A192" s="25">
        <f>Returns!A182</f>
        <v>45189</v>
      </c>
      <c r="B192" s="18">
        <f>B191*(1+Returns!G182)</f>
        <v>104.15431183945971</v>
      </c>
      <c r="C192" s="18">
        <f t="shared" si="8"/>
        <v>107.17024273230841</v>
      </c>
      <c r="D192" s="27">
        <f t="shared" si="9"/>
        <v>-2.8141495399818584E-2</v>
      </c>
      <c r="E192" s="18">
        <f>E191*(1+Returns!H182)</f>
        <v>109.36368142255508</v>
      </c>
      <c r="F192" s="18">
        <f t="shared" si="10"/>
        <v>110.96252758639113</v>
      </c>
      <c r="G192" s="27">
        <f t="shared" si="11"/>
        <v>-1.4408883779177262E-2</v>
      </c>
    </row>
    <row r="193" spans="1:7" ht="15">
      <c r="A193" s="25">
        <f>Returns!A183</f>
        <v>45190</v>
      </c>
      <c r="B193" s="18">
        <f>B192*(1+Returns!G183)</f>
        <v>103.35224365106275</v>
      </c>
      <c r="C193" s="18">
        <f t="shared" si="8"/>
        <v>107.17024273230841</v>
      </c>
      <c r="D193" s="27">
        <f t="shared" si="9"/>
        <v>-3.5625552241981162E-2</v>
      </c>
      <c r="E193" s="18">
        <f>E192*(1+Returns!H183)</f>
        <v>108.48965353360171</v>
      </c>
      <c r="F193" s="18">
        <f t="shared" si="10"/>
        <v>110.96252758639113</v>
      </c>
      <c r="G193" s="27">
        <f t="shared" si="11"/>
        <v>-2.2285668023055205E-2</v>
      </c>
    </row>
    <row r="194" spans="1:7" ht="15">
      <c r="A194" s="25">
        <f>Returns!A184</f>
        <v>45191</v>
      </c>
      <c r="B194" s="18">
        <f>B193*(1+Returns!G184)</f>
        <v>102.75294220957095</v>
      </c>
      <c r="C194" s="18">
        <f t="shared" si="8"/>
        <v>107.17024273230841</v>
      </c>
      <c r="D194" s="27">
        <f t="shared" si="9"/>
        <v>-4.1217603040902606E-2</v>
      </c>
      <c r="E194" s="18">
        <f>E193*(1+Returns!H184)</f>
        <v>108.11542740687163</v>
      </c>
      <c r="F194" s="18">
        <f t="shared" si="10"/>
        <v>110.96252758639113</v>
      </c>
      <c r="G194" s="27">
        <f t="shared" si="11"/>
        <v>-2.5658213105346439E-2</v>
      </c>
    </row>
    <row r="195" spans="1:7" ht="15">
      <c r="A195" s="25">
        <f>Returns!A185</f>
        <v>45194</v>
      </c>
      <c r="B195" s="18">
        <f>B194*(1+Returns!G185)</f>
        <v>102.33780569766435</v>
      </c>
      <c r="C195" s="18">
        <f t="shared" si="8"/>
        <v>107.17024273230841</v>
      </c>
      <c r="D195" s="27">
        <f t="shared" si="9"/>
        <v>-4.5091220393282061E-2</v>
      </c>
      <c r="E195" s="18">
        <f>E194*(1+Returns!H185)</f>
        <v>108.11708028275763</v>
      </c>
      <c r="F195" s="18">
        <f t="shared" si="10"/>
        <v>110.96252758639113</v>
      </c>
      <c r="G195" s="27">
        <f t="shared" si="11"/>
        <v>-2.5643317302935009E-2</v>
      </c>
    </row>
    <row r="196" spans="1:7" ht="15">
      <c r="A196" s="25">
        <f>Returns!A186</f>
        <v>45195</v>
      </c>
      <c r="B196" s="18">
        <f>B195*(1+Returns!G186)</f>
        <v>102.25689378780396</v>
      </c>
      <c r="C196" s="18">
        <f t="shared" si="8"/>
        <v>107.17024273230841</v>
      </c>
      <c r="D196" s="27">
        <f t="shared" si="9"/>
        <v>-4.5846205245397176E-2</v>
      </c>
      <c r="E196" s="18">
        <f>E195*(1+Returns!H186)</f>
        <v>108.06294323101166</v>
      </c>
      <c r="F196" s="18">
        <f t="shared" si="10"/>
        <v>110.96252758639113</v>
      </c>
      <c r="G196" s="27">
        <f t="shared" si="11"/>
        <v>-2.6131203194898145E-2</v>
      </c>
    </row>
    <row r="197" spans="1:7" ht="15">
      <c r="A197" s="25">
        <f>Returns!A187</f>
        <v>45196</v>
      </c>
      <c r="B197" s="18">
        <f>B196*(1+Returns!G187)</f>
        <v>102.36212355059813</v>
      </c>
      <c r="C197" s="18">
        <f t="shared" si="8"/>
        <v>107.17024273230841</v>
      </c>
      <c r="D197" s="27">
        <f t="shared" si="9"/>
        <v>-4.4864311763481601E-2</v>
      </c>
      <c r="E197" s="18">
        <f>E196*(1+Returns!H187)</f>
        <v>108.34732374708246</v>
      </c>
      <c r="F197" s="18">
        <f t="shared" si="10"/>
        <v>110.96252758639113</v>
      </c>
      <c r="G197" s="27">
        <f t="shared" si="11"/>
        <v>-2.3568351372246665E-2</v>
      </c>
    </row>
    <row r="198" spans="1:7" ht="15">
      <c r="A198" s="25">
        <f>Returns!A188</f>
        <v>45197</v>
      </c>
      <c r="B198" s="18">
        <f>B197*(1+Returns!G188)</f>
        <v>101.33717610859256</v>
      </c>
      <c r="C198" s="18">
        <f t="shared" si="8"/>
        <v>107.17024273230841</v>
      </c>
      <c r="D198" s="27">
        <f t="shared" si="9"/>
        <v>-5.442804341020091E-2</v>
      </c>
      <c r="E198" s="18">
        <f>E197*(1+Returns!H188)</f>
        <v>107.28729365615496</v>
      </c>
      <c r="F198" s="18">
        <f t="shared" si="10"/>
        <v>110.96252758639113</v>
      </c>
      <c r="G198" s="27">
        <f t="shared" si="11"/>
        <v>-3.3121397017337961E-2</v>
      </c>
    </row>
    <row r="199" spans="1:7" ht="15">
      <c r="A199" s="25">
        <f>Returns!A189</f>
        <v>45198</v>
      </c>
      <c r="B199" s="18">
        <f>B198*(1+Returns!G189)</f>
        <v>101.55974100303067</v>
      </c>
      <c r="C199" s="18">
        <f t="shared" si="8"/>
        <v>107.17024273230841</v>
      </c>
      <c r="D199" s="27">
        <f t="shared" si="9"/>
        <v>-5.2351301874828726E-2</v>
      </c>
      <c r="E199" s="18">
        <f>E198*(1+Returns!H189)</f>
        <v>107.91787653961626</v>
      </c>
      <c r="F199" s="18">
        <f t="shared" si="10"/>
        <v>110.96252758639113</v>
      </c>
      <c r="G199" s="27">
        <f t="shared" si="11"/>
        <v>-2.7438551671458922E-2</v>
      </c>
    </row>
    <row r="200" spans="1:7" ht="15">
      <c r="A200" s="25">
        <f>Returns!A190</f>
        <v>45202</v>
      </c>
      <c r="B200" s="18">
        <f>B199*(1+Returns!G190)</f>
        <v>100.67950243615381</v>
      </c>
      <c r="C200" s="18">
        <f t="shared" si="8"/>
        <v>107.17024273230841</v>
      </c>
      <c r="D200" s="27">
        <f t="shared" si="9"/>
        <v>-6.0564762481384649E-2</v>
      </c>
      <c r="E200" s="18">
        <f>E199*(1+Returns!H190)</f>
        <v>107.31586479646974</v>
      </c>
      <c r="F200" s="18">
        <f t="shared" si="10"/>
        <v>110.96252758639113</v>
      </c>
      <c r="G200" s="27">
        <f t="shared" si="11"/>
        <v>-3.2863912432800735E-2</v>
      </c>
    </row>
    <row r="201" spans="1:7" ht="15">
      <c r="A201" s="25">
        <f>Returns!A191</f>
        <v>45203</v>
      </c>
      <c r="B201" s="18">
        <f>B200*(1+Returns!G191)</f>
        <v>101.07624524471025</v>
      </c>
      <c r="C201" s="18">
        <f t="shared" si="8"/>
        <v>107.17024273230841</v>
      </c>
      <c r="D201" s="27">
        <f t="shared" si="9"/>
        <v>-5.6862775825000655E-2</v>
      </c>
      <c r="E201" s="18">
        <f>E200*(1+Returns!H191)</f>
        <v>106.80672535878671</v>
      </c>
      <c r="F201" s="18">
        <f t="shared" si="10"/>
        <v>110.96252758639113</v>
      </c>
      <c r="G201" s="27">
        <f t="shared" si="11"/>
        <v>-3.7452303205412152E-2</v>
      </c>
    </row>
    <row r="202" spans="1:7" ht="15">
      <c r="A202" s="25">
        <f>Returns!A192</f>
        <v>45204</v>
      </c>
      <c r="B202" s="18">
        <f>B201*(1+Returns!G192)</f>
        <v>101.84953337453912</v>
      </c>
      <c r="C202" s="18">
        <f t="shared" si="8"/>
        <v>107.17024273230841</v>
      </c>
      <c r="D202" s="27">
        <f t="shared" si="9"/>
        <v>-4.96472642229564E-2</v>
      </c>
      <c r="E202" s="18">
        <f>E201*(1+Returns!H192)</f>
        <v>107.40928448290845</v>
      </c>
      <c r="F202" s="18">
        <f t="shared" si="10"/>
        <v>110.96252758639113</v>
      </c>
      <c r="G202" s="27">
        <f t="shared" si="11"/>
        <v>-3.2022009418596453E-2</v>
      </c>
    </row>
    <row r="203" spans="1:7" ht="15">
      <c r="A203" s="25">
        <f>Returns!A193</f>
        <v>45205</v>
      </c>
      <c r="B203" s="18">
        <f>B202*(1+Returns!G193)</f>
        <v>102.27598325077655</v>
      </c>
      <c r="C203" s="18">
        <f t="shared" si="8"/>
        <v>107.17024273230841</v>
      </c>
      <c r="D203" s="27">
        <f t="shared" si="9"/>
        <v>-4.5668082452298142E-2</v>
      </c>
      <c r="E203" s="18">
        <f>E202*(1+Returns!H193)</f>
        <v>108.00140043665969</v>
      </c>
      <c r="F203" s="18">
        <f t="shared" si="10"/>
        <v>110.96252758639113</v>
      </c>
      <c r="G203" s="27">
        <f t="shared" si="11"/>
        <v>-2.6685830019742673E-2</v>
      </c>
    </row>
    <row r="204" spans="1:7" ht="15">
      <c r="A204" s="25">
        <f>Returns!A194</f>
        <v>45208</v>
      </c>
      <c r="B204" s="18">
        <f>B203*(1+Returns!G194)</f>
        <v>101.71634078858349</v>
      </c>
      <c r="C204" s="18">
        <f t="shared" si="8"/>
        <v>107.17024273230841</v>
      </c>
      <c r="D204" s="27">
        <f t="shared" si="9"/>
        <v>-5.0890077363618169E-2</v>
      </c>
      <c r="E204" s="18">
        <f>E203*(1+Returns!H194)</f>
        <v>107.22574012884269</v>
      </c>
      <c r="F204" s="18">
        <f t="shared" si="10"/>
        <v>110.96252758639113</v>
      </c>
      <c r="G204" s="27">
        <f t="shared" si="11"/>
        <v>-3.3676120568172263E-2</v>
      </c>
    </row>
    <row r="205" spans="1:7" ht="15">
      <c r="A205" s="25">
        <f>Returns!A195</f>
        <v>45209</v>
      </c>
      <c r="B205" s="18">
        <f>B204*(1+Returns!G195)</f>
        <v>102.32857099319213</v>
      </c>
      <c r="C205" s="18">
        <f t="shared" si="8"/>
        <v>107.17024273230841</v>
      </c>
      <c r="D205" s="27">
        <f t="shared" si="9"/>
        <v>-4.5177388943775099E-2</v>
      </c>
      <c r="E205" s="18">
        <f>E204*(1+Returns!H195)</f>
        <v>108.2011515607763</v>
      </c>
      <c r="F205" s="18">
        <f t="shared" si="10"/>
        <v>110.96252758639113</v>
      </c>
      <c r="G205" s="27">
        <f t="shared" si="11"/>
        <v>-2.4885662625744875E-2</v>
      </c>
    </row>
    <row r="206" spans="1:7" ht="15">
      <c r="A206" s="25">
        <f>Returns!A196</f>
        <v>45210</v>
      </c>
      <c r="B206" s="18">
        <f>B205*(1+Returns!G196)</f>
        <v>102.89800347825459</v>
      </c>
      <c r="C206" s="18">
        <f t="shared" si="8"/>
        <v>107.17024273230841</v>
      </c>
      <c r="D206" s="27">
        <f t="shared" si="9"/>
        <v>-3.9864043834677898E-2</v>
      </c>
      <c r="E206" s="18">
        <f>E205*(1+Returns!H196)</f>
        <v>108.86882755502944</v>
      </c>
      <c r="F206" s="18">
        <f t="shared" si="10"/>
        <v>110.96252758639113</v>
      </c>
      <c r="G206" s="27">
        <f t="shared" si="11"/>
        <v>-1.8868532259519899E-2</v>
      </c>
    </row>
    <row r="207" spans="1:7" ht="15">
      <c r="A207" s="25">
        <f>Returns!A197</f>
        <v>45211</v>
      </c>
      <c r="B207" s="18">
        <f>B206*(1+Returns!G197)</f>
        <v>102.45315751789487</v>
      </c>
      <c r="C207" s="18">
        <f t="shared" si="8"/>
        <v>107.17024273230841</v>
      </c>
      <c r="D207" s="27">
        <f t="shared" si="9"/>
        <v>-4.4014878516193678E-2</v>
      </c>
      <c r="E207" s="18">
        <f>E206*(1+Returns!H197)</f>
        <v>108.77348666869729</v>
      </c>
      <c r="F207" s="18">
        <f t="shared" si="10"/>
        <v>110.96252758639113</v>
      </c>
      <c r="G207" s="27">
        <f t="shared" si="11"/>
        <v>-1.9727749225877611E-2</v>
      </c>
    </row>
    <row r="208" spans="1:7" ht="15">
      <c r="A208" s="25">
        <f>Returns!A198</f>
        <v>45212</v>
      </c>
      <c r="B208" s="18">
        <f>B207*(1+Returns!G198)</f>
        <v>101.97502039029413</v>
      </c>
      <c r="C208" s="18">
        <f t="shared" ref="C208:C271" si="12">MAX(C207,B208)</f>
        <v>107.17024273230841</v>
      </c>
      <c r="D208" s="27">
        <f t="shared" ref="D208:D271" si="13">B208/C208-1</f>
        <v>-4.847635135987316E-2</v>
      </c>
      <c r="E208" s="18">
        <f>E207*(1+Returns!H198)</f>
        <v>108.53746887173185</v>
      </c>
      <c r="F208" s="18">
        <f t="shared" ref="F208:F271" si="14">MAX(F207,E208)</f>
        <v>110.96252758639113</v>
      </c>
      <c r="G208" s="27">
        <f t="shared" ref="G208:G271" si="15">E208/F208-1</f>
        <v>-2.1854753739015464E-2</v>
      </c>
    </row>
    <row r="209" spans="1:7" ht="15">
      <c r="A209" s="25">
        <f>Returns!A199</f>
        <v>45215</v>
      </c>
      <c r="B209" s="18">
        <f>B208*(1+Returns!G199)</f>
        <v>101.58232916108123</v>
      </c>
      <c r="C209" s="18">
        <f t="shared" si="12"/>
        <v>107.17024273230841</v>
      </c>
      <c r="D209" s="27">
        <f t="shared" si="13"/>
        <v>-5.2140532938651285E-2</v>
      </c>
      <c r="E209" s="18">
        <f>E208*(1+Returns!H199)</f>
        <v>108.43140575806142</v>
      </c>
      <c r="F209" s="18">
        <f t="shared" si="14"/>
        <v>110.96252758639113</v>
      </c>
      <c r="G209" s="27">
        <f t="shared" si="15"/>
        <v>-2.2810599969066869E-2</v>
      </c>
    </row>
    <row r="210" spans="1:7" ht="15">
      <c r="A210" s="25">
        <f>Returns!A200</f>
        <v>45216</v>
      </c>
      <c r="B210" s="18">
        <f>B209*(1+Returns!G200)</f>
        <v>101.92648205418344</v>
      </c>
      <c r="C210" s="18">
        <f t="shared" si="12"/>
        <v>107.17024273230841</v>
      </c>
      <c r="D210" s="27">
        <f t="shared" si="13"/>
        <v>-4.8929260067301694E-2</v>
      </c>
      <c r="E210" s="18">
        <f>E209*(1+Returns!H200)</f>
        <v>108.86965399297243</v>
      </c>
      <c r="F210" s="18">
        <f t="shared" si="14"/>
        <v>110.96252758639113</v>
      </c>
      <c r="G210" s="27">
        <f t="shared" si="15"/>
        <v>-1.8861084358314351E-2</v>
      </c>
    </row>
    <row r="211" spans="1:7" ht="15">
      <c r="A211" s="25">
        <f>Returns!A201</f>
        <v>45217</v>
      </c>
      <c r="B211" s="18">
        <f>B210*(1+Returns!G201)</f>
        <v>100.93582209792956</v>
      </c>
      <c r="C211" s="18">
        <f t="shared" si="12"/>
        <v>107.17024273230841</v>
      </c>
      <c r="D211" s="27">
        <f t="shared" si="13"/>
        <v>-5.8173056955290181E-2</v>
      </c>
      <c r="E211" s="18">
        <f>E210*(1+Returns!H201)</f>
        <v>108.09811514191007</v>
      </c>
      <c r="F211" s="18">
        <f t="shared" si="14"/>
        <v>110.96252758639113</v>
      </c>
      <c r="G211" s="27">
        <f t="shared" si="15"/>
        <v>-2.5814232126705527E-2</v>
      </c>
    </row>
    <row r="212" spans="1:7" ht="15">
      <c r="A212" s="25">
        <f>Returns!A202</f>
        <v>45218</v>
      </c>
      <c r="B212" s="18">
        <f>B211*(1+Returns!G202)</f>
        <v>100.33028224501665</v>
      </c>
      <c r="C212" s="18">
        <f t="shared" si="12"/>
        <v>107.17024273230841</v>
      </c>
      <c r="D212" s="27">
        <f t="shared" si="13"/>
        <v>-6.3823318048991662E-2</v>
      </c>
      <c r="E212" s="18">
        <f>E211*(1+Returns!H202)</f>
        <v>107.84313220409706</v>
      </c>
      <c r="F212" s="18">
        <f t="shared" si="14"/>
        <v>110.96252758639113</v>
      </c>
      <c r="G212" s="27">
        <f t="shared" si="15"/>
        <v>-2.811215146361401E-2</v>
      </c>
    </row>
    <row r="213" spans="1:7" ht="15">
      <c r="A213" s="25">
        <f>Returns!A203</f>
        <v>45219</v>
      </c>
      <c r="B213" s="18">
        <f>B212*(1+Returns!G203)</f>
        <v>100.49402434291027</v>
      </c>
      <c r="C213" s="18">
        <f t="shared" si="12"/>
        <v>107.17024273230841</v>
      </c>
      <c r="D213" s="27">
        <f t="shared" si="13"/>
        <v>-6.2295448990202562E-2</v>
      </c>
      <c r="E213" s="18">
        <f>E212*(1+Returns!H203)</f>
        <v>107.39225127491464</v>
      </c>
      <c r="F213" s="18">
        <f t="shared" si="14"/>
        <v>110.96252758639113</v>
      </c>
      <c r="G213" s="27">
        <f t="shared" si="15"/>
        <v>-3.2175513564223879E-2</v>
      </c>
    </row>
    <row r="214" spans="1:7" ht="15">
      <c r="A214" s="25">
        <f>Returns!A204</f>
        <v>45222</v>
      </c>
      <c r="B214" s="18">
        <f>B213*(1+Returns!G204)</f>
        <v>99.098260523087617</v>
      </c>
      <c r="C214" s="18">
        <f t="shared" si="12"/>
        <v>107.17024273230841</v>
      </c>
      <c r="D214" s="27">
        <f t="shared" si="13"/>
        <v>-7.5319249107078323E-2</v>
      </c>
      <c r="E214" s="18">
        <f>E213*(1+Returns!H204)</f>
        <v>105.95853170527201</v>
      </c>
      <c r="F214" s="18">
        <f t="shared" si="14"/>
        <v>110.96252758639113</v>
      </c>
      <c r="G214" s="27">
        <f t="shared" si="15"/>
        <v>-4.5096267992121963E-2</v>
      </c>
    </row>
    <row r="215" spans="1:7" ht="15">
      <c r="A215" s="25">
        <f>Returns!A205</f>
        <v>45224</v>
      </c>
      <c r="B215" s="18">
        <f>B214*(1+Returns!G205)</f>
        <v>98.325582876604713</v>
      </c>
      <c r="C215" s="18">
        <f t="shared" si="12"/>
        <v>107.17024273230841</v>
      </c>
      <c r="D215" s="27">
        <f t="shared" si="13"/>
        <v>-8.2529064320550516E-2</v>
      </c>
      <c r="E215" s="18">
        <f>E214*(1+Returns!H205)</f>
        <v>105.08148785447476</v>
      </c>
      <c r="F215" s="18">
        <f t="shared" si="14"/>
        <v>110.96252758639113</v>
      </c>
      <c r="G215" s="27">
        <f t="shared" si="15"/>
        <v>-5.3000232239100886E-2</v>
      </c>
    </row>
    <row r="216" spans="1:7" ht="15">
      <c r="A216" s="25">
        <f>Returns!A206</f>
        <v>45225</v>
      </c>
      <c r="B216" s="18">
        <f>B215*(1+Returns!G206)</f>
        <v>96.895979593471168</v>
      </c>
      <c r="C216" s="18">
        <f t="shared" si="12"/>
        <v>107.17024273230841</v>
      </c>
      <c r="D216" s="27">
        <f t="shared" si="13"/>
        <v>-9.5868618721900889E-2</v>
      </c>
      <c r="E216" s="18">
        <f>E215*(1+Returns!H206)</f>
        <v>103.62578718214067</v>
      </c>
      <c r="F216" s="18">
        <f t="shared" si="14"/>
        <v>110.96252758639113</v>
      </c>
      <c r="G216" s="27">
        <f t="shared" si="15"/>
        <v>-6.611908149387058E-2</v>
      </c>
    </row>
    <row r="217" spans="1:7" ht="15">
      <c r="A217" s="25">
        <f>Returns!A207</f>
        <v>45226</v>
      </c>
      <c r="B217" s="18">
        <f>B216*(1+Returns!G207)</f>
        <v>97.790244465280068</v>
      </c>
      <c r="C217" s="18">
        <f t="shared" si="12"/>
        <v>107.17024273230841</v>
      </c>
      <c r="D217" s="27">
        <f t="shared" si="13"/>
        <v>-8.7524279388429216E-2</v>
      </c>
      <c r="E217" s="18">
        <f>E216*(1+Returns!H207)</f>
        <v>104.66988955998509</v>
      </c>
      <c r="F217" s="18">
        <f t="shared" si="14"/>
        <v>110.96252758639113</v>
      </c>
      <c r="G217" s="27">
        <f t="shared" si="15"/>
        <v>-5.6709577217469498E-2</v>
      </c>
    </row>
    <row r="218" spans="1:7" ht="15">
      <c r="A218" s="25">
        <f>Returns!A208</f>
        <v>45229</v>
      </c>
      <c r="B218" s="18">
        <f>B217*(1+Returns!G208)</f>
        <v>98.880824271740664</v>
      </c>
      <c r="C218" s="18">
        <f t="shared" si="12"/>
        <v>107.17024273230841</v>
      </c>
      <c r="D218" s="27">
        <f t="shared" si="13"/>
        <v>-7.7348135538641949E-2</v>
      </c>
      <c r="E218" s="18">
        <f>E217*(1+Returns!H208)</f>
        <v>105.184524273341</v>
      </c>
      <c r="F218" s="18">
        <f t="shared" si="14"/>
        <v>110.96252758639113</v>
      </c>
      <c r="G218" s="27">
        <f t="shared" si="15"/>
        <v>-5.2071662738140234E-2</v>
      </c>
    </row>
    <row r="219" spans="1:7" ht="15">
      <c r="A219" s="25">
        <f>Returns!A209</f>
        <v>45230</v>
      </c>
      <c r="B219" s="18">
        <f>B218*(1+Returns!G209)</f>
        <v>98.171025950955496</v>
      </c>
      <c r="C219" s="18">
        <f t="shared" si="12"/>
        <v>107.17024273230841</v>
      </c>
      <c r="D219" s="27">
        <f t="shared" si="13"/>
        <v>-8.3971227011506389E-2</v>
      </c>
      <c r="E219" s="18">
        <f>E218*(1+Returns!H209)</f>
        <v>104.84765958141023</v>
      </c>
      <c r="F219" s="18">
        <f t="shared" si="14"/>
        <v>110.96252758639113</v>
      </c>
      <c r="G219" s="27">
        <f t="shared" si="15"/>
        <v>-5.510750465034342E-2</v>
      </c>
    </row>
    <row r="220" spans="1:7" ht="15">
      <c r="A220" s="25">
        <f>Returns!A210</f>
        <v>45231</v>
      </c>
      <c r="B220" s="18">
        <f>B219*(1+Returns!G210)</f>
        <v>97.843368005925115</v>
      </c>
      <c r="C220" s="18">
        <f t="shared" si="12"/>
        <v>107.17024273230841</v>
      </c>
      <c r="D220" s="27">
        <f t="shared" si="13"/>
        <v>-8.7028586374299E-2</v>
      </c>
      <c r="E220" s="18">
        <f>E219*(1+Returns!H210)</f>
        <v>104.35061618998367</v>
      </c>
      <c r="F220" s="18">
        <f t="shared" si="14"/>
        <v>110.96252758639113</v>
      </c>
      <c r="G220" s="27">
        <f t="shared" si="15"/>
        <v>-5.958688523258171E-2</v>
      </c>
    </row>
    <row r="221" spans="1:7" ht="15">
      <c r="A221" s="25">
        <f>Returns!A211</f>
        <v>45232</v>
      </c>
      <c r="B221" s="18">
        <f>B220*(1+Returns!G211)</f>
        <v>98.564622543686227</v>
      </c>
      <c r="C221" s="18">
        <f t="shared" si="12"/>
        <v>107.17024273230841</v>
      </c>
      <c r="D221" s="27">
        <f t="shared" si="13"/>
        <v>-8.0298597532502014E-2</v>
      </c>
      <c r="E221" s="18">
        <f>E220*(1+Returns!H211)</f>
        <v>105.1424832678515</v>
      </c>
      <c r="F221" s="18">
        <f t="shared" si="14"/>
        <v>110.96252758639113</v>
      </c>
      <c r="G221" s="27">
        <f t="shared" si="15"/>
        <v>-5.2450538439730243E-2</v>
      </c>
    </row>
    <row r="222" spans="1:7" ht="15">
      <c r="A222" s="25">
        <f>Returns!A212</f>
        <v>45233</v>
      </c>
      <c r="B222" s="18">
        <f>B221*(1+Returns!G212)</f>
        <v>99.048663418986763</v>
      </c>
      <c r="C222" s="18">
        <f t="shared" si="12"/>
        <v>107.17024273230841</v>
      </c>
      <c r="D222" s="27">
        <f t="shared" si="13"/>
        <v>-7.5782037123941715E-2</v>
      </c>
      <c r="E222" s="18">
        <f>E221*(1+Returns!H212)</f>
        <v>105.6774462080129</v>
      </c>
      <c r="F222" s="18">
        <f t="shared" si="14"/>
        <v>110.96252758639113</v>
      </c>
      <c r="G222" s="27">
        <f t="shared" si="15"/>
        <v>-4.7629424935940468E-2</v>
      </c>
    </row>
    <row r="223" spans="1:7" ht="15">
      <c r="A223" s="25">
        <f>Returns!A213</f>
        <v>45236</v>
      </c>
      <c r="B223" s="18">
        <f>B222*(1+Returns!G213)</f>
        <v>99.945381575732654</v>
      </c>
      <c r="C223" s="18">
        <f t="shared" si="12"/>
        <v>107.17024273230841</v>
      </c>
      <c r="D223" s="27">
        <f t="shared" si="13"/>
        <v>-6.7414806315425957E-2</v>
      </c>
      <c r="E223" s="18">
        <f>E222*(1+Returns!H213)</f>
        <v>106.67291754274451</v>
      </c>
      <c r="F223" s="18">
        <f t="shared" si="14"/>
        <v>110.96252758639113</v>
      </c>
      <c r="G223" s="27">
        <f t="shared" si="15"/>
        <v>-3.8658186118794902E-2</v>
      </c>
    </row>
    <row r="224" spans="1:7" ht="15">
      <c r="A224" s="25">
        <f>Returns!A214</f>
        <v>45237</v>
      </c>
      <c r="B224" s="18">
        <f>B223*(1+Returns!G214)</f>
        <v>99.656545091823688</v>
      </c>
      <c r="C224" s="18">
        <f t="shared" si="12"/>
        <v>107.17024273230841</v>
      </c>
      <c r="D224" s="27">
        <f t="shared" si="13"/>
        <v>-7.0109924629475406E-2</v>
      </c>
      <c r="E224" s="18">
        <f>E223*(1+Returns!H214)</f>
        <v>106.64516210741243</v>
      </c>
      <c r="F224" s="18">
        <f t="shared" si="14"/>
        <v>110.96252758639113</v>
      </c>
      <c r="G224" s="27">
        <f t="shared" si="15"/>
        <v>-3.890831952811602E-2</v>
      </c>
    </row>
    <row r="225" spans="1:7" ht="15">
      <c r="A225" s="25">
        <f>Returns!A215</f>
        <v>45238</v>
      </c>
      <c r="B225" s="18">
        <f>B224*(1+Returns!G215)</f>
        <v>99.587658109623064</v>
      </c>
      <c r="C225" s="18">
        <f t="shared" si="12"/>
        <v>107.17024273230841</v>
      </c>
      <c r="D225" s="27">
        <f t="shared" si="13"/>
        <v>-7.0752705502638902E-2</v>
      </c>
      <c r="E225" s="18">
        <f>E224*(1+Returns!H215)</f>
        <v>106.84739254535801</v>
      </c>
      <c r="F225" s="18">
        <f t="shared" si="14"/>
        <v>110.96252758639113</v>
      </c>
      <c r="G225" s="27">
        <f t="shared" si="15"/>
        <v>-3.7085808430501355E-2</v>
      </c>
    </row>
    <row r="226" spans="1:7" ht="15">
      <c r="A226" s="25">
        <f>Returns!A216</f>
        <v>45239</v>
      </c>
      <c r="B226" s="18">
        <f>B225*(1+Returns!G216)</f>
        <v>98.869697284284427</v>
      </c>
      <c r="C226" s="18">
        <f t="shared" si="12"/>
        <v>107.17024273230841</v>
      </c>
      <c r="D226" s="27">
        <f t="shared" si="13"/>
        <v>-7.7451960883929472E-2</v>
      </c>
      <c r="E226" s="18">
        <f>E225*(1+Returns!H216)</f>
        <v>106.58252455111001</v>
      </c>
      <c r="F226" s="18">
        <f t="shared" si="14"/>
        <v>110.96252758639113</v>
      </c>
      <c r="G226" s="27">
        <f t="shared" si="15"/>
        <v>-3.9472812403908319E-2</v>
      </c>
    </row>
    <row r="227" spans="1:7" ht="15">
      <c r="A227" s="25">
        <f>Returns!A217</f>
        <v>45240</v>
      </c>
      <c r="B227" s="18">
        <f>B226*(1+Returns!G217)</f>
        <v>98.886452178188549</v>
      </c>
      <c r="C227" s="18">
        <f t="shared" si="12"/>
        <v>107.17024273230841</v>
      </c>
      <c r="D227" s="27">
        <f t="shared" si="13"/>
        <v>-7.7295621834236661E-2</v>
      </c>
      <c r="E227" s="18">
        <f>E226*(1+Returns!H217)</f>
        <v>106.74765114530344</v>
      </c>
      <c r="F227" s="18">
        <f t="shared" si="14"/>
        <v>110.96252758639113</v>
      </c>
      <c r="G227" s="27">
        <f t="shared" si="15"/>
        <v>-3.7984683052629253E-2</v>
      </c>
    </row>
    <row r="228" spans="1:7" ht="15">
      <c r="A228" s="25">
        <f>Returns!A218</f>
        <v>45243</v>
      </c>
      <c r="B228" s="18">
        <f>B227*(1+Returns!G218)</f>
        <v>98.812570376710326</v>
      </c>
      <c r="C228" s="18">
        <f t="shared" si="12"/>
        <v>107.17024273230841</v>
      </c>
      <c r="D228" s="27">
        <f t="shared" si="13"/>
        <v>-7.7985009108116121E-2</v>
      </c>
      <c r="E228" s="18">
        <f>E227*(1+Returns!H218)</f>
        <v>106.84767160232576</v>
      </c>
      <c r="F228" s="18">
        <f t="shared" si="14"/>
        <v>110.96252758639113</v>
      </c>
      <c r="G228" s="27">
        <f t="shared" si="15"/>
        <v>-3.7083293554769692E-2</v>
      </c>
    </row>
    <row r="229" spans="1:7" ht="15">
      <c r="A229" s="25">
        <f>Returns!A219</f>
        <v>45245</v>
      </c>
      <c r="B229" s="18">
        <f>B228*(1+Returns!G219)</f>
        <v>100.45382572517737</v>
      </c>
      <c r="C229" s="18">
        <f t="shared" si="12"/>
        <v>107.17024273230841</v>
      </c>
      <c r="D229" s="27">
        <f t="shared" si="13"/>
        <v>-6.2670540216162585E-2</v>
      </c>
      <c r="E229" s="18">
        <f>E228*(1+Returns!H219)</f>
        <v>108.122017444495</v>
      </c>
      <c r="F229" s="18">
        <f t="shared" si="14"/>
        <v>110.96252758639113</v>
      </c>
      <c r="G229" s="27">
        <f t="shared" si="15"/>
        <v>-2.5598823347680377E-2</v>
      </c>
    </row>
    <row r="230" spans="1:7" ht="15">
      <c r="A230" s="25">
        <f>Returns!A220</f>
        <v>45246</v>
      </c>
      <c r="B230" s="18">
        <f>B229*(1+Returns!G220)</f>
        <v>101.40297780699767</v>
      </c>
      <c r="C230" s="18">
        <f t="shared" si="12"/>
        <v>107.17024273230841</v>
      </c>
      <c r="D230" s="27">
        <f t="shared" si="13"/>
        <v>-5.3814051160790077E-2</v>
      </c>
      <c r="E230" s="18">
        <f>E229*(1+Returns!H220)</f>
        <v>108.61521843613467</v>
      </c>
      <c r="F230" s="18">
        <f t="shared" si="14"/>
        <v>110.96252758639113</v>
      </c>
      <c r="G230" s="27">
        <f t="shared" si="15"/>
        <v>-2.1154070669748726E-2</v>
      </c>
    </row>
    <row r="231" spans="1:7" ht="15">
      <c r="A231" s="25">
        <f>Returns!A221</f>
        <v>45247</v>
      </c>
      <c r="B231" s="18">
        <f>B230*(1+Returns!G221)</f>
        <v>101.01240112980339</v>
      </c>
      <c r="C231" s="18">
        <f t="shared" si="12"/>
        <v>107.17024273230841</v>
      </c>
      <c r="D231" s="27">
        <f t="shared" si="13"/>
        <v>-5.7458501963891018E-2</v>
      </c>
      <c r="E231" s="18">
        <f>E230*(1+Returns!H221)</f>
        <v>108.4316848150292</v>
      </c>
      <c r="F231" s="18">
        <f t="shared" si="14"/>
        <v>110.96252758639113</v>
      </c>
      <c r="G231" s="27">
        <f t="shared" si="15"/>
        <v>-2.2808085093334873E-2</v>
      </c>
    </row>
    <row r="232" spans="1:7" ht="15">
      <c r="A232" s="25">
        <f>Returns!A222</f>
        <v>45250</v>
      </c>
      <c r="B232" s="18">
        <f>B231*(1+Returns!G222)</f>
        <v>101.0299542594084</v>
      </c>
      <c r="C232" s="18">
        <f t="shared" si="12"/>
        <v>107.17024273230841</v>
      </c>
      <c r="D232" s="27">
        <f t="shared" si="13"/>
        <v>-5.7294714618098985E-2</v>
      </c>
      <c r="E232" s="18">
        <f>E231*(1+Returns!H222)</f>
        <v>108.22395910141077</v>
      </c>
      <c r="F232" s="18">
        <f t="shared" si="14"/>
        <v>110.96252758639113</v>
      </c>
      <c r="G232" s="27">
        <f t="shared" si="15"/>
        <v>-2.4680119897667385E-2</v>
      </c>
    </row>
    <row r="233" spans="1:7" ht="15">
      <c r="A233" s="25">
        <f>Returns!A223</f>
        <v>45251</v>
      </c>
      <c r="B233" s="18">
        <f>B232*(1+Returns!G223)</f>
        <v>101.60941038167628</v>
      </c>
      <c r="C233" s="18">
        <f t="shared" si="12"/>
        <v>107.17024273230841</v>
      </c>
      <c r="D233" s="27">
        <f t="shared" si="13"/>
        <v>-5.188783946792086E-2</v>
      </c>
      <c r="E233" s="18">
        <f>E232*(1+Returns!H223)</f>
        <v>108.71523889315701</v>
      </c>
      <c r="F233" s="18">
        <f t="shared" si="14"/>
        <v>110.96252758639113</v>
      </c>
      <c r="G233" s="27">
        <f t="shared" si="15"/>
        <v>-2.0252681171889053E-2</v>
      </c>
    </row>
    <row r="234" spans="1:7" ht="15">
      <c r="A234" s="25">
        <f>Returns!A224</f>
        <v>45252</v>
      </c>
      <c r="B234" s="18">
        <f>B233*(1+Returns!G224)</f>
        <v>101.87783840972469</v>
      </c>
      <c r="C234" s="18">
        <f t="shared" si="12"/>
        <v>107.17024273230841</v>
      </c>
      <c r="D234" s="27">
        <f t="shared" si="13"/>
        <v>-4.9383151401487191E-2</v>
      </c>
      <c r="E234" s="18">
        <f>E233*(1+Returns!H224)</f>
        <v>108.8715751928659</v>
      </c>
      <c r="F234" s="18">
        <f t="shared" si="14"/>
        <v>110.96252758639113</v>
      </c>
      <c r="G234" s="27">
        <f t="shared" si="15"/>
        <v>-1.8843770406160698E-2</v>
      </c>
    </row>
    <row r="235" spans="1:7" ht="15">
      <c r="A235" s="25">
        <f>Returns!A225</f>
        <v>45253</v>
      </c>
      <c r="B235" s="18">
        <f>B234*(1+Returns!G225)</f>
        <v>101.89113846179359</v>
      </c>
      <c r="C235" s="18">
        <f t="shared" si="12"/>
        <v>107.17024273230841</v>
      </c>
      <c r="D235" s="27">
        <f t="shared" si="13"/>
        <v>-4.9259049302529334E-2</v>
      </c>
      <c r="E235" s="18">
        <f>E234*(1+Returns!H225)</f>
        <v>108.81744887408024</v>
      </c>
      <c r="F235" s="18">
        <f t="shared" si="14"/>
        <v>110.96252758639113</v>
      </c>
      <c r="G235" s="27">
        <f t="shared" si="15"/>
        <v>-1.9331559572134061E-2</v>
      </c>
    </row>
    <row r="236" spans="1:7" ht="15">
      <c r="A236" s="25">
        <f>Returns!A226</f>
        <v>45254</v>
      </c>
      <c r="B236" s="18">
        <f>B235*(1+Returns!G226)</f>
        <v>101.73885478060018</v>
      </c>
      <c r="C236" s="18">
        <f t="shared" si="12"/>
        <v>107.17024273230841</v>
      </c>
      <c r="D236" s="27">
        <f t="shared" si="13"/>
        <v>-5.0680000466872488E-2</v>
      </c>
      <c r="E236" s="18">
        <f>E235*(1+Returns!H226)</f>
        <v>108.77732906848421</v>
      </c>
      <c r="F236" s="18">
        <f t="shared" si="14"/>
        <v>110.96252758639113</v>
      </c>
      <c r="G236" s="27">
        <f t="shared" si="15"/>
        <v>-1.9693121321570639E-2</v>
      </c>
    </row>
    <row r="237" spans="1:7" ht="15">
      <c r="A237" s="25">
        <f>Returns!A227</f>
        <v>45258</v>
      </c>
      <c r="B237" s="18">
        <f>B236*(1+Returns!G227)</f>
        <v>101.75593495990165</v>
      </c>
      <c r="C237" s="18">
        <f t="shared" si="12"/>
        <v>107.17024273230841</v>
      </c>
      <c r="D237" s="27">
        <f t="shared" si="13"/>
        <v>-5.052062619593678E-2</v>
      </c>
      <c r="E237" s="18">
        <f>E236*(1+Returns!H227)</f>
        <v>109.29938025740641</v>
      </c>
      <c r="F237" s="18">
        <f t="shared" si="14"/>
        <v>110.96252758639113</v>
      </c>
      <c r="G237" s="27">
        <f t="shared" si="15"/>
        <v>-1.4988369183370098E-2</v>
      </c>
    </row>
    <row r="238" spans="1:7" ht="15">
      <c r="A238" s="25">
        <f>Returns!A228</f>
        <v>45259</v>
      </c>
      <c r="B238" s="18">
        <f>B237*(1+Returns!G228)</f>
        <v>102.99746764941557</v>
      </c>
      <c r="C238" s="18">
        <f t="shared" si="12"/>
        <v>107.17024273230841</v>
      </c>
      <c r="D238" s="27">
        <f t="shared" si="13"/>
        <v>-3.8935948790520758E-2</v>
      </c>
      <c r="E238" s="18">
        <f>E237*(1+Returns!H228)</f>
        <v>110.43635494071431</v>
      </c>
      <c r="F238" s="18">
        <f t="shared" si="14"/>
        <v>110.96252758639113</v>
      </c>
      <c r="G238" s="27">
        <f t="shared" si="15"/>
        <v>-4.7418949182386205E-3</v>
      </c>
    </row>
    <row r="239" spans="1:7" ht="15">
      <c r="A239" s="25">
        <f>Returns!A229</f>
        <v>45260</v>
      </c>
      <c r="B239" s="18">
        <f>B238*(1+Returns!G229)</f>
        <v>102.46544861948649</v>
      </c>
      <c r="C239" s="18">
        <f t="shared" si="12"/>
        <v>107.17024273230841</v>
      </c>
      <c r="D239" s="27">
        <f t="shared" si="13"/>
        <v>-4.3900190882030787E-2</v>
      </c>
      <c r="E239" s="18">
        <f>E238*(1+Returns!H229)</f>
        <v>110.63721155974167</v>
      </c>
      <c r="F239" s="18">
        <f t="shared" si="14"/>
        <v>110.96252758639113</v>
      </c>
      <c r="G239" s="27">
        <f t="shared" si="15"/>
        <v>-2.9317647473033892E-3</v>
      </c>
    </row>
    <row r="240" spans="1:7" ht="15">
      <c r="A240" s="25">
        <f>Returns!A230</f>
        <v>45261</v>
      </c>
      <c r="B240" s="18">
        <f>B239*(1+Returns!G230)</f>
        <v>102.89550596716295</v>
      </c>
      <c r="C240" s="18">
        <f t="shared" si="12"/>
        <v>107.17024273230841</v>
      </c>
      <c r="D240" s="27">
        <f t="shared" si="13"/>
        <v>-3.9887347981687138E-2</v>
      </c>
      <c r="E240" s="18">
        <f>E239*(1+Returns!H230)</f>
        <v>111.37769995666029</v>
      </c>
      <c r="F240" s="18">
        <f t="shared" si="14"/>
        <v>111.37769995666029</v>
      </c>
      <c r="G240" s="27">
        <f t="shared" si="15"/>
        <v>0</v>
      </c>
    </row>
    <row r="241" spans="1:7" ht="15">
      <c r="A241" s="25">
        <f>Returns!A231</f>
        <v>45264</v>
      </c>
      <c r="B241" s="18">
        <f>B240*(1+Returns!G231)</f>
        <v>104.92509226263029</v>
      </c>
      <c r="C241" s="18">
        <f t="shared" si="12"/>
        <v>107.17024273230841</v>
      </c>
      <c r="D241" s="27">
        <f t="shared" si="13"/>
        <v>-2.0949383079089334E-2</v>
      </c>
      <c r="E241" s="18">
        <f>E240*(1+Returns!H231)</f>
        <v>113.67967308261566</v>
      </c>
      <c r="F241" s="18">
        <f t="shared" si="14"/>
        <v>113.67967308261566</v>
      </c>
      <c r="G241" s="27">
        <f t="shared" si="15"/>
        <v>0</v>
      </c>
    </row>
    <row r="242" spans="1:7" ht="15">
      <c r="A242" s="25">
        <f>Returns!A232</f>
        <v>45265</v>
      </c>
      <c r="B242" s="18">
        <f>B241*(1+Returns!G232)</f>
        <v>105.70430545530166</v>
      </c>
      <c r="C242" s="18">
        <f t="shared" si="12"/>
        <v>107.17024273230841</v>
      </c>
      <c r="D242" s="27">
        <f t="shared" si="13"/>
        <v>-1.3678585021668632E-2</v>
      </c>
      <c r="E242" s="18">
        <f>E241*(1+Returns!H232)</f>
        <v>114.60452153858273</v>
      </c>
      <c r="F242" s="18">
        <f t="shared" si="14"/>
        <v>114.60452153858273</v>
      </c>
      <c r="G242" s="27">
        <f t="shared" si="15"/>
        <v>0</v>
      </c>
    </row>
    <row r="243" spans="1:7" ht="15">
      <c r="A243" s="25">
        <f>Returns!A233</f>
        <v>45266</v>
      </c>
      <c r="B243" s="18">
        <f>B242*(1+Returns!G233)</f>
        <v>106.52050133779584</v>
      </c>
      <c r="C243" s="18">
        <f t="shared" si="12"/>
        <v>107.17024273230841</v>
      </c>
      <c r="D243" s="27">
        <f t="shared" si="13"/>
        <v>-6.0627033955266141E-3</v>
      </c>
      <c r="E243" s="18">
        <f>E242*(1+Returns!H233)</f>
        <v>115.05842916256935</v>
      </c>
      <c r="F243" s="18">
        <f t="shared" si="14"/>
        <v>115.05842916256935</v>
      </c>
      <c r="G243" s="27">
        <f t="shared" si="15"/>
        <v>0</v>
      </c>
    </row>
    <row r="244" spans="1:7" ht="15">
      <c r="A244" s="25">
        <f>Returns!A234</f>
        <v>45267</v>
      </c>
      <c r="B244" s="18">
        <f>B243*(1+Returns!G234)</f>
        <v>106.42514165511118</v>
      </c>
      <c r="C244" s="18">
        <f t="shared" si="12"/>
        <v>107.17024273230841</v>
      </c>
      <c r="D244" s="27">
        <f t="shared" si="13"/>
        <v>-6.952499669692469E-3</v>
      </c>
      <c r="E244" s="18">
        <f>E243*(1+Returns!H234)</f>
        <v>114.8575832765023</v>
      </c>
      <c r="F244" s="18">
        <f t="shared" si="14"/>
        <v>115.05842916256935</v>
      </c>
      <c r="G244" s="27">
        <f t="shared" si="15"/>
        <v>-1.7455990623970186E-3</v>
      </c>
    </row>
    <row r="245" spans="1:7" ht="15">
      <c r="A245" s="25">
        <f>Returns!A235</f>
        <v>45268</v>
      </c>
      <c r="B245" s="18">
        <f>B244*(1+Returns!G235)</f>
        <v>107.31612167768706</v>
      </c>
      <c r="C245" s="18">
        <f t="shared" si="12"/>
        <v>107.31612167768706</v>
      </c>
      <c r="D245" s="27">
        <f t="shared" si="13"/>
        <v>0</v>
      </c>
      <c r="E245" s="18">
        <f>E244*(1+Returns!H235)</f>
        <v>115.23263584117537</v>
      </c>
      <c r="F245" s="18">
        <f t="shared" si="14"/>
        <v>115.23263584117537</v>
      </c>
      <c r="G245" s="27">
        <f t="shared" si="15"/>
        <v>0</v>
      </c>
    </row>
    <row r="246" spans="1:7" ht="15">
      <c r="A246" s="25">
        <f>Returns!A236</f>
        <v>45271</v>
      </c>
      <c r="B246" s="18">
        <f>B245*(1+Returns!G236)</f>
        <v>107.48654953963022</v>
      </c>
      <c r="C246" s="18">
        <f t="shared" si="12"/>
        <v>107.48654953963022</v>
      </c>
      <c r="D246" s="27">
        <f t="shared" si="13"/>
        <v>0</v>
      </c>
      <c r="E246" s="18">
        <f>E245*(1+Returns!H236)</f>
        <v>115.38485068412963</v>
      </c>
      <c r="F246" s="18">
        <f t="shared" si="14"/>
        <v>115.38485068412963</v>
      </c>
      <c r="G246" s="27">
        <f t="shared" si="15"/>
        <v>0</v>
      </c>
    </row>
    <row r="247" spans="1:7" ht="15">
      <c r="A247" s="25">
        <f>Returns!A237</f>
        <v>45272</v>
      </c>
      <c r="B247" s="18">
        <f>B246*(1+Returns!G237)</f>
        <v>106.84918578112303</v>
      </c>
      <c r="C247" s="18">
        <f t="shared" si="12"/>
        <v>107.48654953963022</v>
      </c>
      <c r="D247" s="27">
        <f t="shared" si="13"/>
        <v>-5.9297071237011112E-3</v>
      </c>
      <c r="E247" s="18">
        <f>E246*(1+Returns!H237)</f>
        <v>114.88643347378486</v>
      </c>
      <c r="F247" s="18">
        <f t="shared" si="14"/>
        <v>115.38485068412963</v>
      </c>
      <c r="G247" s="27">
        <f t="shared" si="15"/>
        <v>-4.3196070141755527E-3</v>
      </c>
    </row>
    <row r="248" spans="1:7" ht="15">
      <c r="A248" s="25">
        <f>Returns!A238</f>
        <v>45273</v>
      </c>
      <c r="B248" s="18">
        <f>B247*(1+Returns!G238)</f>
        <v>106.11857671348163</v>
      </c>
      <c r="C248" s="18">
        <f t="shared" si="12"/>
        <v>107.48654953963022</v>
      </c>
      <c r="D248" s="27">
        <f t="shared" si="13"/>
        <v>-1.2726921014840298E-2</v>
      </c>
      <c r="E248" s="18">
        <f>E247*(1+Returns!H238)</f>
        <v>114.99605993027441</v>
      </c>
      <c r="F248" s="18">
        <f t="shared" si="14"/>
        <v>115.38485068412963</v>
      </c>
      <c r="G248" s="27">
        <f t="shared" si="15"/>
        <v>-3.3695129954238734E-3</v>
      </c>
    </row>
    <row r="249" spans="1:7" ht="15">
      <c r="A249" s="25">
        <f>Returns!A239</f>
        <v>45274</v>
      </c>
      <c r="B249" s="18">
        <f>B248*(1+Returns!G239)</f>
        <v>108.0824042823172</v>
      </c>
      <c r="C249" s="18">
        <f t="shared" si="12"/>
        <v>108.0824042823172</v>
      </c>
      <c r="D249" s="27">
        <f t="shared" si="13"/>
        <v>0</v>
      </c>
      <c r="E249" s="18">
        <f>E248*(1+Returns!H239)</f>
        <v>116.40477170242139</v>
      </c>
      <c r="F249" s="18">
        <f t="shared" si="14"/>
        <v>116.40477170242139</v>
      </c>
      <c r="G249" s="27">
        <f t="shared" si="15"/>
        <v>0</v>
      </c>
    </row>
    <row r="250" spans="1:7" ht="15">
      <c r="A250" s="25">
        <f>Returns!A240</f>
        <v>45275</v>
      </c>
      <c r="B250" s="18">
        <f>B249*(1+Returns!G240)</f>
        <v>110.56383781156372</v>
      </c>
      <c r="C250" s="18">
        <f t="shared" si="12"/>
        <v>110.56383781156372</v>
      </c>
      <c r="D250" s="27">
        <f t="shared" si="13"/>
        <v>0</v>
      </c>
      <c r="E250" s="18">
        <f>E249*(1+Returns!H240)</f>
        <v>117.91020891277904</v>
      </c>
      <c r="F250" s="18">
        <f t="shared" si="14"/>
        <v>117.91020891277904</v>
      </c>
      <c r="G250" s="27">
        <f t="shared" si="15"/>
        <v>0</v>
      </c>
    </row>
    <row r="251" spans="1:7" ht="15">
      <c r="A251" s="25">
        <f>Returns!A241</f>
        <v>45278</v>
      </c>
      <c r="B251" s="18">
        <f>B250*(1+Returns!G241)</f>
        <v>110.41805591746294</v>
      </c>
      <c r="C251" s="18">
        <f t="shared" si="12"/>
        <v>110.56383781156372</v>
      </c>
      <c r="D251" s="27">
        <f t="shared" si="13"/>
        <v>-1.3185314202753817E-3</v>
      </c>
      <c r="E251" s="18">
        <f>E250*(1+Returns!H241)</f>
        <v>117.70138843721016</v>
      </c>
      <c r="F251" s="18">
        <f t="shared" si="14"/>
        <v>117.91020891277904</v>
      </c>
      <c r="G251" s="27">
        <f t="shared" si="15"/>
        <v>-1.7710126840955187E-3</v>
      </c>
    </row>
    <row r="252" spans="1:7" ht="15">
      <c r="A252" s="25">
        <f>Returns!A242</f>
        <v>45279</v>
      </c>
      <c r="B252" s="18">
        <f>B251*(1+Returns!G242)</f>
        <v>110.37020957915965</v>
      </c>
      <c r="C252" s="18">
        <f t="shared" si="12"/>
        <v>110.56383781156372</v>
      </c>
      <c r="D252" s="27">
        <f t="shared" si="13"/>
        <v>-1.7512799504487697E-3</v>
      </c>
      <c r="E252" s="18">
        <f>E251*(1+Returns!H242)</f>
        <v>117.89069639095624</v>
      </c>
      <c r="F252" s="18">
        <f t="shared" si="14"/>
        <v>117.91020891277904</v>
      </c>
      <c r="G252" s="27">
        <f t="shared" si="15"/>
        <v>-1.6548627979484642E-4</v>
      </c>
    </row>
    <row r="253" spans="1:7" ht="15">
      <c r="A253" s="25">
        <f>Returns!A243</f>
        <v>45280</v>
      </c>
      <c r="B253" s="18">
        <f>B252*(1+Returns!G243)</f>
        <v>109.51957559933733</v>
      </c>
      <c r="C253" s="18">
        <f t="shared" si="12"/>
        <v>110.56383781156372</v>
      </c>
      <c r="D253" s="27">
        <f t="shared" si="13"/>
        <v>-9.4448802872250104E-3</v>
      </c>
      <c r="E253" s="18">
        <f>E252*(1+Returns!H243)</f>
        <v>116.22590691904578</v>
      </c>
      <c r="F253" s="18">
        <f t="shared" si="14"/>
        <v>117.91020891277904</v>
      </c>
      <c r="G253" s="27">
        <f t="shared" si="15"/>
        <v>-1.4284615465139039E-2</v>
      </c>
    </row>
    <row r="254" spans="1:7" ht="15">
      <c r="A254" s="25">
        <f>Returns!A244</f>
        <v>45281</v>
      </c>
      <c r="B254" s="18">
        <f>B253*(1+Returns!G244)</f>
        <v>110.39603282015059</v>
      </c>
      <c r="C254" s="18">
        <f t="shared" si="12"/>
        <v>110.56383781156372</v>
      </c>
      <c r="D254" s="27">
        <f t="shared" si="13"/>
        <v>-1.5177203933451899E-3</v>
      </c>
      <c r="E254" s="18">
        <f>E253*(1+Returns!H244)</f>
        <v>116.80236348372142</v>
      </c>
      <c r="F254" s="18">
        <f t="shared" si="14"/>
        <v>117.91020891277904</v>
      </c>
      <c r="G254" s="27">
        <f t="shared" si="15"/>
        <v>-9.3956701397850395E-3</v>
      </c>
    </row>
    <row r="255" spans="1:7" ht="15">
      <c r="A255" s="25">
        <f>Returns!A245</f>
        <v>45282</v>
      </c>
      <c r="B255" s="18">
        <f>B254*(1+Returns!G245)</f>
        <v>110.49987770962016</v>
      </c>
      <c r="C255" s="18">
        <f t="shared" si="12"/>
        <v>110.56383781156372</v>
      </c>
      <c r="D255" s="27">
        <f t="shared" si="13"/>
        <v>-5.7849024789247139E-4</v>
      </c>
      <c r="E255" s="18">
        <f>E254*(1+Returns!H245)</f>
        <v>117.32084059686422</v>
      </c>
      <c r="F255" s="18">
        <f t="shared" si="14"/>
        <v>117.91020891277904</v>
      </c>
      <c r="G255" s="27">
        <f t="shared" si="15"/>
        <v>-4.9984502728749325E-3</v>
      </c>
    </row>
    <row r="256" spans="1:7" ht="15">
      <c r="A256" s="25">
        <f>Returns!A246</f>
        <v>45286</v>
      </c>
      <c r="B256" s="18">
        <f>B255*(1+Returns!G246)</f>
        <v>110.47962061537692</v>
      </c>
      <c r="C256" s="18">
        <f t="shared" si="12"/>
        <v>110.56383781156372</v>
      </c>
      <c r="D256" s="27">
        <f t="shared" si="13"/>
        <v>-7.6170652044782461E-4</v>
      </c>
      <c r="E256" s="18">
        <f>E255*(1+Returns!H246)</f>
        <v>117.82612690180007</v>
      </c>
      <c r="F256" s="18">
        <f t="shared" si="14"/>
        <v>117.91020891277904</v>
      </c>
      <c r="G256" s="27">
        <f t="shared" si="15"/>
        <v>-7.1310204395591548E-4</v>
      </c>
    </row>
    <row r="257" spans="1:7" ht="15">
      <c r="A257" s="25">
        <f>Returns!A247</f>
        <v>45287</v>
      </c>
      <c r="B257" s="18">
        <f>B256*(1+Returns!G247)</f>
        <v>111.37484325728835</v>
      </c>
      <c r="C257" s="18">
        <f t="shared" si="12"/>
        <v>111.37484325728835</v>
      </c>
      <c r="D257" s="27">
        <f t="shared" si="13"/>
        <v>0</v>
      </c>
      <c r="E257" s="18">
        <f>E256*(1+Returns!H247)</f>
        <v>118.99882087698161</v>
      </c>
      <c r="F257" s="18">
        <f t="shared" si="14"/>
        <v>118.99882087698161</v>
      </c>
      <c r="G257" s="27">
        <f t="shared" si="15"/>
        <v>0</v>
      </c>
    </row>
    <row r="258" spans="1:7" ht="15">
      <c r="A258" s="25">
        <f>Returns!A248</f>
        <v>45288</v>
      </c>
      <c r="B258" s="18">
        <f>B257*(1+Returns!G248)</f>
        <v>111.5553518664717</v>
      </c>
      <c r="C258" s="18">
        <f t="shared" si="12"/>
        <v>111.5553518664717</v>
      </c>
      <c r="D258" s="27">
        <f t="shared" si="13"/>
        <v>0</v>
      </c>
      <c r="E258" s="18">
        <f>E257*(1+Returns!H248)</f>
        <v>119.67995600344916</v>
      </c>
      <c r="F258" s="18">
        <f t="shared" si="14"/>
        <v>119.67995600344916</v>
      </c>
      <c r="G258" s="27">
        <f t="shared" si="15"/>
        <v>0</v>
      </c>
    </row>
    <row r="259" spans="1:7" ht="15">
      <c r="A259" s="25">
        <f>Returns!A249</f>
        <v>45289</v>
      </c>
      <c r="B259" s="18">
        <f>B258*(1+Returns!G249)</f>
        <v>110.99591208421387</v>
      </c>
      <c r="C259" s="18">
        <f t="shared" si="12"/>
        <v>111.5553518664717</v>
      </c>
      <c r="D259" s="27">
        <f t="shared" si="13"/>
        <v>-5.0149076032448558E-3</v>
      </c>
      <c r="E259" s="18">
        <f>E258*(1+Returns!H249)</f>
        <v>119.42003590389881</v>
      </c>
      <c r="F259" s="18">
        <f t="shared" si="14"/>
        <v>119.67995600344916</v>
      </c>
      <c r="G259" s="27">
        <f t="shared" si="15"/>
        <v>-2.1717930740454694E-3</v>
      </c>
    </row>
    <row r="260" spans="1:7" ht="15">
      <c r="A260" s="25">
        <f>Returns!A250</f>
        <v>45292</v>
      </c>
      <c r="B260" s="18">
        <f>B259*(1+Returns!G250)</f>
        <v>111.11333610445918</v>
      </c>
      <c r="C260" s="18">
        <f t="shared" si="12"/>
        <v>111.5553518664717</v>
      </c>
      <c r="D260" s="27">
        <f t="shared" si="13"/>
        <v>-3.9622999221193833E-3</v>
      </c>
      <c r="E260" s="18">
        <f>E259*(1+Returns!H250)</f>
        <v>119.4777362984639</v>
      </c>
      <c r="F260" s="18">
        <f t="shared" si="14"/>
        <v>119.67995600344916</v>
      </c>
      <c r="G260" s="27">
        <f t="shared" si="15"/>
        <v>-1.6896706160173247E-3</v>
      </c>
    </row>
    <row r="261" spans="1:7" ht="15">
      <c r="A261" s="25">
        <f>Returns!A251</f>
        <v>45293</v>
      </c>
      <c r="B261" s="18">
        <f>B260*(1+Returns!G251)</f>
        <v>110.72892728418803</v>
      </c>
      <c r="C261" s="18">
        <f t="shared" si="12"/>
        <v>111.5553518664717</v>
      </c>
      <c r="D261" s="27">
        <f t="shared" si="13"/>
        <v>-7.4082020132290038E-3</v>
      </c>
      <c r="E261" s="18">
        <f>E260*(1+Returns!H251)</f>
        <v>119.05954796635089</v>
      </c>
      <c r="F261" s="18">
        <f t="shared" si="14"/>
        <v>119.67995600344916</v>
      </c>
      <c r="G261" s="27">
        <f t="shared" si="15"/>
        <v>-5.1838925900038468E-3</v>
      </c>
    </row>
    <row r="262" spans="1:7" ht="15">
      <c r="A262" s="25">
        <f>Returns!A252</f>
        <v>45294</v>
      </c>
      <c r="B262" s="18">
        <f>B261*(1+Returns!G252)</f>
        <v>109.01555199693522</v>
      </c>
      <c r="C262" s="18">
        <f t="shared" si="12"/>
        <v>111.5553518664717</v>
      </c>
      <c r="D262" s="27">
        <f t="shared" si="13"/>
        <v>-2.2767171875147207E-2</v>
      </c>
      <c r="E262" s="18">
        <f>E261*(1+Returns!H252)</f>
        <v>118.24376785293785</v>
      </c>
      <c r="F262" s="18">
        <f t="shared" si="14"/>
        <v>119.67995600344916</v>
      </c>
      <c r="G262" s="27">
        <f t="shared" si="15"/>
        <v>-1.2000239626340781E-2</v>
      </c>
    </row>
    <row r="263" spans="1:7" ht="15">
      <c r="A263" s="25">
        <f>Returns!A253</f>
        <v>45295</v>
      </c>
      <c r="B263" s="18">
        <f>B262*(1+Returns!G253)</f>
        <v>109.60210842590017</v>
      </c>
      <c r="C263" s="18">
        <f t="shared" si="12"/>
        <v>111.5553518664717</v>
      </c>
      <c r="D263" s="27">
        <f t="shared" si="13"/>
        <v>-1.7509186317743897E-2</v>
      </c>
      <c r="E263" s="18">
        <f>E262*(1+Returns!H253)</f>
        <v>119.01997554173008</v>
      </c>
      <c r="F263" s="18">
        <f t="shared" si="14"/>
        <v>119.67995600344916</v>
      </c>
      <c r="G263" s="27">
        <f t="shared" si="15"/>
        <v>-5.5145446552475885E-3</v>
      </c>
    </row>
    <row r="264" spans="1:7" ht="15">
      <c r="A264" s="25">
        <f>Returns!A254</f>
        <v>45296</v>
      </c>
      <c r="B264" s="18">
        <f>B263*(1+Returns!G254)</f>
        <v>110.32839882132413</v>
      </c>
      <c r="C264" s="18">
        <f t="shared" si="12"/>
        <v>111.5553518664717</v>
      </c>
      <c r="D264" s="27">
        <f t="shared" si="13"/>
        <v>-1.0998603156361253E-2</v>
      </c>
      <c r="E264" s="18">
        <f>E263*(1+Returns!H254)</f>
        <v>119.30683537162982</v>
      </c>
      <c r="F264" s="18">
        <f t="shared" si="14"/>
        <v>119.67995600344916</v>
      </c>
      <c r="G264" s="27">
        <f t="shared" si="15"/>
        <v>-3.1176534841690362E-3</v>
      </c>
    </row>
    <row r="265" spans="1:7" ht="15">
      <c r="A265" s="25">
        <f>Returns!A255</f>
        <v>45299</v>
      </c>
      <c r="B265" s="18">
        <f>B264*(1+Returns!G255)</f>
        <v>109.15375411953039</v>
      </c>
      <c r="C265" s="18">
        <f t="shared" si="12"/>
        <v>111.5553518664717</v>
      </c>
      <c r="D265" s="27">
        <f t="shared" si="13"/>
        <v>-2.1528305964342631E-2</v>
      </c>
      <c r="E265" s="18">
        <f>E264*(1+Returns!H255)</f>
        <v>118.21986555035292</v>
      </c>
      <c r="F265" s="18">
        <f t="shared" si="14"/>
        <v>119.67995600344916</v>
      </c>
      <c r="G265" s="27">
        <f t="shared" si="15"/>
        <v>-1.2199958137135036E-2</v>
      </c>
    </row>
    <row r="266" spans="1:7" ht="15">
      <c r="A266" s="25">
        <f>Returns!A256</f>
        <v>45300</v>
      </c>
      <c r="B266" s="18">
        <f>B265*(1+Returns!G256)</f>
        <v>108.97028010182616</v>
      </c>
      <c r="C266" s="18">
        <f t="shared" si="12"/>
        <v>111.5553518664717</v>
      </c>
      <c r="D266" s="27">
        <f t="shared" si="13"/>
        <v>-2.3172996377079147E-2</v>
      </c>
      <c r="E266" s="18">
        <f>E265*(1+Returns!H256)</f>
        <v>118.39488793394162</v>
      </c>
      <c r="F266" s="18">
        <f t="shared" si="14"/>
        <v>119.67995600344916</v>
      </c>
      <c r="G266" s="27">
        <f t="shared" si="15"/>
        <v>-1.0737537950552989E-2</v>
      </c>
    </row>
    <row r="267" spans="1:7" ht="15">
      <c r="A267" s="25">
        <f>Returns!A257</f>
        <v>45301</v>
      </c>
      <c r="B267" s="18">
        <f>B266*(1+Returns!G257)</f>
        <v>110.05315948956753</v>
      </c>
      <c r="C267" s="18">
        <f t="shared" si="12"/>
        <v>111.5553518664717</v>
      </c>
      <c r="D267" s="27">
        <f t="shared" si="13"/>
        <v>-1.3465892507804056E-2</v>
      </c>
      <c r="E267" s="18">
        <f>E266*(1+Returns!H257)</f>
        <v>118.80071189579066</v>
      </c>
      <c r="F267" s="18">
        <f t="shared" si="14"/>
        <v>119.67995600344916</v>
      </c>
      <c r="G267" s="27">
        <f t="shared" si="15"/>
        <v>-7.3466279318582517E-3</v>
      </c>
    </row>
    <row r="268" spans="1:7" ht="15">
      <c r="A268" s="25">
        <f>Returns!A258</f>
        <v>45302</v>
      </c>
      <c r="B268" s="18">
        <f>B267*(1+Returns!G258)</f>
        <v>110.48397723677944</v>
      </c>
      <c r="C268" s="18">
        <f t="shared" si="12"/>
        <v>111.5553518664717</v>
      </c>
      <c r="D268" s="27">
        <f t="shared" si="13"/>
        <v>-9.603973379732289E-3</v>
      </c>
      <c r="E268" s="18">
        <f>E267*(1+Returns!H258)</f>
        <v>118.95732725246732</v>
      </c>
      <c r="F268" s="18">
        <f t="shared" si="14"/>
        <v>119.67995600344916</v>
      </c>
      <c r="G268" s="27">
        <f t="shared" si="15"/>
        <v>-6.0380098314960495E-3</v>
      </c>
    </row>
    <row r="269" spans="1:7" ht="15">
      <c r="A269" s="25">
        <f>Returns!A259</f>
        <v>45303</v>
      </c>
      <c r="B269" s="18">
        <f>B268*(1+Returns!G259)</f>
        <v>112.96558687930803</v>
      </c>
      <c r="C269" s="18">
        <f t="shared" si="12"/>
        <v>112.96558687930803</v>
      </c>
      <c r="D269" s="27">
        <f t="shared" si="13"/>
        <v>0</v>
      </c>
      <c r="E269" s="18">
        <f>E268*(1+Returns!H259)</f>
        <v>120.31659227651882</v>
      </c>
      <c r="F269" s="18">
        <f t="shared" si="14"/>
        <v>120.31659227651882</v>
      </c>
      <c r="G269" s="27">
        <f t="shared" si="15"/>
        <v>0</v>
      </c>
    </row>
    <row r="270" spans="1:7" ht="15">
      <c r="A270" s="25">
        <f>Returns!A260</f>
        <v>45306</v>
      </c>
      <c r="B270" s="18">
        <f>B269*(1+Returns!G260)</f>
        <v>114.63432313784855</v>
      </c>
      <c r="C270" s="18">
        <f t="shared" si="12"/>
        <v>114.63432313784855</v>
      </c>
      <c r="D270" s="27">
        <f t="shared" si="13"/>
        <v>0</v>
      </c>
      <c r="E270" s="18">
        <f>E269*(1+Returns!H260)</f>
        <v>121.43157512417497</v>
      </c>
      <c r="F270" s="18">
        <f t="shared" si="14"/>
        <v>121.43157512417497</v>
      </c>
      <c r="G270" s="27">
        <f t="shared" si="15"/>
        <v>0</v>
      </c>
    </row>
    <row r="271" spans="1:7" ht="15">
      <c r="A271" s="25">
        <f>Returns!A261</f>
        <v>45307</v>
      </c>
      <c r="B271" s="18">
        <f>B270*(1+Returns!G261)</f>
        <v>113.86515365760306</v>
      </c>
      <c r="C271" s="18">
        <f t="shared" si="12"/>
        <v>114.63432313784855</v>
      </c>
      <c r="D271" s="27">
        <f t="shared" si="13"/>
        <v>-6.7097659687890276E-3</v>
      </c>
      <c r="E271" s="18">
        <f>E270*(1+Returns!H261)</f>
        <v>121.07356650045602</v>
      </c>
      <c r="F271" s="18">
        <f t="shared" si="14"/>
        <v>121.43157512417497</v>
      </c>
      <c r="G271" s="27">
        <f t="shared" si="15"/>
        <v>-2.9482333845447517E-3</v>
      </c>
    </row>
    <row r="272" spans="1:7" ht="15">
      <c r="A272" s="25">
        <f>Returns!A262</f>
        <v>45308</v>
      </c>
      <c r="B272" s="18">
        <f>B271*(1+Returns!G262)</f>
        <v>110.95941568680065</v>
      </c>
      <c r="C272" s="18">
        <f t="shared" ref="C272:C335" si="16">MAX(C271,B272)</f>
        <v>114.63432313784855</v>
      </c>
      <c r="D272" s="27">
        <f t="shared" ref="D272:D335" si="17">B272/C272-1</f>
        <v>-3.2057653854934864E-2</v>
      </c>
      <c r="E272" s="18">
        <f>E271*(1+Returns!H262)</f>
        <v>118.54380775808421</v>
      </c>
      <c r="F272" s="18">
        <f t="shared" ref="F272:F335" si="18">MAX(F271,E272)</f>
        <v>121.43157512417497</v>
      </c>
      <c r="G272" s="27">
        <f t="shared" ref="G272:G335" si="19">E272/F272-1</f>
        <v>-2.3781025348125095E-2</v>
      </c>
    </row>
    <row r="273" spans="1:7" ht="15">
      <c r="A273" s="25">
        <f>Returns!A263</f>
        <v>45309</v>
      </c>
      <c r="B273" s="18">
        <f>B272*(1+Returns!G263)</f>
        <v>110.36800107683014</v>
      </c>
      <c r="C273" s="18">
        <f t="shared" si="16"/>
        <v>114.63432313784855</v>
      </c>
      <c r="D273" s="27">
        <f t="shared" si="17"/>
        <v>-3.7216794623440408E-2</v>
      </c>
      <c r="E273" s="18">
        <f>E272*(1+Returns!H263)</f>
        <v>117.94098030995499</v>
      </c>
      <c r="F273" s="18">
        <f t="shared" si="18"/>
        <v>121.43157512417497</v>
      </c>
      <c r="G273" s="27">
        <f t="shared" si="19"/>
        <v>-2.8745363886209296E-2</v>
      </c>
    </row>
    <row r="274" spans="1:7" ht="15">
      <c r="A274" s="25">
        <f>Returns!A264</f>
        <v>45310</v>
      </c>
      <c r="B274" s="18">
        <f>B273*(1+Returns!G264)</f>
        <v>110.8372888788421</v>
      </c>
      <c r="C274" s="18">
        <f t="shared" si="16"/>
        <v>114.63432313784855</v>
      </c>
      <c r="D274" s="27">
        <f t="shared" si="17"/>
        <v>-3.3123013728100337E-2</v>
      </c>
      <c r="E274" s="18">
        <f>E273*(1+Returns!H264)</f>
        <v>118.82105085555645</v>
      </c>
      <c r="F274" s="18">
        <f t="shared" si="18"/>
        <v>121.43157512417497</v>
      </c>
      <c r="G274" s="27">
        <f t="shared" si="19"/>
        <v>-2.1497903374381955E-2</v>
      </c>
    </row>
    <row r="275" spans="1:7" ht="15">
      <c r="A275" s="25">
        <f>Returns!A265</f>
        <v>45314</v>
      </c>
      <c r="B275" s="18">
        <f>B274*(1+Returns!G265)</f>
        <v>109.08279810783765</v>
      </c>
      <c r="C275" s="18">
        <f t="shared" si="16"/>
        <v>114.63432313784855</v>
      </c>
      <c r="D275" s="27">
        <f t="shared" si="17"/>
        <v>-4.8428122381244942E-2</v>
      </c>
      <c r="E275" s="18">
        <f>E274*(1+Returns!H265)</f>
        <v>116.71306525403736</v>
      </c>
      <c r="F275" s="18">
        <f t="shared" si="18"/>
        <v>121.43157512417497</v>
      </c>
      <c r="G275" s="27">
        <f t="shared" si="19"/>
        <v>-3.8857355389753434E-2</v>
      </c>
    </row>
    <row r="276" spans="1:7" ht="15">
      <c r="A276" s="25">
        <f>Returns!A266</f>
        <v>45315</v>
      </c>
      <c r="B276" s="18">
        <f>B275*(1+Returns!G266)</f>
        <v>109.70598053035491</v>
      </c>
      <c r="C276" s="18">
        <f t="shared" si="16"/>
        <v>114.63432313784855</v>
      </c>
      <c r="D276" s="27">
        <f t="shared" si="17"/>
        <v>-4.2991858568984465E-2</v>
      </c>
      <c r="E276" s="18">
        <f>E275*(1+Returns!H266)</f>
        <v>117.8953652286861</v>
      </c>
      <c r="F276" s="18">
        <f t="shared" si="18"/>
        <v>121.43157512417497</v>
      </c>
      <c r="G276" s="27">
        <f t="shared" si="19"/>
        <v>-2.9121008204602172E-2</v>
      </c>
    </row>
    <row r="277" spans="1:7" ht="15">
      <c r="A277" s="25">
        <f>Returns!A267</f>
        <v>45316</v>
      </c>
      <c r="B277" s="18">
        <f>B276*(1+Returns!G267)</f>
        <v>109.43339541783706</v>
      </c>
      <c r="C277" s="18">
        <f t="shared" si="16"/>
        <v>114.63432313784855</v>
      </c>
      <c r="D277" s="27">
        <f t="shared" si="17"/>
        <v>-4.5369725032155861E-2</v>
      </c>
      <c r="E277" s="18">
        <f>E276*(1+Returns!H267)</f>
        <v>117.33842118583325</v>
      </c>
      <c r="F277" s="18">
        <f t="shared" si="18"/>
        <v>121.43157512417497</v>
      </c>
      <c r="G277" s="27">
        <f t="shared" si="19"/>
        <v>-3.370749275183238E-2</v>
      </c>
    </row>
    <row r="278" spans="1:7" ht="15">
      <c r="A278" s="25">
        <f>Returns!A268</f>
        <v>45320</v>
      </c>
      <c r="B278" s="18">
        <f>B277*(1+Returns!G268)</f>
        <v>111.65876933383564</v>
      </c>
      <c r="C278" s="18">
        <f t="shared" si="16"/>
        <v>114.63432313784855</v>
      </c>
      <c r="D278" s="27">
        <f t="shared" si="17"/>
        <v>-2.5956918683375463E-2</v>
      </c>
      <c r="E278" s="18">
        <f>E277*(1+Returns!H268)</f>
        <v>119.45410231988643</v>
      </c>
      <c r="F278" s="18">
        <f t="shared" si="18"/>
        <v>121.43157512417497</v>
      </c>
      <c r="G278" s="27">
        <f t="shared" si="19"/>
        <v>-1.6284667330275449E-2</v>
      </c>
    </row>
    <row r="279" spans="1:7" ht="15">
      <c r="A279" s="25">
        <f>Returns!A269</f>
        <v>45321</v>
      </c>
      <c r="B279" s="18">
        <f>B278*(1+Returns!G269)</f>
        <v>110.63439404231495</v>
      </c>
      <c r="C279" s="18">
        <f t="shared" si="16"/>
        <v>114.63432313784855</v>
      </c>
      <c r="D279" s="27">
        <f t="shared" si="17"/>
        <v>-3.4892944678738713E-2</v>
      </c>
      <c r="E279" s="18">
        <f>E278*(1+Returns!H269)</f>
        <v>118.26987041238394</v>
      </c>
      <c r="F279" s="18">
        <f t="shared" si="18"/>
        <v>121.43157512417497</v>
      </c>
      <c r="G279" s="27">
        <f t="shared" si="19"/>
        <v>-2.6036924157146868E-2</v>
      </c>
    </row>
    <row r="280" spans="1:7" ht="15">
      <c r="A280" s="25">
        <f>Returns!A270</f>
        <v>45322</v>
      </c>
      <c r="B280" s="18">
        <f>B279*(1+Returns!G270)</f>
        <v>111.72542632227844</v>
      </c>
      <c r="C280" s="18">
        <f t="shared" si="16"/>
        <v>114.63432313784855</v>
      </c>
      <c r="D280" s="27">
        <f t="shared" si="17"/>
        <v>-2.5375443723535951E-2</v>
      </c>
      <c r="E280" s="18">
        <f>E279*(1+Returns!H270)</f>
        <v>119.38870639278727</v>
      </c>
      <c r="F280" s="18">
        <f t="shared" si="18"/>
        <v>121.43157512417497</v>
      </c>
      <c r="G280" s="27">
        <f t="shared" si="19"/>
        <v>-1.6823208702503312E-2</v>
      </c>
    </row>
    <row r="281" spans="1:7" ht="15">
      <c r="A281" s="25">
        <f>Returns!A271</f>
        <v>45323</v>
      </c>
      <c r="B281" s="18">
        <f>B280*(1+Returns!G271)</f>
        <v>111.93443197685835</v>
      </c>
      <c r="C281" s="18">
        <f t="shared" si="16"/>
        <v>114.63432313784855</v>
      </c>
      <c r="D281" s="27">
        <f t="shared" si="17"/>
        <v>-2.3552205718906483E-2</v>
      </c>
      <c r="E281" s="18">
        <f>E280*(1+Returns!H271)</f>
        <v>119.23346485502883</v>
      </c>
      <c r="F281" s="18">
        <f t="shared" si="18"/>
        <v>121.43157512417497</v>
      </c>
      <c r="G281" s="27">
        <f t="shared" si="19"/>
        <v>-1.8101636801617471E-2</v>
      </c>
    </row>
    <row r="282" spans="1:7" ht="15">
      <c r="A282" s="25">
        <f>Returns!A272</f>
        <v>45324</v>
      </c>
      <c r="B282" s="18">
        <f>B281*(1+Returns!G272)</f>
        <v>113.15838519868258</v>
      </c>
      <c r="C282" s="18">
        <f t="shared" si="16"/>
        <v>114.63432313784855</v>
      </c>
      <c r="D282" s="27">
        <f t="shared" si="17"/>
        <v>-1.2875183442145444E-2</v>
      </c>
      <c r="E282" s="18">
        <f>E281*(1+Returns!H272)</f>
        <v>120.09265979284956</v>
      </c>
      <c r="F282" s="18">
        <f t="shared" si="18"/>
        <v>121.43157512417497</v>
      </c>
      <c r="G282" s="27">
        <f t="shared" si="19"/>
        <v>-1.1026088807266521E-2</v>
      </c>
    </row>
    <row r="283" spans="1:7" ht="15">
      <c r="A283" s="25">
        <f>Returns!A273</f>
        <v>45327</v>
      </c>
      <c r="B283" s="18">
        <f>B282*(1+Returns!G273)</f>
        <v>112.74053725754396</v>
      </c>
      <c r="C283" s="18">
        <f t="shared" si="16"/>
        <v>114.63432313784855</v>
      </c>
      <c r="D283" s="27">
        <f t="shared" si="17"/>
        <v>-1.6520234328311068E-2</v>
      </c>
      <c r="E283" s="18">
        <f>E282*(1+Returns!H273)</f>
        <v>119.64148907373907</v>
      </c>
      <c r="F283" s="18">
        <f t="shared" si="18"/>
        <v>121.43157512417497</v>
      </c>
      <c r="G283" s="27">
        <f t="shared" si="19"/>
        <v>-1.4741520470317293E-2</v>
      </c>
    </row>
    <row r="284" spans="1:7" ht="15">
      <c r="A284" s="25">
        <f>Returns!A274</f>
        <v>45328</v>
      </c>
      <c r="B284" s="18">
        <f>B283*(1+Returns!G274)</f>
        <v>113.90074936183063</v>
      </c>
      <c r="C284" s="18">
        <f t="shared" si="16"/>
        <v>114.63432313784855</v>
      </c>
      <c r="D284" s="27">
        <f t="shared" si="17"/>
        <v>-6.3992507299562851E-3</v>
      </c>
      <c r="E284" s="18">
        <f>E283*(1+Returns!H274)</f>
        <v>120.50810048712611</v>
      </c>
      <c r="F284" s="18">
        <f t="shared" si="18"/>
        <v>121.43157512417497</v>
      </c>
      <c r="G284" s="27">
        <f t="shared" si="19"/>
        <v>-7.6048971291405865E-3</v>
      </c>
    </row>
    <row r="285" spans="1:7" ht="15">
      <c r="A285" s="25">
        <f>Returns!A275</f>
        <v>45329</v>
      </c>
      <c r="B285" s="18">
        <f>B284*(1+Returns!G275)</f>
        <v>113.19479521855807</v>
      </c>
      <c r="C285" s="18">
        <f t="shared" si="16"/>
        <v>114.63432313784855</v>
      </c>
      <c r="D285" s="27">
        <f t="shared" si="17"/>
        <v>-1.2557564609680161E-2</v>
      </c>
      <c r="E285" s="18">
        <f>E284*(1+Returns!H275)</f>
        <v>120.51414314377419</v>
      </c>
      <c r="F285" s="18">
        <f t="shared" si="18"/>
        <v>121.43157512417497</v>
      </c>
      <c r="G285" s="27">
        <f t="shared" si="19"/>
        <v>-7.5551353053159298E-3</v>
      </c>
    </row>
    <row r="286" spans="1:7" ht="15">
      <c r="A286" s="25">
        <f>Returns!A276</f>
        <v>45330</v>
      </c>
      <c r="B286" s="18">
        <f>B285*(1+Returns!G276)</f>
        <v>112.53779631414807</v>
      </c>
      <c r="C286" s="18">
        <f t="shared" si="16"/>
        <v>114.63432313784855</v>
      </c>
      <c r="D286" s="27">
        <f t="shared" si="17"/>
        <v>-1.8288822809023775E-2</v>
      </c>
      <c r="E286" s="18">
        <f>E285*(1+Returns!H276)</f>
        <v>119.34611800632254</v>
      </c>
      <c r="F286" s="18">
        <f t="shared" si="18"/>
        <v>121.43157512417497</v>
      </c>
      <c r="G286" s="27">
        <f t="shared" si="19"/>
        <v>-1.7173927915534737E-2</v>
      </c>
    </row>
    <row r="287" spans="1:7" ht="15">
      <c r="A287" s="25">
        <f>Returns!A277</f>
        <v>45331</v>
      </c>
      <c r="B287" s="18">
        <f>B286*(1+Returns!G277)</f>
        <v>112.89098231974528</v>
      </c>
      <c r="C287" s="18">
        <f t="shared" si="16"/>
        <v>114.63432313784855</v>
      </c>
      <c r="D287" s="27">
        <f t="shared" si="17"/>
        <v>-1.5207843256568987E-2</v>
      </c>
      <c r="E287" s="18">
        <f>E286*(1+Returns!H277)</f>
        <v>119.70084234419012</v>
      </c>
      <c r="F287" s="18">
        <f t="shared" si="18"/>
        <v>121.43157512417497</v>
      </c>
      <c r="G287" s="27">
        <f t="shared" si="19"/>
        <v>-1.425274092191442E-2</v>
      </c>
    </row>
    <row r="288" spans="1:7" ht="15">
      <c r="A288" s="25">
        <f>Returns!A278</f>
        <v>45334</v>
      </c>
      <c r="B288" s="18">
        <f>B287*(1+Returns!G278)</f>
        <v>112.24865551358954</v>
      </c>
      <c r="C288" s="18">
        <f t="shared" si="16"/>
        <v>114.63432313784855</v>
      </c>
      <c r="D288" s="27">
        <f t="shared" si="17"/>
        <v>-2.0811111008962269E-2</v>
      </c>
      <c r="E288" s="18">
        <f>E287*(1+Returns!H278)</f>
        <v>118.78615800162579</v>
      </c>
      <c r="F288" s="18">
        <f t="shared" si="18"/>
        <v>121.43157512417497</v>
      </c>
      <c r="G288" s="27">
        <f t="shared" si="19"/>
        <v>-2.178524918122815E-2</v>
      </c>
    </row>
    <row r="289" spans="1:7" ht="15">
      <c r="A289" s="25">
        <f>Returns!A279</f>
        <v>45335</v>
      </c>
      <c r="B289" s="18">
        <f>B288*(1+Returns!G279)</f>
        <v>113.18695995529838</v>
      </c>
      <c r="C289" s="18">
        <f t="shared" si="16"/>
        <v>114.63432313784855</v>
      </c>
      <c r="D289" s="27">
        <f t="shared" si="17"/>
        <v>-1.2625914673127236E-2</v>
      </c>
      <c r="E289" s="18">
        <f>E288*(1+Returns!H279)</f>
        <v>119.48515277403015</v>
      </c>
      <c r="F289" s="18">
        <f t="shared" si="18"/>
        <v>121.43157512417497</v>
      </c>
      <c r="G289" s="27">
        <f t="shared" si="19"/>
        <v>-1.6028964033073079E-2</v>
      </c>
    </row>
    <row r="290" spans="1:7" ht="15">
      <c r="A290" s="25">
        <f>Returns!A280</f>
        <v>45336</v>
      </c>
      <c r="B290" s="18">
        <f>B289*(1+Returns!G280)</f>
        <v>112.88409165517174</v>
      </c>
      <c r="C290" s="18">
        <f t="shared" si="16"/>
        <v>114.63432313784855</v>
      </c>
      <c r="D290" s="27">
        <f t="shared" si="17"/>
        <v>-1.5267953216526076E-2</v>
      </c>
      <c r="E290" s="18">
        <f>E289*(1+Returns!H280)</f>
        <v>120.01709975234763</v>
      </c>
      <c r="F290" s="18">
        <f t="shared" si="18"/>
        <v>121.43157512417497</v>
      </c>
      <c r="G290" s="27">
        <f t="shared" si="19"/>
        <v>-1.164833257232234E-2</v>
      </c>
    </row>
    <row r="291" spans="1:7" ht="15">
      <c r="A291" s="25">
        <f>Returns!A281</f>
        <v>45337</v>
      </c>
      <c r="B291" s="18">
        <f>B290*(1+Returns!G281)</f>
        <v>113.31057361761084</v>
      </c>
      <c r="C291" s="18">
        <f t="shared" si="16"/>
        <v>114.63432313784855</v>
      </c>
      <c r="D291" s="27">
        <f t="shared" si="17"/>
        <v>-1.1547584388367671E-2</v>
      </c>
      <c r="E291" s="18">
        <f>E290*(1+Returns!H281)</f>
        <v>120.40561144923508</v>
      </c>
      <c r="F291" s="18">
        <f t="shared" si="18"/>
        <v>121.43157512417497</v>
      </c>
      <c r="G291" s="27">
        <f t="shared" si="19"/>
        <v>-8.4489036223959202E-3</v>
      </c>
    </row>
    <row r="292" spans="1:7" ht="15">
      <c r="A292" s="25">
        <f>Returns!A282</f>
        <v>45338</v>
      </c>
      <c r="B292" s="18">
        <f>B291*(1+Returns!G282)</f>
        <v>113.74014455642155</v>
      </c>
      <c r="C292" s="18">
        <f t="shared" si="16"/>
        <v>114.63432313784855</v>
      </c>
      <c r="D292" s="27">
        <f t="shared" si="17"/>
        <v>-7.8002692121429407E-3</v>
      </c>
      <c r="E292" s="18">
        <f>E291*(1+Returns!H282)</f>
        <v>121.1197182297398</v>
      </c>
      <c r="F292" s="18">
        <f t="shared" si="18"/>
        <v>121.43157512417497</v>
      </c>
      <c r="G292" s="27">
        <f t="shared" si="19"/>
        <v>-2.5681697212299737E-3</v>
      </c>
    </row>
    <row r="293" spans="1:7" ht="15">
      <c r="A293" s="25">
        <f>Returns!A283</f>
        <v>45341</v>
      </c>
      <c r="B293" s="18">
        <f>B292*(1+Returns!G283)</f>
        <v>114.13319004650688</v>
      </c>
      <c r="C293" s="18">
        <f t="shared" si="16"/>
        <v>114.63432313784855</v>
      </c>
      <c r="D293" s="27">
        <f t="shared" si="17"/>
        <v>-4.3715797993507666E-3</v>
      </c>
      <c r="E293" s="18">
        <f>E292*(1+Returns!H283)</f>
        <v>121.56786225404609</v>
      </c>
      <c r="F293" s="18">
        <f t="shared" si="18"/>
        <v>121.56786225404609</v>
      </c>
      <c r="G293" s="27">
        <f t="shared" si="19"/>
        <v>0</v>
      </c>
    </row>
    <row r="294" spans="1:7" ht="15">
      <c r="A294" s="25">
        <f>Returns!A284</f>
        <v>45342</v>
      </c>
      <c r="B294" s="18">
        <f>B293*(1+Returns!G284)</f>
        <v>114.35370213472834</v>
      </c>
      <c r="C294" s="18">
        <f t="shared" si="16"/>
        <v>114.63432313784855</v>
      </c>
      <c r="D294" s="27">
        <f t="shared" si="17"/>
        <v>-2.4479666773342679E-3</v>
      </c>
      <c r="E294" s="18">
        <f>E293*(1+Returns!H284)</f>
        <v>121.97835505362501</v>
      </c>
      <c r="F294" s="18">
        <f t="shared" si="18"/>
        <v>121.97835505362501</v>
      </c>
      <c r="G294" s="27">
        <f t="shared" si="19"/>
        <v>0</v>
      </c>
    </row>
    <row r="295" spans="1:7" ht="15">
      <c r="A295" s="25">
        <f>Returns!A285</f>
        <v>45343</v>
      </c>
      <c r="B295" s="18">
        <f>B294*(1+Returns!G285)</f>
        <v>113.51916008893419</v>
      </c>
      <c r="C295" s="18">
        <f t="shared" si="16"/>
        <v>114.63432313784855</v>
      </c>
      <c r="D295" s="27">
        <f t="shared" si="17"/>
        <v>-9.728003083102621E-3</v>
      </c>
      <c r="E295" s="18">
        <f>E294*(1+Returns!H285)</f>
        <v>121.19858402201365</v>
      </c>
      <c r="F295" s="18">
        <f t="shared" si="18"/>
        <v>121.97835505362501</v>
      </c>
      <c r="G295" s="27">
        <f t="shared" si="19"/>
        <v>-6.392700010330099E-3</v>
      </c>
    </row>
    <row r="296" spans="1:7" ht="15">
      <c r="A296" s="25">
        <f>Returns!A286</f>
        <v>45344</v>
      </c>
      <c r="B296" s="18">
        <f>B295*(1+Returns!G286)</f>
        <v>114.38747754907789</v>
      </c>
      <c r="C296" s="18">
        <f t="shared" si="16"/>
        <v>114.63432313784855</v>
      </c>
      <c r="D296" s="27">
        <f t="shared" si="17"/>
        <v>-2.1533305384795476E-3</v>
      </c>
      <c r="E296" s="18">
        <f>E295*(1+Returns!H286)</f>
        <v>122.09100820491874</v>
      </c>
      <c r="F296" s="18">
        <f t="shared" si="18"/>
        <v>122.09100820491874</v>
      </c>
      <c r="G296" s="27">
        <f t="shared" si="19"/>
        <v>0</v>
      </c>
    </row>
    <row r="297" spans="1:7" ht="15">
      <c r="A297" s="25">
        <f>Returns!A287</f>
        <v>45345</v>
      </c>
      <c r="B297" s="18">
        <f>B296*(1+Returns!G287)</f>
        <v>114.37337385938051</v>
      </c>
      <c r="C297" s="18">
        <f t="shared" si="16"/>
        <v>114.63432313784855</v>
      </c>
      <c r="D297" s="27">
        <f t="shared" si="17"/>
        <v>-2.2763625354532691E-3</v>
      </c>
      <c r="E297" s="18">
        <f>E296*(1+Returns!H287)</f>
        <v>122.06490564547263</v>
      </c>
      <c r="F297" s="18">
        <f t="shared" si="18"/>
        <v>122.09100820491874</v>
      </c>
      <c r="G297" s="27">
        <f t="shared" si="19"/>
        <v>-2.1379592018999638E-4</v>
      </c>
    </row>
    <row r="298" spans="1:7" ht="15">
      <c r="A298" s="25">
        <f>Returns!A288</f>
        <v>45348</v>
      </c>
      <c r="B298" s="18">
        <f>B297*(1+Returns!G288)</f>
        <v>113.71316674427705</v>
      </c>
      <c r="C298" s="18">
        <f t="shared" si="16"/>
        <v>114.63432313784855</v>
      </c>
      <c r="D298" s="27">
        <f t="shared" si="17"/>
        <v>-8.0356072104496024E-3</v>
      </c>
      <c r="E298" s="18">
        <f>E297*(1+Returns!H288)</f>
        <v>121.56676749209562</v>
      </c>
      <c r="F298" s="18">
        <f t="shared" si="18"/>
        <v>122.09100820491874</v>
      </c>
      <c r="G298" s="27">
        <f t="shared" si="19"/>
        <v>-4.2938519431604538E-3</v>
      </c>
    </row>
    <row r="299" spans="1:7" ht="15">
      <c r="A299" s="25">
        <f>Returns!A289</f>
        <v>45349</v>
      </c>
      <c r="B299" s="18">
        <f>B298*(1+Returns!G289)</f>
        <v>114.35816587107645</v>
      </c>
      <c r="C299" s="18">
        <f t="shared" si="16"/>
        <v>114.63432313784855</v>
      </c>
      <c r="D299" s="27">
        <f t="shared" si="17"/>
        <v>-2.4090277607345945E-3</v>
      </c>
      <c r="E299" s="18">
        <f>E298*(1+Returns!H289)</f>
        <v>121.98605058615907</v>
      </c>
      <c r="F299" s="18">
        <f t="shared" si="18"/>
        <v>122.09100820491874</v>
      </c>
      <c r="G299" s="27">
        <f t="shared" si="19"/>
        <v>-8.5966706560003381E-4</v>
      </c>
    </row>
    <row r="300" spans="1:7" ht="15">
      <c r="A300" s="25">
        <f>Returns!A290</f>
        <v>45350</v>
      </c>
      <c r="B300" s="18">
        <f>B299*(1+Returns!G290)</f>
        <v>113.49740482918284</v>
      </c>
      <c r="C300" s="18">
        <f t="shared" si="16"/>
        <v>114.63432313784855</v>
      </c>
      <c r="D300" s="27">
        <f t="shared" si="17"/>
        <v>-9.917782715902268E-3</v>
      </c>
      <c r="E300" s="18">
        <f>E299*(1+Returns!H290)</f>
        <v>120.62762273301087</v>
      </c>
      <c r="F300" s="18">
        <f t="shared" si="18"/>
        <v>122.09100820491874</v>
      </c>
      <c r="G300" s="27">
        <f t="shared" si="19"/>
        <v>-1.1986021685165493E-2</v>
      </c>
    </row>
    <row r="301" spans="1:7" ht="15">
      <c r="A301" s="25">
        <f>Returns!A291</f>
        <v>45351</v>
      </c>
      <c r="B301" s="18">
        <f>B300*(1+Returns!G291)</f>
        <v>113.47068390486906</v>
      </c>
      <c r="C301" s="18">
        <f t="shared" si="16"/>
        <v>114.63432313784855</v>
      </c>
      <c r="D301" s="27">
        <f t="shared" si="17"/>
        <v>-1.0150879781269384E-2</v>
      </c>
      <c r="E301" s="18">
        <f>E300*(1+Returns!H291)</f>
        <v>120.80155035464912</v>
      </c>
      <c r="F301" s="18">
        <f t="shared" si="18"/>
        <v>122.09100820491874</v>
      </c>
      <c r="G301" s="27">
        <f t="shared" si="19"/>
        <v>-1.0561448129786766E-2</v>
      </c>
    </row>
    <row r="302" spans="1:7" ht="15">
      <c r="A302" s="25">
        <f>Returns!A292</f>
        <v>45352</v>
      </c>
      <c r="B302" s="18">
        <f>B301*(1+Returns!G292)</f>
        <v>114.99375762160744</v>
      </c>
      <c r="C302" s="18">
        <f t="shared" si="16"/>
        <v>114.99375762160744</v>
      </c>
      <c r="D302" s="27">
        <f t="shared" si="17"/>
        <v>0</v>
      </c>
      <c r="E302" s="18">
        <f>E301*(1+Returns!H292)</f>
        <v>122.75758943722143</v>
      </c>
      <c r="F302" s="18">
        <f t="shared" si="18"/>
        <v>122.75758943722143</v>
      </c>
      <c r="G302" s="27">
        <f t="shared" si="19"/>
        <v>0</v>
      </c>
    </row>
    <row r="303" spans="1:7" ht="15">
      <c r="A303" s="25">
        <f>Returns!A293</f>
        <v>45355</v>
      </c>
      <c r="B303" s="18">
        <f>B302*(1+Returns!G293)</f>
        <v>115.15462193890933</v>
      </c>
      <c r="C303" s="18">
        <f t="shared" si="16"/>
        <v>115.15462193890933</v>
      </c>
      <c r="D303" s="27">
        <f t="shared" si="17"/>
        <v>0</v>
      </c>
      <c r="E303" s="18">
        <f>E302*(1+Returns!H293)</f>
        <v>123.12494646936041</v>
      </c>
      <c r="F303" s="18">
        <f t="shared" si="18"/>
        <v>123.12494646936041</v>
      </c>
      <c r="G303" s="27">
        <f t="shared" si="19"/>
        <v>0</v>
      </c>
    </row>
    <row r="304" spans="1:7" ht="15">
      <c r="A304" s="25">
        <f>Returns!A294</f>
        <v>45356</v>
      </c>
      <c r="B304" s="18">
        <f>B303*(1+Returns!G294)</f>
        <v>114.40182251195264</v>
      </c>
      <c r="C304" s="18">
        <f t="shared" si="16"/>
        <v>115.15462193890933</v>
      </c>
      <c r="D304" s="27">
        <f t="shared" si="17"/>
        <v>-6.5372923316621145E-3</v>
      </c>
      <c r="E304" s="18">
        <f>E303*(1+Returns!H294)</f>
        <v>122.85403581846434</v>
      </c>
      <c r="F304" s="18">
        <f t="shared" si="18"/>
        <v>123.12494646936041</v>
      </c>
      <c r="G304" s="27">
        <f t="shared" si="19"/>
        <v>-2.2002905070377388E-3</v>
      </c>
    </row>
    <row r="305" spans="1:7" ht="15">
      <c r="A305" s="25">
        <f>Returns!A295</f>
        <v>45357</v>
      </c>
      <c r="B305" s="18">
        <f>B304*(1+Returns!G295)</f>
        <v>115.04839551799763</v>
      </c>
      <c r="C305" s="18">
        <f t="shared" si="16"/>
        <v>115.15462193890933</v>
      </c>
      <c r="D305" s="27">
        <f t="shared" si="17"/>
        <v>-9.224677144791249E-4</v>
      </c>
      <c r="E305" s="18">
        <f>E304*(1+Returns!H295)</f>
        <v>123.50110452894424</v>
      </c>
      <c r="F305" s="18">
        <f t="shared" si="18"/>
        <v>123.50110452894424</v>
      </c>
      <c r="G305" s="27">
        <f t="shared" si="19"/>
        <v>0</v>
      </c>
    </row>
    <row r="306" spans="1:7" ht="15">
      <c r="A306" s="25">
        <f>Returns!A296</f>
        <v>45358</v>
      </c>
      <c r="B306" s="18">
        <f>B305*(1+Returns!G296)</f>
        <v>114.75260476116041</v>
      </c>
      <c r="C306" s="18">
        <f t="shared" si="16"/>
        <v>115.15462193890933</v>
      </c>
      <c r="D306" s="27">
        <f t="shared" si="17"/>
        <v>-3.4911076166981303E-3</v>
      </c>
      <c r="E306" s="18">
        <f>E305*(1+Returns!H296)</f>
        <v>123.60826240456512</v>
      </c>
      <c r="F306" s="18">
        <f t="shared" si="18"/>
        <v>123.60826240456512</v>
      </c>
      <c r="G306" s="27">
        <f t="shared" si="19"/>
        <v>0</v>
      </c>
    </row>
    <row r="307" spans="1:7" ht="15">
      <c r="A307" s="25">
        <f>Returns!A297</f>
        <v>45362</v>
      </c>
      <c r="B307" s="18">
        <f>B306*(1+Returns!G297)</f>
        <v>113.91216110233913</v>
      </c>
      <c r="C307" s="18">
        <f t="shared" si="16"/>
        <v>115.15462193890933</v>
      </c>
      <c r="D307" s="27">
        <f t="shared" si="17"/>
        <v>-1.0789500374803418E-2</v>
      </c>
      <c r="E307" s="18">
        <f>E306*(1+Returns!H297)</f>
        <v>122.72407040220902</v>
      </c>
      <c r="F307" s="18">
        <f t="shared" si="18"/>
        <v>123.60826240456512</v>
      </c>
      <c r="G307" s="27">
        <f t="shared" si="19"/>
        <v>-7.1531788017711317E-3</v>
      </c>
    </row>
    <row r="308" spans="1:7" ht="15">
      <c r="A308" s="25">
        <f>Returns!A298</f>
        <v>45363</v>
      </c>
      <c r="B308" s="18">
        <f>B307*(1+Returns!G298)</f>
        <v>115.20563345020473</v>
      </c>
      <c r="C308" s="18">
        <f t="shared" si="16"/>
        <v>115.20563345020473</v>
      </c>
      <c r="D308" s="27">
        <f t="shared" si="17"/>
        <v>0</v>
      </c>
      <c r="E308" s="18">
        <f>E307*(1+Returns!H298)</f>
        <v>122.74082455323507</v>
      </c>
      <c r="F308" s="18">
        <f t="shared" si="18"/>
        <v>123.60826240456512</v>
      </c>
      <c r="G308" s="27">
        <f t="shared" si="19"/>
        <v>-7.0176364787893908E-3</v>
      </c>
    </row>
    <row r="309" spans="1:7" ht="15">
      <c r="A309" s="25">
        <f>Returns!A299</f>
        <v>45364</v>
      </c>
      <c r="B309" s="18">
        <f>B308*(1+Returns!G299)</f>
        <v>114.23775400959191</v>
      </c>
      <c r="C309" s="18">
        <f t="shared" si="16"/>
        <v>115.20563345020473</v>
      </c>
      <c r="D309" s="27">
        <f t="shared" si="17"/>
        <v>-8.4013204183384094E-3</v>
      </c>
      <c r="E309" s="18">
        <f>E308*(1+Returns!H299)</f>
        <v>120.88342137580656</v>
      </c>
      <c r="F309" s="18">
        <f t="shared" si="18"/>
        <v>123.60826240456512</v>
      </c>
      <c r="G309" s="27">
        <f t="shared" si="19"/>
        <v>-2.2044165784324887E-2</v>
      </c>
    </row>
    <row r="310" spans="1:7" ht="15">
      <c r="A310" s="25">
        <f>Returns!A300</f>
        <v>45365</v>
      </c>
      <c r="B310" s="18">
        <f>B309*(1+Returns!G300)</f>
        <v>114.88972338447928</v>
      </c>
      <c r="C310" s="18">
        <f t="shared" si="16"/>
        <v>115.20563345020473</v>
      </c>
      <c r="D310" s="27">
        <f t="shared" si="17"/>
        <v>-2.7421407813532639E-3</v>
      </c>
      <c r="E310" s="18">
        <f>E309*(1+Returns!H300)</f>
        <v>121.70194912705605</v>
      </c>
      <c r="F310" s="18">
        <f t="shared" si="18"/>
        <v>123.60826240456512</v>
      </c>
      <c r="G310" s="27">
        <f t="shared" si="19"/>
        <v>-1.5422215638545067E-2</v>
      </c>
    </row>
    <row r="311" spans="1:7" ht="15">
      <c r="A311" s="25">
        <f>Returns!A301</f>
        <v>45366</v>
      </c>
      <c r="B311" s="18">
        <f>B310*(1+Returns!G301)</f>
        <v>114.37936233753948</v>
      </c>
      <c r="C311" s="18">
        <f t="shared" si="16"/>
        <v>115.20563345020473</v>
      </c>
      <c r="D311" s="27">
        <f t="shared" si="17"/>
        <v>-7.172141569122048E-3</v>
      </c>
      <c r="E311" s="18">
        <f>E310*(1+Returns!H301)</f>
        <v>121.02437734340764</v>
      </c>
      <c r="F311" s="18">
        <f t="shared" si="18"/>
        <v>123.60826240456512</v>
      </c>
      <c r="G311" s="27">
        <f t="shared" si="19"/>
        <v>-2.0903821564132397E-2</v>
      </c>
    </row>
    <row r="312" spans="1:7" ht="15">
      <c r="A312" s="25">
        <f>Returns!A302</f>
        <v>45369</v>
      </c>
      <c r="B312" s="18">
        <f>B311*(1+Returns!G302)</f>
        <v>114.00031526592765</v>
      </c>
      <c r="C312" s="18">
        <f t="shared" si="16"/>
        <v>115.20563345020473</v>
      </c>
      <c r="D312" s="27">
        <f t="shared" si="17"/>
        <v>-1.0462319837840628E-2</v>
      </c>
      <c r="E312" s="18">
        <f>E311*(1+Returns!H302)</f>
        <v>121.20214736483277</v>
      </c>
      <c r="F312" s="18">
        <f t="shared" si="18"/>
        <v>123.60826240456512</v>
      </c>
      <c r="G312" s="27">
        <f t="shared" si="19"/>
        <v>-1.9465648921244694E-2</v>
      </c>
    </row>
    <row r="313" spans="1:7" ht="15">
      <c r="A313" s="25">
        <f>Returns!A303</f>
        <v>45370</v>
      </c>
      <c r="B313" s="18">
        <f>B312*(1+Returns!G303)</f>
        <v>112.42564688957059</v>
      </c>
      <c r="C313" s="18">
        <f t="shared" si="16"/>
        <v>115.20563345020473</v>
      </c>
      <c r="D313" s="27">
        <f t="shared" si="17"/>
        <v>-2.4130647758954682E-2</v>
      </c>
      <c r="E313" s="18">
        <f>E312*(1+Returns!H303)</f>
        <v>119.8928979357726</v>
      </c>
      <c r="F313" s="18">
        <f t="shared" si="18"/>
        <v>123.60826240456512</v>
      </c>
      <c r="G313" s="27">
        <f t="shared" si="19"/>
        <v>-3.0057573794155301E-2</v>
      </c>
    </row>
    <row r="314" spans="1:7" ht="15">
      <c r="A314" s="25">
        <f>Returns!A304</f>
        <v>45371</v>
      </c>
      <c r="B314" s="18">
        <f>B313*(1+Returns!G304)</f>
        <v>112.33776929889181</v>
      </c>
      <c r="C314" s="18">
        <f t="shared" si="16"/>
        <v>115.20563345020473</v>
      </c>
      <c r="D314" s="27">
        <f t="shared" si="17"/>
        <v>-2.4893436765420773E-2</v>
      </c>
      <c r="E314" s="18">
        <f>E313*(1+Returns!H304)</f>
        <v>120.0118728006822</v>
      </c>
      <c r="F314" s="18">
        <f t="shared" si="18"/>
        <v>123.60826240456512</v>
      </c>
      <c r="G314" s="27">
        <f t="shared" si="19"/>
        <v>-2.9095058323140854E-2</v>
      </c>
    </row>
    <row r="315" spans="1:7" ht="15">
      <c r="A315" s="25">
        <f>Returns!A305</f>
        <v>45372</v>
      </c>
      <c r="B315" s="18">
        <f>B314*(1+Returns!G305)</f>
        <v>112.73373521216429</v>
      </c>
      <c r="C315" s="18">
        <f t="shared" si="16"/>
        <v>115.20563345020473</v>
      </c>
      <c r="D315" s="27">
        <f t="shared" si="17"/>
        <v>-2.1456400733292802E-2</v>
      </c>
      <c r="E315" s="18">
        <f>E314*(1+Returns!H305)</f>
        <v>120.96172905414491</v>
      </c>
      <c r="F315" s="18">
        <f t="shared" si="18"/>
        <v>123.60826240456512</v>
      </c>
      <c r="G315" s="27">
        <f t="shared" si="19"/>
        <v>-2.14106508653783E-2</v>
      </c>
    </row>
    <row r="316" spans="1:7" ht="15">
      <c r="A316" s="25">
        <f>Returns!A306</f>
        <v>45373</v>
      </c>
      <c r="B316" s="18">
        <f>B315*(1+Returns!G306)</f>
        <v>112.03789495779812</v>
      </c>
      <c r="C316" s="18">
        <f t="shared" si="16"/>
        <v>115.20563345020473</v>
      </c>
      <c r="D316" s="27">
        <f t="shared" si="17"/>
        <v>-2.7496385354938369E-2</v>
      </c>
      <c r="E316" s="18">
        <f>E315*(1+Returns!H306)</f>
        <v>121.42773272438801</v>
      </c>
      <c r="F316" s="18">
        <f t="shared" si="18"/>
        <v>123.60826240456512</v>
      </c>
      <c r="G316" s="27">
        <f t="shared" si="19"/>
        <v>-1.7640646650628589E-2</v>
      </c>
    </row>
    <row r="317" spans="1:7" ht="15">
      <c r="A317" s="25">
        <f>Returns!A307</f>
        <v>45377</v>
      </c>
      <c r="B317" s="18">
        <f>B316*(1+Returns!G307)</f>
        <v>110.96670215634892</v>
      </c>
      <c r="C317" s="18">
        <f t="shared" si="16"/>
        <v>115.20563345020473</v>
      </c>
      <c r="D317" s="27">
        <f t="shared" si="17"/>
        <v>-3.6794479288098425E-2</v>
      </c>
      <c r="E317" s="18">
        <f>E316*(1+Returns!H307)</f>
        <v>120.92188830551663</v>
      </c>
      <c r="F317" s="18">
        <f t="shared" si="18"/>
        <v>123.60826240456512</v>
      </c>
      <c r="G317" s="27">
        <f t="shared" si="19"/>
        <v>-2.1732965473263421E-2</v>
      </c>
    </row>
    <row r="318" spans="1:7" ht="15">
      <c r="A318" s="25">
        <f>Returns!A308</f>
        <v>45378</v>
      </c>
      <c r="B318" s="18">
        <f>B317*(1+Returns!G308)</f>
        <v>111.94435955426611</v>
      </c>
      <c r="C318" s="18">
        <f t="shared" si="16"/>
        <v>115.20563345020473</v>
      </c>
      <c r="D318" s="27">
        <f t="shared" si="17"/>
        <v>-2.8308284918621029E-2</v>
      </c>
      <c r="E318" s="18">
        <f>E317*(1+Returns!H308)</f>
        <v>121.57555778658015</v>
      </c>
      <c r="F318" s="18">
        <f t="shared" si="18"/>
        <v>123.60826240456512</v>
      </c>
      <c r="G318" s="27">
        <f t="shared" si="19"/>
        <v>-1.6444730946318264E-2</v>
      </c>
    </row>
    <row r="319" spans="1:7" ht="15">
      <c r="A319" s="25">
        <f>Returns!A309</f>
        <v>45379</v>
      </c>
      <c r="B319" s="18">
        <f>B318*(1+Returns!G309)</f>
        <v>112.4680066297051</v>
      </c>
      <c r="C319" s="18">
        <f t="shared" si="16"/>
        <v>115.20563345020473</v>
      </c>
      <c r="D319" s="27">
        <f t="shared" si="17"/>
        <v>-2.3762959661889349E-2</v>
      </c>
      <c r="E319" s="18">
        <f>E318*(1+Returns!H309)</f>
        <v>122.69247256709005</v>
      </c>
      <c r="F319" s="18">
        <f t="shared" si="18"/>
        <v>123.60826240456512</v>
      </c>
      <c r="G319" s="27">
        <f t="shared" si="19"/>
        <v>-7.4088076287144311E-3</v>
      </c>
    </row>
    <row r="320" spans="1:7" ht="15">
      <c r="A320" s="25">
        <f>Returns!A310</f>
        <v>45383</v>
      </c>
      <c r="B320" s="18">
        <f>B319*(1+Returns!G310)</f>
        <v>113.18996567491021</v>
      </c>
      <c r="C320" s="18">
        <f t="shared" si="16"/>
        <v>115.20563345020473</v>
      </c>
      <c r="D320" s="27">
        <f t="shared" si="17"/>
        <v>-1.7496260511997819E-2</v>
      </c>
      <c r="E320" s="18">
        <f>E319*(1+Returns!H310)</f>
        <v>123.43488216390212</v>
      </c>
      <c r="F320" s="18">
        <f t="shared" si="18"/>
        <v>123.60826240456512</v>
      </c>
      <c r="G320" s="27">
        <f t="shared" si="19"/>
        <v>-1.4026589913184173E-3</v>
      </c>
    </row>
    <row r="321" spans="1:7" ht="15">
      <c r="A321" s="25">
        <f>Returns!A311</f>
        <v>45384</v>
      </c>
      <c r="B321" s="18">
        <f>B320*(1+Returns!G311)</f>
        <v>112.79875270587253</v>
      </c>
      <c r="C321" s="18">
        <f t="shared" si="16"/>
        <v>115.20563345020473</v>
      </c>
      <c r="D321" s="27">
        <f t="shared" si="17"/>
        <v>-2.0892040365131259E-2</v>
      </c>
      <c r="E321" s="18">
        <f>E320*(1+Returns!H311)</f>
        <v>123.3870775587323</v>
      </c>
      <c r="F321" s="18">
        <f t="shared" si="18"/>
        <v>123.60826240456512</v>
      </c>
      <c r="G321" s="27">
        <f t="shared" si="19"/>
        <v>-1.7894017886028735E-3</v>
      </c>
    </row>
    <row r="322" spans="1:7" ht="15">
      <c r="A322" s="25">
        <f>Returns!A312</f>
        <v>45385</v>
      </c>
      <c r="B322" s="18">
        <f>B321*(1+Returns!G312)</f>
        <v>112.82975902880729</v>
      </c>
      <c r="C322" s="18">
        <f t="shared" si="16"/>
        <v>115.20563345020473</v>
      </c>
      <c r="D322" s="27">
        <f t="shared" si="17"/>
        <v>-2.0622901417614803E-2</v>
      </c>
      <c r="E322" s="18">
        <f>E321*(1+Returns!H312)</f>
        <v>123.2845885208413</v>
      </c>
      <c r="F322" s="18">
        <f t="shared" si="18"/>
        <v>123.60826240456512</v>
      </c>
      <c r="G322" s="27">
        <f t="shared" si="19"/>
        <v>-2.6185456977337873E-3</v>
      </c>
    </row>
    <row r="323" spans="1:7" ht="15">
      <c r="A323" s="25">
        <f>Returns!A313</f>
        <v>45386</v>
      </c>
      <c r="B323" s="18">
        <f>B322*(1+Returns!G313)</f>
        <v>113.94074056811453</v>
      </c>
      <c r="C323" s="18">
        <f t="shared" si="16"/>
        <v>115.20563345020473</v>
      </c>
      <c r="D323" s="27">
        <f t="shared" si="17"/>
        <v>-1.0979436024167288E-2</v>
      </c>
      <c r="E323" s="18">
        <f>E322*(1+Returns!H313)</f>
        <v>123.72421057467054</v>
      </c>
      <c r="F323" s="18">
        <f t="shared" si="18"/>
        <v>123.72421057467054</v>
      </c>
      <c r="G323" s="27">
        <f t="shared" si="19"/>
        <v>0</v>
      </c>
    </row>
    <row r="324" spans="1:7" ht="15">
      <c r="A324" s="25">
        <f>Returns!A314</f>
        <v>45387</v>
      </c>
      <c r="B324" s="18">
        <f>B323*(1+Returns!G314)</f>
        <v>114.14284353076712</v>
      </c>
      <c r="C324" s="18">
        <f t="shared" si="16"/>
        <v>115.20563345020473</v>
      </c>
      <c r="D324" s="27">
        <f t="shared" si="17"/>
        <v>-9.2251558158132907E-3</v>
      </c>
      <c r="E324" s="18">
        <f>E323*(1+Returns!H314)</f>
        <v>123.71898362300513</v>
      </c>
      <c r="F324" s="18">
        <f t="shared" si="18"/>
        <v>123.72421057467054</v>
      </c>
      <c r="G324" s="27">
        <f t="shared" si="19"/>
        <v>-4.2246797462897057E-5</v>
      </c>
    </row>
    <row r="325" spans="1:7" ht="15">
      <c r="A325" s="25">
        <f>Returns!A315</f>
        <v>45390</v>
      </c>
      <c r="B325" s="18">
        <f>B324*(1+Returns!G315)</f>
        <v>114.58724936382592</v>
      </c>
      <c r="C325" s="18">
        <f t="shared" si="16"/>
        <v>115.20563345020473</v>
      </c>
      <c r="D325" s="27">
        <f t="shared" si="17"/>
        <v>-5.3676549302260623E-3</v>
      </c>
      <c r="E325" s="18">
        <f>E324*(1+Returns!H315)</f>
        <v>124.55757127705262</v>
      </c>
      <c r="F325" s="18">
        <f t="shared" si="18"/>
        <v>124.55757127705262</v>
      </c>
      <c r="G325" s="27">
        <f t="shared" si="19"/>
        <v>0</v>
      </c>
    </row>
    <row r="326" spans="1:7" ht="15">
      <c r="A326" s="25">
        <f>Returns!A316</f>
        <v>45391</v>
      </c>
      <c r="B326" s="18">
        <f>B325*(1+Returns!G316)</f>
        <v>114.56887383292803</v>
      </c>
      <c r="C326" s="18">
        <f t="shared" si="16"/>
        <v>115.20563345020473</v>
      </c>
      <c r="D326" s="27">
        <f t="shared" si="17"/>
        <v>-5.5271569471636584E-3</v>
      </c>
      <c r="E326" s="18">
        <f>E325*(1+Returns!H316)</f>
        <v>124.42815324177252</v>
      </c>
      <c r="F326" s="18">
        <f t="shared" si="18"/>
        <v>124.55757127705262</v>
      </c>
      <c r="G326" s="27">
        <f t="shared" si="19"/>
        <v>-1.0390218270411866E-3</v>
      </c>
    </row>
    <row r="327" spans="1:7" ht="15">
      <c r="A327" s="25">
        <f>Returns!A317</f>
        <v>45392</v>
      </c>
      <c r="B327" s="18">
        <f>B326*(1+Returns!G317)</f>
        <v>115.04993458523815</v>
      </c>
      <c r="C327" s="18">
        <f t="shared" si="16"/>
        <v>115.20563345020473</v>
      </c>
      <c r="D327" s="27">
        <f t="shared" si="17"/>
        <v>-1.351486557589876E-3</v>
      </c>
      <c r="E327" s="18">
        <f>E326*(1+Returns!H317)</f>
        <v>125.03840789842833</v>
      </c>
      <c r="F327" s="18">
        <f t="shared" si="18"/>
        <v>125.03840789842833</v>
      </c>
      <c r="G327" s="27">
        <f t="shared" si="19"/>
        <v>0</v>
      </c>
    </row>
    <row r="328" spans="1:7" ht="15">
      <c r="A328" s="25">
        <f>Returns!A318</f>
        <v>45394</v>
      </c>
      <c r="B328" s="18">
        <f>B327*(1+Returns!G318)</f>
        <v>114.24904721254931</v>
      </c>
      <c r="C328" s="18">
        <f t="shared" si="16"/>
        <v>115.20563345020473</v>
      </c>
      <c r="D328" s="27">
        <f t="shared" si="17"/>
        <v>-8.3032939363063551E-3</v>
      </c>
      <c r="E328" s="18">
        <f>E327*(1+Returns!H318)</f>
        <v>123.75031313411664</v>
      </c>
      <c r="F328" s="18">
        <f t="shared" si="18"/>
        <v>125.03840789842833</v>
      </c>
      <c r="G328" s="27">
        <f t="shared" si="19"/>
        <v>-1.0301592814249916E-2</v>
      </c>
    </row>
    <row r="329" spans="1:7" ht="15">
      <c r="A329" s="25">
        <f>Returns!A319</f>
        <v>45397</v>
      </c>
      <c r="B329" s="18">
        <f>B328*(1+Returns!G319)</f>
        <v>112.80818683103119</v>
      </c>
      <c r="C329" s="18">
        <f t="shared" si="16"/>
        <v>115.20563345020473</v>
      </c>
      <c r="D329" s="27">
        <f t="shared" si="17"/>
        <v>-2.0810150922088266E-2</v>
      </c>
      <c r="E329" s="18">
        <f>E328*(1+Returns!H319)</f>
        <v>122.39352742389413</v>
      </c>
      <c r="F329" s="18">
        <f t="shared" si="18"/>
        <v>125.03840789842833</v>
      </c>
      <c r="G329" s="27">
        <f t="shared" si="19"/>
        <v>-2.1152544398059692E-2</v>
      </c>
    </row>
    <row r="330" spans="1:7" ht="15">
      <c r="A330" s="25">
        <f>Returns!A320</f>
        <v>45398</v>
      </c>
      <c r="B330" s="18">
        <f>B329*(1+Returns!G320)</f>
        <v>111.91273270715479</v>
      </c>
      <c r="C330" s="18">
        <f t="shared" si="16"/>
        <v>115.20563345020473</v>
      </c>
      <c r="D330" s="27">
        <f t="shared" si="17"/>
        <v>-2.8582810097331102E-2</v>
      </c>
      <c r="E330" s="18">
        <f>E329*(1+Returns!H320)</f>
        <v>121.70881822164716</v>
      </c>
      <c r="F330" s="18">
        <f t="shared" si="18"/>
        <v>125.03840789842833</v>
      </c>
      <c r="G330" s="27">
        <f t="shared" si="19"/>
        <v>-2.6628535445571866E-2</v>
      </c>
    </row>
    <row r="331" spans="1:7" ht="15">
      <c r="A331" s="25">
        <f>Returns!A321</f>
        <v>45400</v>
      </c>
      <c r="B331" s="18">
        <f>B330*(1+Returns!G321)</f>
        <v>111.42785998251129</v>
      </c>
      <c r="C331" s="18">
        <f t="shared" si="16"/>
        <v>115.20563345020473</v>
      </c>
      <c r="D331" s="27">
        <f t="shared" si="17"/>
        <v>-3.2791568906448521E-2</v>
      </c>
      <c r="E331" s="18">
        <f>E330*(1+Returns!H321)</f>
        <v>120.87325726240387</v>
      </c>
      <c r="F331" s="18">
        <f t="shared" si="18"/>
        <v>125.03840789842833</v>
      </c>
      <c r="G331" s="27">
        <f t="shared" si="19"/>
        <v>-3.3310969853422301E-2</v>
      </c>
    </row>
    <row r="332" spans="1:7" ht="15">
      <c r="A332" s="25">
        <f>Returns!A322</f>
        <v>45401</v>
      </c>
      <c r="B332" s="18">
        <f>B331*(1+Returns!G322)</f>
        <v>112.10639290372735</v>
      </c>
      <c r="C332" s="18">
        <f t="shared" si="16"/>
        <v>115.20563345020473</v>
      </c>
      <c r="D332" s="27">
        <f t="shared" si="17"/>
        <v>-2.6901814205265939E-2</v>
      </c>
      <c r="E332" s="18">
        <f>E331*(1+Returns!H322)</f>
        <v>121.70387032694953</v>
      </c>
      <c r="F332" s="18">
        <f t="shared" si="18"/>
        <v>125.03840789842833</v>
      </c>
      <c r="G332" s="27">
        <f t="shared" si="19"/>
        <v>-2.666810644444173E-2</v>
      </c>
    </row>
    <row r="333" spans="1:7" ht="15">
      <c r="A333" s="25">
        <f>Returns!A323</f>
        <v>45404</v>
      </c>
      <c r="B333" s="18">
        <f>B332*(1+Returns!G323)</f>
        <v>112.72909039817482</v>
      </c>
      <c r="C333" s="18">
        <f t="shared" si="16"/>
        <v>115.20563345020473</v>
      </c>
      <c r="D333" s="27">
        <f t="shared" si="17"/>
        <v>-2.1496718327583708E-2</v>
      </c>
      <c r="E333" s="18">
        <f>E332*(1+Returns!H323)</f>
        <v>122.74467768598228</v>
      </c>
      <c r="F333" s="18">
        <f t="shared" si="18"/>
        <v>125.03840789842833</v>
      </c>
      <c r="G333" s="27">
        <f t="shared" si="19"/>
        <v>-1.8344205200607644E-2</v>
      </c>
    </row>
    <row r="334" spans="1:7" ht="15">
      <c r="A334" s="25">
        <f>Returns!A324</f>
        <v>45405</v>
      </c>
      <c r="B334" s="18">
        <f>B333*(1+Returns!G324)</f>
        <v>112.48131764497727</v>
      </c>
      <c r="C334" s="18">
        <f t="shared" si="16"/>
        <v>115.20563345020473</v>
      </c>
      <c r="D334" s="27">
        <f t="shared" si="17"/>
        <v>-2.3647418304461598E-2</v>
      </c>
      <c r="E334" s="18">
        <f>E333*(1+Returns!H324)</f>
        <v>122.91832625065275</v>
      </c>
      <c r="F334" s="18">
        <f t="shared" si="18"/>
        <v>125.03840789842833</v>
      </c>
      <c r="G334" s="27">
        <f t="shared" si="19"/>
        <v>-1.6955443398621761E-2</v>
      </c>
    </row>
    <row r="335" spans="1:7" ht="15">
      <c r="A335" s="25">
        <f>Returns!A325</f>
        <v>45406</v>
      </c>
      <c r="B335" s="18">
        <f>B334*(1+Returns!G325)</f>
        <v>112.09236229685659</v>
      </c>
      <c r="C335" s="18">
        <f t="shared" si="16"/>
        <v>115.20563345020473</v>
      </c>
      <c r="D335" s="27">
        <f t="shared" si="17"/>
        <v>-2.7023601712096723E-2</v>
      </c>
      <c r="E335" s="18">
        <f>E334*(1+Returns!H325)</f>
        <v>123.10736588039138</v>
      </c>
      <c r="F335" s="18">
        <f t="shared" si="18"/>
        <v>125.03840789842833</v>
      </c>
      <c r="G335" s="27">
        <f t="shared" si="19"/>
        <v>-1.5443590897331161E-2</v>
      </c>
    </row>
    <row r="336" spans="1:7" ht="15">
      <c r="A336" s="25">
        <f>Returns!A326</f>
        <v>45407</v>
      </c>
      <c r="B336" s="18">
        <f>B335*(1+Returns!G326)</f>
        <v>112.73900261302298</v>
      </c>
      <c r="C336" s="18">
        <f t="shared" ref="C336:C399" si="20">MAX(C335,B336)</f>
        <v>115.20563345020473</v>
      </c>
      <c r="D336" s="27">
        <f t="shared" ref="D336:D399" si="21">B336/C336-1</f>
        <v>-2.1410679003365796E-2</v>
      </c>
      <c r="E336" s="18">
        <f>E335*(1+Returns!H326)</f>
        <v>124.03029313646502</v>
      </c>
      <c r="F336" s="18">
        <f t="shared" ref="F336:F399" si="22">MAX(F335,E336)</f>
        <v>125.03840789842833</v>
      </c>
      <c r="G336" s="27">
        <f t="shared" ref="G336:G399" si="23">E336/F336-1</f>
        <v>-8.0624408044465135E-3</v>
      </c>
    </row>
    <row r="337" spans="1:7" ht="15">
      <c r="A337" s="25">
        <f>Returns!A327</f>
        <v>45408</v>
      </c>
      <c r="B337" s="18">
        <f>B336*(1+Returns!G327)</f>
        <v>112.21214724656696</v>
      </c>
      <c r="C337" s="18">
        <f t="shared" si="20"/>
        <v>115.20563345020473</v>
      </c>
      <c r="D337" s="27">
        <f t="shared" si="21"/>
        <v>-2.5983852646681904E-2</v>
      </c>
      <c r="E337" s="18">
        <f>E336*(1+Returns!H327)</f>
        <v>123.20380152867401</v>
      </c>
      <c r="F337" s="18">
        <f t="shared" si="22"/>
        <v>125.03840789842833</v>
      </c>
      <c r="G337" s="27">
        <f t="shared" si="23"/>
        <v>-1.4672342687253481E-2</v>
      </c>
    </row>
    <row r="338" spans="1:7" ht="15">
      <c r="A338" s="25">
        <f>Returns!A328</f>
        <v>45411</v>
      </c>
      <c r="B338" s="18">
        <f>B337*(1+Returns!G328)</f>
        <v>113.95277031548487</v>
      </c>
      <c r="C338" s="18">
        <f t="shared" si="20"/>
        <v>115.20563345020473</v>
      </c>
      <c r="D338" s="27">
        <f t="shared" si="21"/>
        <v>-1.0875016240081581E-2</v>
      </c>
      <c r="E338" s="18">
        <f>E337*(1+Returns!H328)</f>
        <v>124.43172731755195</v>
      </c>
      <c r="F338" s="18">
        <f t="shared" si="22"/>
        <v>125.03840789842833</v>
      </c>
      <c r="G338" s="27">
        <f t="shared" si="23"/>
        <v>-4.8519538202150825E-3</v>
      </c>
    </row>
    <row r="339" spans="1:7" ht="15">
      <c r="A339" s="25">
        <f>Returns!A329</f>
        <v>45412</v>
      </c>
      <c r="B339" s="18">
        <f>B338*(1+Returns!G329)</f>
        <v>113.21147831574496</v>
      </c>
      <c r="C339" s="18">
        <f t="shared" si="20"/>
        <v>115.20563345020473</v>
      </c>
      <c r="D339" s="27">
        <f t="shared" si="21"/>
        <v>-1.7309527969582406E-2</v>
      </c>
      <c r="E339" s="18">
        <f>E338*(1+Returns!H329)</f>
        <v>124.21988014717887</v>
      </c>
      <c r="F339" s="18">
        <f t="shared" si="22"/>
        <v>125.03840789842833</v>
      </c>
      <c r="G339" s="27">
        <f t="shared" si="23"/>
        <v>-6.546210600461011E-3</v>
      </c>
    </row>
    <row r="340" spans="1:7" ht="15">
      <c r="A340" s="25">
        <f>Returns!A330</f>
        <v>45414</v>
      </c>
      <c r="B340" s="18">
        <f>B339*(1+Returns!G330)</f>
        <v>113.44722246191023</v>
      </c>
      <c r="C340" s="18">
        <f t="shared" si="20"/>
        <v>115.20563345020473</v>
      </c>
      <c r="D340" s="27">
        <f t="shared" si="21"/>
        <v>-1.5263237878506475E-2</v>
      </c>
      <c r="E340" s="18">
        <f>E339*(1+Returns!H330)</f>
        <v>124.45809820100551</v>
      </c>
      <c r="F340" s="18">
        <f t="shared" si="22"/>
        <v>125.03840789842833</v>
      </c>
      <c r="G340" s="27">
        <f t="shared" si="23"/>
        <v>-4.6410515550887599E-3</v>
      </c>
    </row>
    <row r="341" spans="1:7" ht="15">
      <c r="A341" s="25">
        <f>Returns!A331</f>
        <v>45415</v>
      </c>
      <c r="B341" s="18">
        <f>B340*(1+Returns!G331)</f>
        <v>112.52779729105116</v>
      </c>
      <c r="C341" s="18">
        <f t="shared" si="20"/>
        <v>115.20563345020473</v>
      </c>
      <c r="D341" s="27">
        <f t="shared" si="21"/>
        <v>-2.3243968883787325E-2</v>
      </c>
      <c r="E341" s="18">
        <f>E340*(1+Returns!H331)</f>
        <v>123.51098958537924</v>
      </c>
      <c r="F341" s="18">
        <f t="shared" si="22"/>
        <v>125.03840789842833</v>
      </c>
      <c r="G341" s="27">
        <f t="shared" si="23"/>
        <v>-1.2215593102319899E-2</v>
      </c>
    </row>
    <row r="342" spans="1:7" ht="15">
      <c r="A342" s="25">
        <f>Returns!A332</f>
        <v>45418</v>
      </c>
      <c r="B342" s="18">
        <f>B341*(1+Returns!G332)</f>
        <v>112.93220684765306</v>
      </c>
      <c r="C342" s="18">
        <f t="shared" si="20"/>
        <v>115.20563345020473</v>
      </c>
      <c r="D342" s="27">
        <f t="shared" si="21"/>
        <v>-1.9733640920730711E-2</v>
      </c>
      <c r="E342" s="18">
        <f>E341*(1+Returns!H332)</f>
        <v>123.32881905023169</v>
      </c>
      <c r="F342" s="18">
        <f t="shared" si="22"/>
        <v>125.03840789842833</v>
      </c>
      <c r="G342" s="27">
        <f t="shared" si="23"/>
        <v>-1.3672509726654458E-2</v>
      </c>
    </row>
    <row r="343" spans="1:7" ht="15">
      <c r="A343" s="25">
        <f>Returns!A333</f>
        <v>45419</v>
      </c>
      <c r="B343" s="18">
        <f>B342*(1+Returns!G333)</f>
        <v>112.56677782036644</v>
      </c>
      <c r="C343" s="18">
        <f t="shared" si="20"/>
        <v>115.20563345020473</v>
      </c>
      <c r="D343" s="27">
        <f t="shared" si="21"/>
        <v>-2.2905612779594464E-2</v>
      </c>
      <c r="E343" s="18">
        <f>E342*(1+Returns!H333)</f>
        <v>122.55838569408007</v>
      </c>
      <c r="F343" s="18">
        <f t="shared" si="22"/>
        <v>125.03840789842833</v>
      </c>
      <c r="G343" s="27">
        <f t="shared" si="23"/>
        <v>-1.9834083351115916E-2</v>
      </c>
    </row>
    <row r="344" spans="1:7" ht="15">
      <c r="A344" s="25">
        <f>Returns!A334</f>
        <v>45420</v>
      </c>
      <c r="B344" s="18">
        <f>B343*(1+Returns!G334)</f>
        <v>112.16653016695085</v>
      </c>
      <c r="C344" s="18">
        <f t="shared" si="20"/>
        <v>115.20563345020473</v>
      </c>
      <c r="D344" s="27">
        <f t="shared" si="21"/>
        <v>-2.6379814877433683E-2</v>
      </c>
      <c r="E344" s="18">
        <f>E343*(1+Returns!H334)</f>
        <v>122.55838569408007</v>
      </c>
      <c r="F344" s="18">
        <f t="shared" si="22"/>
        <v>125.03840789842833</v>
      </c>
      <c r="G344" s="27">
        <f t="shared" si="23"/>
        <v>-1.9834083351115916E-2</v>
      </c>
    </row>
    <row r="345" spans="1:7" ht="15">
      <c r="A345" s="25">
        <f>Returns!A335</f>
        <v>45421</v>
      </c>
      <c r="B345" s="18">
        <f>B344*(1+Returns!G335)</f>
        <v>110.95944683096644</v>
      </c>
      <c r="C345" s="18">
        <f t="shared" si="20"/>
        <v>115.20563345020473</v>
      </c>
      <c r="D345" s="27">
        <f t="shared" si="21"/>
        <v>-3.6857456463477711E-2</v>
      </c>
      <c r="E345" s="18">
        <f>E344*(1+Returns!H335)</f>
        <v>120.66251558694151</v>
      </c>
      <c r="F345" s="18">
        <f t="shared" si="22"/>
        <v>125.03840789842833</v>
      </c>
      <c r="G345" s="27">
        <f t="shared" si="23"/>
        <v>-3.4996385390970941E-2</v>
      </c>
    </row>
    <row r="346" spans="1:7" ht="15">
      <c r="A346" s="25">
        <f>Returns!A336</f>
        <v>45422</v>
      </c>
      <c r="B346" s="18">
        <f>B345*(1+Returns!G336)</f>
        <v>110.89563378736946</v>
      </c>
      <c r="C346" s="18">
        <f t="shared" si="20"/>
        <v>115.20563345020473</v>
      </c>
      <c r="D346" s="27">
        <f t="shared" si="21"/>
        <v>-3.7411362046788965E-2</v>
      </c>
      <c r="E346" s="18">
        <f>E345*(1+Returns!H336)</f>
        <v>121.19939972699633</v>
      </c>
      <c r="F346" s="18">
        <f t="shared" si="22"/>
        <v>125.03840789842833</v>
      </c>
      <c r="G346" s="27">
        <f t="shared" si="23"/>
        <v>-3.0702631583013451E-2</v>
      </c>
    </row>
    <row r="347" spans="1:7" ht="15">
      <c r="A347" s="25">
        <f>Returns!A337</f>
        <v>45425</v>
      </c>
      <c r="B347" s="18">
        <f>B346*(1+Returns!G337)</f>
        <v>111.59022183629698</v>
      </c>
      <c r="C347" s="18">
        <f t="shared" si="20"/>
        <v>115.20563345020473</v>
      </c>
      <c r="D347" s="27">
        <f t="shared" si="21"/>
        <v>-3.1382246732495456E-2</v>
      </c>
      <c r="E347" s="18">
        <f>E346*(1+Returns!H337)</f>
        <v>121.46785252998406</v>
      </c>
      <c r="F347" s="18">
        <f t="shared" si="22"/>
        <v>125.03840789842833</v>
      </c>
      <c r="G347" s="27">
        <f t="shared" si="23"/>
        <v>-2.8555668841726778E-2</v>
      </c>
    </row>
    <row r="348" spans="1:7" ht="15">
      <c r="A348" s="25">
        <f>Returns!A338</f>
        <v>45426</v>
      </c>
      <c r="B348" s="18">
        <f>B347*(1+Returns!G338)</f>
        <v>111.68575614724267</v>
      </c>
      <c r="C348" s="18">
        <f t="shared" si="20"/>
        <v>115.20563345020473</v>
      </c>
      <c r="D348" s="27">
        <f t="shared" si="21"/>
        <v>-3.0552996390436515E-2</v>
      </c>
      <c r="E348" s="18">
        <f>E347*(1+Returns!H338)</f>
        <v>122.09320846177997</v>
      </c>
      <c r="F348" s="18">
        <f t="shared" si="22"/>
        <v>125.03840789842833</v>
      </c>
      <c r="G348" s="27">
        <f t="shared" si="23"/>
        <v>-2.3554358106037454E-2</v>
      </c>
    </row>
    <row r="349" spans="1:7" ht="15">
      <c r="A349" s="25">
        <f>Returns!A339</f>
        <v>45427</v>
      </c>
      <c r="B349" s="18">
        <f>B348*(1+Returns!G339)</f>
        <v>111.06384345550417</v>
      </c>
      <c r="C349" s="18">
        <f t="shared" si="20"/>
        <v>115.20563345020473</v>
      </c>
      <c r="D349" s="27">
        <f t="shared" si="21"/>
        <v>-3.5951280077729519E-2</v>
      </c>
      <c r="E349" s="18">
        <f>E348*(1+Returns!H339)</f>
        <v>121.99814663241557</v>
      </c>
      <c r="F349" s="18">
        <f t="shared" si="22"/>
        <v>125.03840789842833</v>
      </c>
      <c r="G349" s="27">
        <f t="shared" si="23"/>
        <v>-2.4314619140723859E-2</v>
      </c>
    </row>
    <row r="350" spans="1:7" ht="15">
      <c r="A350" s="25">
        <f>Returns!A340</f>
        <v>45428</v>
      </c>
      <c r="B350" s="18">
        <f>B349*(1+Returns!G340)</f>
        <v>112.4326547059072</v>
      </c>
      <c r="C350" s="18">
        <f t="shared" si="20"/>
        <v>115.20563345020473</v>
      </c>
      <c r="D350" s="27">
        <f t="shared" si="21"/>
        <v>-2.4069818994538084E-2</v>
      </c>
      <c r="E350" s="18">
        <f>E349*(1+Returns!H340)</f>
        <v>123.11532973693294</v>
      </c>
      <c r="F350" s="18">
        <f t="shared" si="22"/>
        <v>125.03840789842833</v>
      </c>
      <c r="G350" s="27">
        <f t="shared" si="23"/>
        <v>-1.5379899614985204E-2</v>
      </c>
    </row>
    <row r="351" spans="1:7" ht="15">
      <c r="A351" s="25">
        <f>Returns!A341</f>
        <v>45429</v>
      </c>
      <c r="B351" s="18">
        <f>B350*(1+Returns!G341)</f>
        <v>112.21229726315688</v>
      </c>
      <c r="C351" s="18">
        <f t="shared" si="20"/>
        <v>115.20563345020473</v>
      </c>
      <c r="D351" s="27">
        <f t="shared" si="21"/>
        <v>-2.5982550483016564E-2</v>
      </c>
      <c r="E351" s="18">
        <f>E350*(1+Returns!H341)</f>
        <v>123.45741064756879</v>
      </c>
      <c r="F351" s="18">
        <f t="shared" si="22"/>
        <v>125.03840789842833</v>
      </c>
      <c r="G351" s="27">
        <f t="shared" si="23"/>
        <v>-1.2644092942576624E-2</v>
      </c>
    </row>
    <row r="352" spans="1:7" ht="15">
      <c r="A352" s="25">
        <f>Returns!A342</f>
        <v>45433</v>
      </c>
      <c r="B352" s="18">
        <f>B351*(1+Returns!G342)</f>
        <v>111.77721265078166</v>
      </c>
      <c r="C352" s="18">
        <f t="shared" si="20"/>
        <v>115.20563345020473</v>
      </c>
      <c r="D352" s="27">
        <f t="shared" si="21"/>
        <v>-2.9759141951204438E-2</v>
      </c>
      <c r="E352" s="18">
        <f>E351*(1+Returns!H342)</f>
        <v>123.80334469095185</v>
      </c>
      <c r="F352" s="18">
        <f t="shared" si="22"/>
        <v>125.03840789842833</v>
      </c>
      <c r="G352" s="27">
        <f t="shared" si="23"/>
        <v>-9.8774706766880938E-3</v>
      </c>
    </row>
    <row r="353" spans="1:7" ht="15">
      <c r="A353" s="25">
        <f>Returns!A343</f>
        <v>45434</v>
      </c>
      <c r="B353" s="18">
        <f>B352*(1+Returns!G343)</f>
        <v>112.42522584068746</v>
      </c>
      <c r="C353" s="18">
        <f t="shared" si="20"/>
        <v>115.20563345020473</v>
      </c>
      <c r="D353" s="27">
        <f t="shared" si="21"/>
        <v>-2.4134302518453166E-2</v>
      </c>
      <c r="E353" s="18">
        <f>E352*(1+Returns!H343)</f>
        <v>124.18114489346132</v>
      </c>
      <c r="F353" s="18">
        <f t="shared" si="22"/>
        <v>125.03840789842833</v>
      </c>
      <c r="G353" s="27">
        <f t="shared" si="23"/>
        <v>-6.8559974441083638E-3</v>
      </c>
    </row>
    <row r="354" spans="1:7" ht="15">
      <c r="A354" s="25">
        <f>Returns!A344</f>
        <v>45435</v>
      </c>
      <c r="B354" s="18">
        <f>B353*(1+Returns!G344)</f>
        <v>114.47705972050984</v>
      </c>
      <c r="C354" s="18">
        <f t="shared" si="20"/>
        <v>115.20563345020473</v>
      </c>
      <c r="D354" s="27">
        <f t="shared" si="21"/>
        <v>-6.3241154783442166E-3</v>
      </c>
      <c r="E354" s="18">
        <f>E353*(1+Returns!H344)</f>
        <v>126.21357045447853</v>
      </c>
      <c r="F354" s="18">
        <f t="shared" si="22"/>
        <v>126.21357045447853</v>
      </c>
      <c r="G354" s="27">
        <f t="shared" si="23"/>
        <v>0</v>
      </c>
    </row>
    <row r="355" spans="1:7" ht="15">
      <c r="A355" s="25">
        <f>Returns!A345</f>
        <v>45436</v>
      </c>
      <c r="B355" s="18">
        <f>B354*(1+Returns!G345)</f>
        <v>114.45485931025003</v>
      </c>
      <c r="C355" s="18">
        <f t="shared" si="20"/>
        <v>115.20563345020473</v>
      </c>
      <c r="D355" s="27">
        <f t="shared" si="21"/>
        <v>-6.5168179495250778E-3</v>
      </c>
      <c r="E355" s="18">
        <f>E354*(1+Returns!H345)</f>
        <v>126.15559100294568</v>
      </c>
      <c r="F355" s="18">
        <f t="shared" si="22"/>
        <v>126.21357045447853</v>
      </c>
      <c r="G355" s="27">
        <f t="shared" si="23"/>
        <v>-4.5937573371923612E-4</v>
      </c>
    </row>
    <row r="356" spans="1:7" ht="15">
      <c r="A356" s="25">
        <f>Returns!A346</f>
        <v>45439</v>
      </c>
      <c r="B356" s="18">
        <f>B355*(1+Returns!G346)</f>
        <v>114.40832253580392</v>
      </c>
      <c r="C356" s="18">
        <f t="shared" si="20"/>
        <v>115.20563345020473</v>
      </c>
      <c r="D356" s="27">
        <f t="shared" si="21"/>
        <v>-6.9207632519587836E-3</v>
      </c>
      <c r="E356" s="18">
        <f>E355*(1+Returns!H346)</f>
        <v>126.0201303110175</v>
      </c>
      <c r="F356" s="18">
        <f t="shared" si="22"/>
        <v>126.21357045447853</v>
      </c>
      <c r="G356" s="27">
        <f t="shared" si="23"/>
        <v>-1.5326414011146428E-3</v>
      </c>
    </row>
    <row r="357" spans="1:7" ht="15">
      <c r="A357" s="25">
        <f>Returns!A347</f>
        <v>45440</v>
      </c>
      <c r="B357" s="18">
        <f>B356*(1+Returns!G347)</f>
        <v>114.12872446672731</v>
      </c>
      <c r="C357" s="18">
        <f t="shared" si="20"/>
        <v>115.20563345020473</v>
      </c>
      <c r="D357" s="27">
        <f t="shared" si="21"/>
        <v>-9.3477111424667969E-3</v>
      </c>
      <c r="E357" s="18">
        <f>E356*(1+Returns!H347)</f>
        <v>125.77669603848574</v>
      </c>
      <c r="F357" s="18">
        <f t="shared" si="22"/>
        <v>126.21357045447853</v>
      </c>
      <c r="G357" s="27">
        <f t="shared" si="23"/>
        <v>-3.4613902009084097E-3</v>
      </c>
    </row>
    <row r="358" spans="1:7" ht="15">
      <c r="A358" s="25">
        <f>Returns!A348</f>
        <v>45441</v>
      </c>
      <c r="B358" s="18">
        <f>B357*(1+Returns!G348)</f>
        <v>112.63026904611326</v>
      </c>
      <c r="C358" s="18">
        <f t="shared" si="20"/>
        <v>115.20563345020473</v>
      </c>
      <c r="D358" s="27">
        <f t="shared" si="21"/>
        <v>-2.2354500617407957E-2</v>
      </c>
      <c r="E358" s="18">
        <f>E357*(1+Returns!H348)</f>
        <v>124.7685812765224</v>
      </c>
      <c r="F358" s="18">
        <f t="shared" si="22"/>
        <v>126.21357045447853</v>
      </c>
      <c r="G358" s="27">
        <f t="shared" si="23"/>
        <v>-1.1448762385478206E-2</v>
      </c>
    </row>
    <row r="359" spans="1:7" ht="15">
      <c r="A359" s="25">
        <f>Returns!A349</f>
        <v>45442</v>
      </c>
      <c r="B359" s="18">
        <f>B358*(1+Returns!G349)</f>
        <v>111.94701249617526</v>
      </c>
      <c r="C359" s="18">
        <f t="shared" si="20"/>
        <v>115.20563345020473</v>
      </c>
      <c r="D359" s="27">
        <f t="shared" si="21"/>
        <v>-2.828525703509055E-2</v>
      </c>
      <c r="E359" s="18">
        <f>E358*(1+Returns!H349)</f>
        <v>123.581333407176</v>
      </c>
      <c r="F359" s="18">
        <f t="shared" si="22"/>
        <v>126.21357045447853</v>
      </c>
      <c r="G359" s="27">
        <f t="shared" si="23"/>
        <v>-2.0855420204215602E-2</v>
      </c>
    </row>
    <row r="360" spans="1:7" ht="15">
      <c r="A360" s="25">
        <f>Returns!A350</f>
        <v>45443</v>
      </c>
      <c r="B360" s="18">
        <f>B359*(1+Returns!G350)</f>
        <v>112.17434626538197</v>
      </c>
      <c r="C360" s="18">
        <f t="shared" si="20"/>
        <v>115.20563345020473</v>
      </c>
      <c r="D360" s="27">
        <f t="shared" si="21"/>
        <v>-2.631197011848363E-2</v>
      </c>
      <c r="E360" s="18">
        <f>E359*(1+Returns!H350)</f>
        <v>123.81240330944381</v>
      </c>
      <c r="F360" s="18">
        <f t="shared" si="22"/>
        <v>126.21357045447853</v>
      </c>
      <c r="G360" s="27">
        <f t="shared" si="23"/>
        <v>-1.9024635278032553E-2</v>
      </c>
    </row>
    <row r="361" spans="1:7" ht="15">
      <c r="A361" s="25">
        <f>Returns!A351</f>
        <v>45446</v>
      </c>
      <c r="B361" s="18">
        <f>B360*(1+Returns!G351)</f>
        <v>115.2532393551114</v>
      </c>
      <c r="C361" s="18">
        <f t="shared" si="20"/>
        <v>115.2532393551114</v>
      </c>
      <c r="D361" s="27">
        <f t="shared" si="21"/>
        <v>0</v>
      </c>
      <c r="E361" s="18">
        <f>E360*(1+Returns!H351)</f>
        <v>127.84154587256488</v>
      </c>
      <c r="F361" s="18">
        <f t="shared" si="22"/>
        <v>127.84154587256488</v>
      </c>
      <c r="G361" s="27">
        <f t="shared" si="23"/>
        <v>0</v>
      </c>
    </row>
    <row r="362" spans="1:7" ht="15">
      <c r="A362" s="25">
        <f>Returns!A352</f>
        <v>45447</v>
      </c>
      <c r="B362" s="18">
        <f>B361*(1+Returns!G352)</f>
        <v>110.06982862118542</v>
      </c>
      <c r="C362" s="18">
        <f t="shared" si="20"/>
        <v>115.2532393551114</v>
      </c>
      <c r="D362" s="27">
        <f t="shared" si="21"/>
        <v>-4.4974100189541399E-2</v>
      </c>
      <c r="E362" s="18">
        <f>E361*(1+Returns!H352)</f>
        <v>120.26136046282231</v>
      </c>
      <c r="F362" s="18">
        <f t="shared" si="22"/>
        <v>127.84154587256488</v>
      </c>
      <c r="G362" s="27">
        <f t="shared" si="23"/>
        <v>-5.9293599416410769E-2</v>
      </c>
    </row>
    <row r="363" spans="1:7" ht="15">
      <c r="A363" s="25">
        <f>Returns!A353</f>
        <v>45448</v>
      </c>
      <c r="B363" s="18">
        <f>B362*(1+Returns!G353)</f>
        <v>112.99724192893619</v>
      </c>
      <c r="C363" s="18">
        <f t="shared" si="20"/>
        <v>115.2532393551114</v>
      </c>
      <c r="D363" s="27">
        <f t="shared" si="21"/>
        <v>-1.9574264799830599E-2</v>
      </c>
      <c r="E363" s="18">
        <f>E362*(1+Returns!H353)</f>
        <v>124.30505692010824</v>
      </c>
      <c r="F363" s="18">
        <f t="shared" si="22"/>
        <v>127.84154587256488</v>
      </c>
      <c r="G363" s="27">
        <f t="shared" si="23"/>
        <v>-2.7663064681507255E-2</v>
      </c>
    </row>
    <row r="364" spans="1:7" ht="15">
      <c r="A364" s="25">
        <f>Returns!A354</f>
        <v>45449</v>
      </c>
      <c r="B364" s="18">
        <f>B363*(1+Returns!G354)</f>
        <v>114.38951170994585</v>
      </c>
      <c r="C364" s="18">
        <f t="shared" si="20"/>
        <v>115.2532393551114</v>
      </c>
      <c r="D364" s="27">
        <f t="shared" si="21"/>
        <v>-7.4941723980901376E-3</v>
      </c>
      <c r="E364" s="18">
        <f>E363*(1+Returns!H354)</f>
        <v>125.40988638732195</v>
      </c>
      <c r="F364" s="18">
        <f t="shared" si="22"/>
        <v>127.84154587256488</v>
      </c>
      <c r="G364" s="27">
        <f t="shared" si="23"/>
        <v>-1.9020886118405245E-2</v>
      </c>
    </row>
    <row r="365" spans="1:7" ht="15">
      <c r="A365" s="25">
        <f>Returns!A355</f>
        <v>45450</v>
      </c>
      <c r="B365" s="18">
        <f>B364*(1+Returns!G355)</f>
        <v>116.67504518629184</v>
      </c>
      <c r="C365" s="18">
        <f t="shared" si="20"/>
        <v>116.67504518629184</v>
      </c>
      <c r="D365" s="27">
        <f t="shared" si="21"/>
        <v>0</v>
      </c>
      <c r="E365" s="18">
        <f>E364*(1+Returns!H355)</f>
        <v>127.98579685897761</v>
      </c>
      <c r="F365" s="18">
        <f t="shared" si="22"/>
        <v>127.98579685897761</v>
      </c>
      <c r="G365" s="27">
        <f t="shared" si="23"/>
        <v>0</v>
      </c>
    </row>
    <row r="366" spans="1:7" ht="15">
      <c r="A366" s="25">
        <f>Returns!A356</f>
        <v>45453</v>
      </c>
      <c r="B366" s="18">
        <f>B365*(1+Returns!G356)</f>
        <v>115.91565676962077</v>
      </c>
      <c r="C366" s="18">
        <f t="shared" si="20"/>
        <v>116.67504518629184</v>
      </c>
      <c r="D366" s="27">
        <f t="shared" si="21"/>
        <v>-6.5085761523261398E-3</v>
      </c>
      <c r="E366" s="18">
        <f>E365*(1+Returns!H356)</f>
        <v>127.81571163712624</v>
      </c>
      <c r="F366" s="18">
        <f t="shared" si="22"/>
        <v>127.98579685897761</v>
      </c>
      <c r="G366" s="27">
        <f t="shared" si="23"/>
        <v>-1.3289382574128705E-3</v>
      </c>
    </row>
    <row r="367" spans="1:7" ht="15">
      <c r="A367" s="25">
        <f>Returns!A357</f>
        <v>45454</v>
      </c>
      <c r="B367" s="18">
        <f>B366*(1+Returns!G357)</f>
        <v>115.51794968063234</v>
      </c>
      <c r="C367" s="18">
        <f t="shared" si="20"/>
        <v>116.67504518629184</v>
      </c>
      <c r="D367" s="27">
        <f t="shared" si="21"/>
        <v>-9.9172492610737351E-3</v>
      </c>
      <c r="E367" s="18">
        <f>E366*(1+Returns!H357)</f>
        <v>127.84676209126999</v>
      </c>
      <c r="F367" s="18">
        <f t="shared" si="22"/>
        <v>127.98579685897761</v>
      </c>
      <c r="G367" s="27">
        <f t="shared" si="23"/>
        <v>-1.0863296640705178E-3</v>
      </c>
    </row>
    <row r="368" spans="1:7" ht="15">
      <c r="A368" s="25">
        <f>Returns!A358</f>
        <v>45455</v>
      </c>
      <c r="B368" s="18">
        <f>B367*(1+Returns!G358)</f>
        <v>115.59839197690982</v>
      </c>
      <c r="C368" s="18">
        <f t="shared" si="20"/>
        <v>116.67504518629184</v>
      </c>
      <c r="D368" s="27">
        <f t="shared" si="21"/>
        <v>-9.2277933782922705E-3</v>
      </c>
      <c r="E368" s="18">
        <f>E367*(1+Returns!H358)</f>
        <v>128.16603546127141</v>
      </c>
      <c r="F368" s="18">
        <f t="shared" si="22"/>
        <v>128.16603546127141</v>
      </c>
      <c r="G368" s="27">
        <f t="shared" si="23"/>
        <v>0</v>
      </c>
    </row>
    <row r="369" spans="1:7" ht="15">
      <c r="A369" s="25">
        <f>Returns!A359</f>
        <v>45456</v>
      </c>
      <c r="B369" s="18">
        <f>B368*(1+Returns!G359)</f>
        <v>115.95135401173818</v>
      </c>
      <c r="C369" s="18">
        <f t="shared" si="20"/>
        <v>116.67504518629184</v>
      </c>
      <c r="D369" s="27">
        <f t="shared" si="21"/>
        <v>-6.2026217637042302E-3</v>
      </c>
      <c r="E369" s="18">
        <f>E368*(1+Returns!H359)</f>
        <v>128.58340808840171</v>
      </c>
      <c r="F369" s="18">
        <f t="shared" si="22"/>
        <v>128.58340808840171</v>
      </c>
      <c r="G369" s="27">
        <f t="shared" si="23"/>
        <v>0</v>
      </c>
    </row>
    <row r="370" spans="1:7" ht="15">
      <c r="A370" s="25">
        <f>Returns!A360</f>
        <v>45457</v>
      </c>
      <c r="B370" s="18">
        <f>B369*(1+Returns!G360)</f>
        <v>116.12969101790185</v>
      </c>
      <c r="C370" s="18">
        <f t="shared" si="20"/>
        <v>116.67504518629184</v>
      </c>
      <c r="D370" s="27">
        <f t="shared" si="21"/>
        <v>-4.674128623813556E-3</v>
      </c>
      <c r="E370" s="18">
        <f>E369*(1+Returns!H360)</f>
        <v>128.94993868259772</v>
      </c>
      <c r="F370" s="18">
        <f t="shared" si="22"/>
        <v>128.94993868259772</v>
      </c>
      <c r="G370" s="27">
        <f t="shared" si="23"/>
        <v>0</v>
      </c>
    </row>
    <row r="371" spans="1:7" ht="15">
      <c r="A371" s="25">
        <f>Returns!A361</f>
        <v>45461</v>
      </c>
      <c r="B371" s="18">
        <f>B370*(1+Returns!G361)</f>
        <v>116.67319795430113</v>
      </c>
      <c r="C371" s="18">
        <f t="shared" si="20"/>
        <v>116.67504518629184</v>
      </c>
      <c r="D371" s="27">
        <f t="shared" si="21"/>
        <v>-1.5832280054084436E-5</v>
      </c>
      <c r="E371" s="18">
        <f>E370*(1+Returns!H361)</f>
        <v>129.45715692038729</v>
      </c>
      <c r="F371" s="18">
        <f t="shared" si="22"/>
        <v>129.45715692038729</v>
      </c>
      <c r="G371" s="27">
        <f t="shared" si="23"/>
        <v>0</v>
      </c>
    </row>
    <row r="372" spans="1:7" ht="15">
      <c r="A372" s="25">
        <f>Returns!A362</f>
        <v>45462</v>
      </c>
      <c r="B372" s="18">
        <f>B371*(1+Returns!G362)</f>
        <v>117.54883533566323</v>
      </c>
      <c r="C372" s="18">
        <f t="shared" si="20"/>
        <v>117.54883533566323</v>
      </c>
      <c r="D372" s="27">
        <f t="shared" si="21"/>
        <v>0</v>
      </c>
      <c r="E372" s="18">
        <f>E371*(1+Returns!H362)</f>
        <v>129.22690272310217</v>
      </c>
      <c r="F372" s="18">
        <f t="shared" si="22"/>
        <v>129.45715692038729</v>
      </c>
      <c r="G372" s="27">
        <f t="shared" si="23"/>
        <v>-1.7786131162043084E-3</v>
      </c>
    </row>
    <row r="373" spans="1:7" ht="15">
      <c r="A373" s="25">
        <f>Returns!A363</f>
        <v>45463</v>
      </c>
      <c r="B373" s="18">
        <f>B372*(1+Returns!G363)</f>
        <v>118.20405549421575</v>
      </c>
      <c r="C373" s="18">
        <f t="shared" si="20"/>
        <v>118.20405549421575</v>
      </c>
      <c r="D373" s="27">
        <f t="shared" si="21"/>
        <v>0</v>
      </c>
      <c r="E373" s="18">
        <f>E372*(1+Returns!H363)</f>
        <v>129.50716178241831</v>
      </c>
      <c r="F373" s="18">
        <f t="shared" si="22"/>
        <v>129.50716178241831</v>
      </c>
      <c r="G373" s="27">
        <f t="shared" si="23"/>
        <v>0</v>
      </c>
    </row>
    <row r="374" spans="1:7" ht="15">
      <c r="A374" s="25">
        <f>Returns!A364</f>
        <v>45464</v>
      </c>
      <c r="B374" s="18">
        <f>B373*(1+Returns!G364)</f>
        <v>118.1267797599931</v>
      </c>
      <c r="C374" s="18">
        <f t="shared" si="20"/>
        <v>118.20405549421575</v>
      </c>
      <c r="D374" s="27">
        <f t="shared" si="21"/>
        <v>-6.537485867093018E-4</v>
      </c>
      <c r="E374" s="18">
        <f>E373*(1+Returns!H364)</f>
        <v>129.14502096898443</v>
      </c>
      <c r="F374" s="18">
        <f t="shared" si="22"/>
        <v>129.50716178241831</v>
      </c>
      <c r="G374" s="27">
        <f t="shared" si="23"/>
        <v>-2.7962995130902391E-3</v>
      </c>
    </row>
    <row r="375" spans="1:7" ht="15">
      <c r="A375" s="25">
        <f>Returns!A365</f>
        <v>45467</v>
      </c>
      <c r="B375" s="18">
        <f>B374*(1+Returns!G365)</f>
        <v>118.13469947414741</v>
      </c>
      <c r="C375" s="18">
        <f t="shared" si="20"/>
        <v>118.20405549421575</v>
      </c>
      <c r="D375" s="27">
        <f t="shared" si="21"/>
        <v>-5.8674822770132806E-4</v>
      </c>
      <c r="E375" s="18">
        <f>E374*(1+Returns!H365)</f>
        <v>129.34697234996221</v>
      </c>
      <c r="F375" s="18">
        <f t="shared" si="22"/>
        <v>129.50716178241831</v>
      </c>
      <c r="G375" s="27">
        <f t="shared" si="23"/>
        <v>-1.2369156288454253E-3</v>
      </c>
    </row>
    <row r="376" spans="1:7" ht="15">
      <c r="A376" s="25">
        <f>Returns!A366</f>
        <v>45468</v>
      </c>
      <c r="B376" s="18">
        <f>B375*(1+Returns!G366)</f>
        <v>119.80974232311938</v>
      </c>
      <c r="C376" s="18">
        <f t="shared" si="20"/>
        <v>119.80974232311938</v>
      </c>
      <c r="D376" s="27">
        <f t="shared" si="21"/>
        <v>0</v>
      </c>
      <c r="E376" s="18">
        <f>E375*(1+Returns!H366)</f>
        <v>130.35508711192554</v>
      </c>
      <c r="F376" s="18">
        <f t="shared" si="22"/>
        <v>130.35508711192554</v>
      </c>
      <c r="G376" s="27">
        <f t="shared" si="23"/>
        <v>0</v>
      </c>
    </row>
    <row r="377" spans="1:7" ht="15">
      <c r="A377" s="25">
        <f>Returns!A367</f>
        <v>45469</v>
      </c>
      <c r="B377" s="18">
        <f>B376*(1+Returns!G367)</f>
        <v>121.26548751840602</v>
      </c>
      <c r="C377" s="18">
        <f t="shared" si="20"/>
        <v>121.26548751840602</v>
      </c>
      <c r="D377" s="27">
        <f t="shared" si="21"/>
        <v>0</v>
      </c>
      <c r="E377" s="18">
        <f>E376*(1+Returns!H367)</f>
        <v>131.16564027367318</v>
      </c>
      <c r="F377" s="18">
        <f t="shared" si="22"/>
        <v>131.16564027367318</v>
      </c>
      <c r="G377" s="27">
        <f t="shared" si="23"/>
        <v>0</v>
      </c>
    </row>
    <row r="378" spans="1:7" ht="15">
      <c r="A378" s="25">
        <f>Returns!A368</f>
        <v>45470</v>
      </c>
      <c r="B378" s="18">
        <f>B377*(1+Returns!G368)</f>
        <v>122.40740495867567</v>
      </c>
      <c r="C378" s="18">
        <f t="shared" si="20"/>
        <v>122.40740495867567</v>
      </c>
      <c r="D378" s="27">
        <f t="shared" si="21"/>
        <v>0</v>
      </c>
      <c r="E378" s="18">
        <f>E377*(1+Returns!H368)</f>
        <v>132.1311559162115</v>
      </c>
      <c r="F378" s="18">
        <f t="shared" si="22"/>
        <v>132.1311559162115</v>
      </c>
      <c r="G378" s="27">
        <f t="shared" si="23"/>
        <v>0</v>
      </c>
    </row>
    <row r="379" spans="1:7" ht="15">
      <c r="A379" s="25">
        <f>Returns!A369</f>
        <v>45471</v>
      </c>
      <c r="B379" s="18">
        <f>B378*(1+Returns!G369)</f>
        <v>122.31213761532969</v>
      </c>
      <c r="C379" s="18">
        <f t="shared" si="20"/>
        <v>122.40740495867567</v>
      </c>
      <c r="D379" s="27">
        <f t="shared" si="21"/>
        <v>-7.7828088405385021E-4</v>
      </c>
      <c r="E379" s="18">
        <f>E378*(1+Returns!H369)</f>
        <v>131.94486392430932</v>
      </c>
      <c r="F379" s="18">
        <f t="shared" si="22"/>
        <v>132.1311559162115</v>
      </c>
      <c r="G379" s="27">
        <f t="shared" si="23"/>
        <v>-1.4099020825967257E-3</v>
      </c>
    </row>
    <row r="380" spans="1:7" ht="15">
      <c r="A380" s="25">
        <f>Returns!A370</f>
        <v>45474</v>
      </c>
      <c r="B380" s="18">
        <f>B379*(1+Returns!G370)</f>
        <v>123.53116594158567</v>
      </c>
      <c r="C380" s="18">
        <f t="shared" si="20"/>
        <v>123.53116594158567</v>
      </c>
      <c r="D380" s="27">
        <f t="shared" si="21"/>
        <v>0</v>
      </c>
      <c r="E380" s="18">
        <f>E379*(1+Returns!H370)</f>
        <v>132.66666623734812</v>
      </c>
      <c r="F380" s="18">
        <f t="shared" si="22"/>
        <v>132.66666623734812</v>
      </c>
      <c r="G380" s="27">
        <f t="shared" si="23"/>
        <v>0</v>
      </c>
    </row>
    <row r="381" spans="1:7" ht="15">
      <c r="A381" s="25">
        <f>Returns!A371</f>
        <v>45475</v>
      </c>
      <c r="B381" s="18">
        <f>B380*(1+Returns!G371)</f>
        <v>124.36153578369967</v>
      </c>
      <c r="C381" s="18">
        <f t="shared" si="20"/>
        <v>124.36153578369967</v>
      </c>
      <c r="D381" s="27">
        <f t="shared" si="21"/>
        <v>0</v>
      </c>
      <c r="E381" s="18">
        <f>E380*(1+Returns!H371)</f>
        <v>132.56720389426133</v>
      </c>
      <c r="F381" s="18">
        <f t="shared" si="22"/>
        <v>132.66666623734812</v>
      </c>
      <c r="G381" s="27">
        <f t="shared" si="23"/>
        <v>-7.4971615634678024E-4</v>
      </c>
    </row>
    <row r="382" spans="1:7" ht="15">
      <c r="A382" s="25">
        <f>Returns!A372</f>
        <v>45476</v>
      </c>
      <c r="B382" s="18">
        <f>B381*(1+Returns!G372)</f>
        <v>124.71439508916698</v>
      </c>
      <c r="C382" s="18">
        <f t="shared" si="20"/>
        <v>124.71439508916698</v>
      </c>
      <c r="D382" s="27">
        <f t="shared" si="21"/>
        <v>0</v>
      </c>
      <c r="E382" s="18">
        <f>E381*(1+Returns!H372)</f>
        <v>133.46101262904494</v>
      </c>
      <c r="F382" s="18">
        <f t="shared" si="22"/>
        <v>133.46101262904494</v>
      </c>
      <c r="G382" s="27">
        <f t="shared" si="23"/>
        <v>0</v>
      </c>
    </row>
    <row r="383" spans="1:7" ht="15">
      <c r="A383" s="25">
        <f>Returns!A373</f>
        <v>45477</v>
      </c>
      <c r="B383" s="18">
        <f>B382*(1+Returns!G373)</f>
        <v>125.12143569501109</v>
      </c>
      <c r="C383" s="18">
        <f t="shared" si="20"/>
        <v>125.12143569501109</v>
      </c>
      <c r="D383" s="27">
        <f t="shared" si="21"/>
        <v>0</v>
      </c>
      <c r="E383" s="18">
        <f>E382*(1+Returns!H373)</f>
        <v>133.54701583991735</v>
      </c>
      <c r="F383" s="18">
        <f t="shared" si="22"/>
        <v>133.54701583991735</v>
      </c>
      <c r="G383" s="27">
        <f t="shared" si="23"/>
        <v>0</v>
      </c>
    </row>
    <row r="384" spans="1:7" ht="15">
      <c r="A384" s="25">
        <f>Returns!A374</f>
        <v>45478</v>
      </c>
      <c r="B384" s="18">
        <f>B383*(1+Returns!G374)</f>
        <v>124.29896832419404</v>
      </c>
      <c r="C384" s="18">
        <f t="shared" si="20"/>
        <v>125.12143569501109</v>
      </c>
      <c r="D384" s="27">
        <f t="shared" si="21"/>
        <v>-6.5733530489680003E-3</v>
      </c>
      <c r="E384" s="18">
        <f>E383*(1+Returns!H374)</f>
        <v>133.66625902883439</v>
      </c>
      <c r="F384" s="18">
        <f t="shared" si="22"/>
        <v>133.66625902883439</v>
      </c>
      <c r="G384" s="27">
        <f t="shared" si="23"/>
        <v>0</v>
      </c>
    </row>
    <row r="385" spans="1:7" ht="15">
      <c r="A385" s="25">
        <f>Returns!A375</f>
        <v>45481</v>
      </c>
      <c r="B385" s="18">
        <f>B384*(1+Returns!G375)</f>
        <v>124.36907370583047</v>
      </c>
      <c r="C385" s="18">
        <f t="shared" si="20"/>
        <v>125.12143569501109</v>
      </c>
      <c r="D385" s="27">
        <f t="shared" si="21"/>
        <v>-6.0130543180029195E-3</v>
      </c>
      <c r="E385" s="18">
        <f>E384*(1+Returns!H375)</f>
        <v>133.6481310588901</v>
      </c>
      <c r="F385" s="18">
        <f t="shared" si="22"/>
        <v>133.66625902883439</v>
      </c>
      <c r="G385" s="27">
        <f t="shared" si="23"/>
        <v>-1.3562113637355377E-4</v>
      </c>
    </row>
    <row r="386" spans="1:7" ht="15">
      <c r="A386" s="25">
        <f>Returns!A376</f>
        <v>45482</v>
      </c>
      <c r="B386" s="18">
        <f>B385*(1+Returns!G376)</f>
        <v>124.28547690759986</v>
      </c>
      <c r="C386" s="18">
        <f t="shared" si="20"/>
        <v>125.12143569501109</v>
      </c>
      <c r="D386" s="27">
        <f t="shared" si="21"/>
        <v>-6.6811796297551185E-3</v>
      </c>
      <c r="E386" s="18">
        <f>E385*(1+Returns!H376)</f>
        <v>134.26716527707015</v>
      </c>
      <c r="F386" s="18">
        <f t="shared" si="22"/>
        <v>134.26716527707015</v>
      </c>
      <c r="G386" s="27">
        <f t="shared" si="23"/>
        <v>0</v>
      </c>
    </row>
    <row r="387" spans="1:7" ht="15">
      <c r="A387" s="25">
        <f>Returns!A377</f>
        <v>45483</v>
      </c>
      <c r="B387" s="18">
        <f>B386*(1+Returns!G377)</f>
        <v>123.31807489684707</v>
      </c>
      <c r="C387" s="18">
        <f t="shared" si="20"/>
        <v>125.12143569501109</v>
      </c>
      <c r="D387" s="27">
        <f t="shared" si="21"/>
        <v>-1.44128844761644E-2</v>
      </c>
      <c r="E387" s="18">
        <f>E386*(1+Returns!H377)</f>
        <v>133.66955404764605</v>
      </c>
      <c r="F387" s="18">
        <f t="shared" si="22"/>
        <v>134.26716527707015</v>
      </c>
      <c r="G387" s="27">
        <f t="shared" si="23"/>
        <v>-4.4509111977667493E-3</v>
      </c>
    </row>
    <row r="388" spans="1:7" ht="15">
      <c r="A388" s="25">
        <f>Returns!A378</f>
        <v>45484</v>
      </c>
      <c r="B388" s="18">
        <f>B387*(1+Returns!G378)</f>
        <v>123.23994500194105</v>
      </c>
      <c r="C388" s="18">
        <f t="shared" si="20"/>
        <v>125.12143569501109</v>
      </c>
      <c r="D388" s="27">
        <f t="shared" si="21"/>
        <v>-1.5037317008224305E-2</v>
      </c>
      <c r="E388" s="18">
        <f>E387*(1+Returns!H378)</f>
        <v>133.62284420442668</v>
      </c>
      <c r="F388" s="18">
        <f t="shared" si="22"/>
        <v>134.26716527707015</v>
      </c>
      <c r="G388" s="27">
        <f t="shared" si="23"/>
        <v>-4.7987985097760477E-3</v>
      </c>
    </row>
    <row r="389" spans="1:7" ht="15">
      <c r="A389" s="25">
        <f>Returns!A379</f>
        <v>45485</v>
      </c>
      <c r="B389" s="18">
        <f>B388*(1+Returns!G379)</f>
        <v>125.78096778454767</v>
      </c>
      <c r="C389" s="18">
        <f t="shared" si="20"/>
        <v>125.78096778454767</v>
      </c>
      <c r="D389" s="27">
        <f t="shared" si="21"/>
        <v>0</v>
      </c>
      <c r="E389" s="18">
        <f>E388*(1+Returns!H379)</f>
        <v>134.64607097449039</v>
      </c>
      <c r="F389" s="18">
        <f t="shared" si="22"/>
        <v>134.64607097449039</v>
      </c>
      <c r="G389" s="27">
        <f t="shared" si="23"/>
        <v>0</v>
      </c>
    </row>
    <row r="390" spans="1:7" ht="15">
      <c r="A390" s="25">
        <f>Returns!A380</f>
        <v>45488</v>
      </c>
      <c r="B390" s="18">
        <f>B389*(1+Returns!G380)</f>
        <v>125.59355908125146</v>
      </c>
      <c r="C390" s="18">
        <f t="shared" si="20"/>
        <v>125.78096778454767</v>
      </c>
      <c r="D390" s="27">
        <f t="shared" si="21"/>
        <v>-1.489960735691187E-3</v>
      </c>
      <c r="E390" s="18">
        <f>E389*(1+Returns!H380)</f>
        <v>135.11069009285498</v>
      </c>
      <c r="F390" s="18">
        <f t="shared" si="22"/>
        <v>135.11069009285498</v>
      </c>
      <c r="G390" s="27">
        <f t="shared" si="23"/>
        <v>0</v>
      </c>
    </row>
    <row r="391" spans="1:7" ht="15">
      <c r="A391" s="25">
        <f>Returns!A381</f>
        <v>45489</v>
      </c>
      <c r="B391" s="18">
        <f>B390*(1+Returns!G381)</f>
        <v>125.55355823790526</v>
      </c>
      <c r="C391" s="18">
        <f t="shared" si="20"/>
        <v>125.78096778454767</v>
      </c>
      <c r="D391" s="27">
        <f t="shared" si="21"/>
        <v>-1.8079805764568135E-3</v>
      </c>
      <c r="E391" s="18">
        <f>E390*(1+Returns!H381)</f>
        <v>135.25522013623547</v>
      </c>
      <c r="F391" s="18">
        <f t="shared" si="22"/>
        <v>135.25522013623547</v>
      </c>
      <c r="G391" s="27">
        <f t="shared" si="23"/>
        <v>0</v>
      </c>
    </row>
    <row r="392" spans="1:7" ht="15">
      <c r="A392" s="25">
        <f>Returns!A382</f>
        <v>45491</v>
      </c>
      <c r="B392" s="18">
        <f>B391*(1+Returns!G382)</f>
        <v>126.9962699989308</v>
      </c>
      <c r="C392" s="18">
        <f t="shared" si="20"/>
        <v>126.9962699989308</v>
      </c>
      <c r="D392" s="27">
        <f t="shared" si="21"/>
        <v>0</v>
      </c>
      <c r="E392" s="18">
        <f>E391*(1+Returns!H382)</f>
        <v>136.28750552479116</v>
      </c>
      <c r="F392" s="18">
        <f t="shared" si="22"/>
        <v>136.28750552479116</v>
      </c>
      <c r="G392" s="27">
        <f t="shared" si="23"/>
        <v>0</v>
      </c>
    </row>
    <row r="393" spans="1:7" ht="15">
      <c r="A393" s="25">
        <f>Returns!A383</f>
        <v>45492</v>
      </c>
      <c r="B393" s="18">
        <f>B392*(1+Returns!G383)</f>
        <v>126.5524386473449</v>
      </c>
      <c r="C393" s="18">
        <f t="shared" si="20"/>
        <v>126.9962699989308</v>
      </c>
      <c r="D393" s="27">
        <f t="shared" si="21"/>
        <v>-3.4948376955451499E-3</v>
      </c>
      <c r="E393" s="18">
        <f>E392*(1+Returns!H383)</f>
        <v>134.80406015008526</v>
      </c>
      <c r="F393" s="18">
        <f t="shared" si="22"/>
        <v>136.28750552479116</v>
      </c>
      <c r="G393" s="27">
        <f t="shared" si="23"/>
        <v>-1.0884676251089243E-2</v>
      </c>
    </row>
    <row r="394" spans="1:7" ht="15">
      <c r="A394" s="25">
        <f>Returns!A384</f>
        <v>45495</v>
      </c>
      <c r="B394" s="18">
        <f>B393*(1+Returns!G384)</f>
        <v>126.12501632837539</v>
      </c>
      <c r="C394" s="18">
        <f t="shared" si="20"/>
        <v>126.9962699989308</v>
      </c>
      <c r="D394" s="27">
        <f t="shared" si="21"/>
        <v>-6.8604666149859606E-3</v>
      </c>
      <c r="E394" s="18">
        <f>E393*(1+Returns!H384)</f>
        <v>134.68508528517566</v>
      </c>
      <c r="F394" s="18">
        <f t="shared" si="22"/>
        <v>136.28750552479116</v>
      </c>
      <c r="G394" s="27">
        <f t="shared" si="23"/>
        <v>-1.1757645966482322E-2</v>
      </c>
    </row>
    <row r="395" spans="1:7" ht="15">
      <c r="A395" s="25">
        <f>Returns!A385</f>
        <v>45496</v>
      </c>
      <c r="B395" s="18">
        <f>B394*(1+Returns!G385)</f>
        <v>125.53391033242922</v>
      </c>
      <c r="C395" s="18">
        <f t="shared" si="20"/>
        <v>126.9962699989308</v>
      </c>
      <c r="D395" s="27">
        <f t="shared" si="21"/>
        <v>-1.1514981239322153E-2</v>
      </c>
      <c r="E395" s="18">
        <f>E394*(1+Returns!H385)</f>
        <v>134.51913225303923</v>
      </c>
      <c r="F395" s="18">
        <f t="shared" si="22"/>
        <v>136.28750552479116</v>
      </c>
      <c r="G395" s="27">
        <f t="shared" si="23"/>
        <v>-1.2975314684516404E-2</v>
      </c>
    </row>
    <row r="396" spans="1:7" ht="15">
      <c r="A396" s="25">
        <f>Returns!A386</f>
        <v>45497</v>
      </c>
      <c r="B396" s="18">
        <f>B395*(1+Returns!G386)</f>
        <v>125.35511706423668</v>
      </c>
      <c r="C396" s="18">
        <f t="shared" si="20"/>
        <v>126.9962699989308</v>
      </c>
      <c r="D396" s="27">
        <f t="shared" si="21"/>
        <v>-1.292284359775242E-2</v>
      </c>
      <c r="E396" s="18">
        <f>E395*(1+Returns!H386)</f>
        <v>134.15891263949879</v>
      </c>
      <c r="F396" s="18">
        <f t="shared" si="22"/>
        <v>136.28750552479116</v>
      </c>
      <c r="G396" s="27">
        <f t="shared" si="23"/>
        <v>-1.5618400799808918E-2</v>
      </c>
    </row>
    <row r="397" spans="1:7" ht="15">
      <c r="A397" s="25">
        <f>Returns!A387</f>
        <v>45498</v>
      </c>
      <c r="B397" s="18">
        <f>B396*(1+Returns!G387)</f>
        <v>125.14656346843628</v>
      </c>
      <c r="C397" s="18">
        <f t="shared" si="20"/>
        <v>126.9962699989308</v>
      </c>
      <c r="D397" s="27">
        <f t="shared" si="21"/>
        <v>-1.4565046127024694E-2</v>
      </c>
      <c r="E397" s="18">
        <f>E396*(1+Returns!H387)</f>
        <v>134.11824545292754</v>
      </c>
      <c r="F397" s="18">
        <f t="shared" si="22"/>
        <v>136.28750552479116</v>
      </c>
      <c r="G397" s="27">
        <f t="shared" si="23"/>
        <v>-1.5916793425124531E-2</v>
      </c>
    </row>
    <row r="398" spans="1:7" ht="15">
      <c r="A398" s="25">
        <f>Returns!A388</f>
        <v>45499</v>
      </c>
      <c r="B398" s="18">
        <f>B397*(1+Returns!G388)</f>
        <v>126.60523580363053</v>
      </c>
      <c r="C398" s="18">
        <f t="shared" si="20"/>
        <v>126.9962699989308</v>
      </c>
      <c r="D398" s="27">
        <f t="shared" si="21"/>
        <v>-3.0790998452439045E-3</v>
      </c>
      <c r="E398" s="18">
        <f>E397*(1+Returns!H388)</f>
        <v>136.47434489766854</v>
      </c>
      <c r="F398" s="18">
        <f t="shared" si="22"/>
        <v>136.47434489766854</v>
      </c>
      <c r="G398" s="27">
        <f t="shared" si="23"/>
        <v>0</v>
      </c>
    </row>
    <row r="399" spans="1:7" ht="15">
      <c r="A399" s="25">
        <f>Returns!A389</f>
        <v>45502</v>
      </c>
      <c r="B399" s="18">
        <f>B398*(1+Returns!G389)</f>
        <v>126.5500265916741</v>
      </c>
      <c r="C399" s="18">
        <f t="shared" si="20"/>
        <v>126.9962699989308</v>
      </c>
      <c r="D399" s="27">
        <f t="shared" si="21"/>
        <v>-3.5138308177118383E-3</v>
      </c>
      <c r="E399" s="18">
        <f>E398*(1+Returns!H389)</f>
        <v>136.48121399225963</v>
      </c>
      <c r="F399" s="18">
        <f t="shared" si="22"/>
        <v>136.48121399225963</v>
      </c>
      <c r="G399" s="27">
        <f t="shared" si="23"/>
        <v>0</v>
      </c>
    </row>
    <row r="400" spans="1:7" ht="15">
      <c r="A400" s="25">
        <f>Returns!A390</f>
        <v>45503</v>
      </c>
      <c r="B400" s="18">
        <f>B399*(1+Returns!G390)</f>
        <v>126.53186215275117</v>
      </c>
      <c r="C400" s="18">
        <f t="shared" ref="C400:C463" si="24">MAX(C399,B400)</f>
        <v>126.9962699989308</v>
      </c>
      <c r="D400" s="27">
        <f t="shared" ref="D400:D463" si="25">B400/C400-1</f>
        <v>-3.6568620966862531E-3</v>
      </c>
      <c r="E400" s="18">
        <f>E399*(1+Returns!H390)</f>
        <v>136.59772027630055</v>
      </c>
      <c r="F400" s="18">
        <f t="shared" ref="F400:F463" si="26">MAX(F399,E400)</f>
        <v>136.59772027630055</v>
      </c>
      <c r="G400" s="27">
        <f t="shared" ref="G400:G463" si="27">E400/F400-1</f>
        <v>0</v>
      </c>
    </row>
    <row r="401" spans="1:7" ht="15">
      <c r="A401" s="25">
        <f>Returns!A391</f>
        <v>45504</v>
      </c>
      <c r="B401" s="18">
        <f>B400*(1+Returns!G391)</f>
        <v>126.48576633138201</v>
      </c>
      <c r="C401" s="18">
        <f t="shared" si="24"/>
        <v>126.9962699989308</v>
      </c>
      <c r="D401" s="27">
        <f t="shared" si="25"/>
        <v>-4.0198319805225813E-3</v>
      </c>
      <c r="E401" s="18">
        <f>E400*(1+Returns!H391)</f>
        <v>137.11344975160691</v>
      </c>
      <c r="F401" s="18">
        <f t="shared" si="26"/>
        <v>137.11344975160691</v>
      </c>
      <c r="G401" s="27">
        <f t="shared" si="27"/>
        <v>0</v>
      </c>
    </row>
    <row r="402" spans="1:7" ht="15">
      <c r="A402" s="25">
        <f>Returns!A392</f>
        <v>45505</v>
      </c>
      <c r="B402" s="18">
        <f>B401*(1+Returns!G392)</f>
        <v>126.97818139600956</v>
      </c>
      <c r="C402" s="18">
        <f t="shared" si="24"/>
        <v>126.9962699989308</v>
      </c>
      <c r="D402" s="27">
        <f t="shared" si="25"/>
        <v>-1.4243412756442808E-4</v>
      </c>
      <c r="E402" s="18">
        <f>E401*(1+Returns!H392)</f>
        <v>137.44179247306062</v>
      </c>
      <c r="F402" s="18">
        <f t="shared" si="26"/>
        <v>137.44179247306062</v>
      </c>
      <c r="G402" s="27">
        <f t="shared" si="27"/>
        <v>0</v>
      </c>
    </row>
    <row r="403" spans="1:7" ht="15">
      <c r="A403" s="25">
        <f>Returns!A393</f>
        <v>45506</v>
      </c>
      <c r="B403" s="18">
        <f>B402*(1+Returns!G393)</f>
        <v>125.84290336807959</v>
      </c>
      <c r="C403" s="18">
        <f t="shared" si="24"/>
        <v>126.9962699989308</v>
      </c>
      <c r="D403" s="27">
        <f t="shared" si="25"/>
        <v>-9.0818937505874331E-3</v>
      </c>
      <c r="E403" s="18">
        <f>E402*(1+Returns!H393)</f>
        <v>135.83057120600031</v>
      </c>
      <c r="F403" s="18">
        <f t="shared" si="26"/>
        <v>137.44179247306062</v>
      </c>
      <c r="G403" s="27">
        <f t="shared" si="27"/>
        <v>-1.1722935491954578E-2</v>
      </c>
    </row>
    <row r="404" spans="1:7" ht="15">
      <c r="A404" s="25">
        <f>Returns!A394</f>
        <v>45509</v>
      </c>
      <c r="B404" s="18">
        <f>B403*(1+Returns!G394)</f>
        <v>122.08054768035637</v>
      </c>
      <c r="C404" s="18">
        <f t="shared" si="24"/>
        <v>126.9962699989308</v>
      </c>
      <c r="D404" s="27">
        <f t="shared" si="25"/>
        <v>-3.8707611795337105E-2</v>
      </c>
      <c r="E404" s="18">
        <f>E403*(1+Returns!H394)</f>
        <v>132.19215132958823</v>
      </c>
      <c r="F404" s="18">
        <f t="shared" si="26"/>
        <v>137.44179247306062</v>
      </c>
      <c r="G404" s="27">
        <f t="shared" si="27"/>
        <v>-3.8195377468620784E-2</v>
      </c>
    </row>
    <row r="405" spans="1:7" ht="15">
      <c r="A405" s="25">
        <f>Returns!A395</f>
        <v>45510</v>
      </c>
      <c r="B405" s="18">
        <f>B404*(1+Returns!G395)</f>
        <v>121.98644365756473</v>
      </c>
      <c r="C405" s="18">
        <f t="shared" si="24"/>
        <v>126.9962699989308</v>
      </c>
      <c r="D405" s="27">
        <f t="shared" si="25"/>
        <v>-3.9448610115936811E-2</v>
      </c>
      <c r="E405" s="18">
        <f>E404*(1+Returns!H395)</f>
        <v>131.84568063819026</v>
      </c>
      <c r="F405" s="18">
        <f t="shared" si="26"/>
        <v>137.44179247306062</v>
      </c>
      <c r="G405" s="27">
        <f t="shared" si="27"/>
        <v>-4.0716231461891184E-2</v>
      </c>
    </row>
    <row r="406" spans="1:7" ht="15">
      <c r="A406" s="25">
        <f>Returns!A396</f>
        <v>45511</v>
      </c>
      <c r="B406" s="18">
        <f>B405*(1+Returns!G396)</f>
        <v>123.27758117657379</v>
      </c>
      <c r="C406" s="18">
        <f t="shared" si="24"/>
        <v>126.9962699989308</v>
      </c>
      <c r="D406" s="27">
        <f t="shared" si="25"/>
        <v>-2.9281874360469917E-2</v>
      </c>
      <c r="E406" s="18">
        <f>E405*(1+Returns!H396)</f>
        <v>133.52146066144644</v>
      </c>
      <c r="F406" s="18">
        <f t="shared" si="26"/>
        <v>137.44179247306062</v>
      </c>
      <c r="G406" s="27">
        <f t="shared" si="27"/>
        <v>-2.8523578898918878E-2</v>
      </c>
    </row>
    <row r="407" spans="1:7" ht="15">
      <c r="A407" s="25">
        <f>Returns!A397</f>
        <v>45512</v>
      </c>
      <c r="B407" s="18">
        <f>B406*(1+Returns!G397)</f>
        <v>122.52359246144974</v>
      </c>
      <c r="C407" s="18">
        <f t="shared" si="24"/>
        <v>126.9962699989308</v>
      </c>
      <c r="D407" s="27">
        <f t="shared" si="25"/>
        <v>-3.5218967750145103E-2</v>
      </c>
      <c r="E407" s="18">
        <f>E406*(1+Returns!H397)</f>
        <v>132.52956340249423</v>
      </c>
      <c r="F407" s="18">
        <f t="shared" si="26"/>
        <v>137.44179247306062</v>
      </c>
      <c r="G407" s="27">
        <f t="shared" si="27"/>
        <v>-3.574043223809964E-2</v>
      </c>
    </row>
    <row r="408" spans="1:7" ht="15">
      <c r="A408" s="25">
        <f>Returns!A398</f>
        <v>45513</v>
      </c>
      <c r="B408" s="18">
        <f>B407*(1+Returns!G398)</f>
        <v>123.92709799053181</v>
      </c>
      <c r="C408" s="18">
        <f t="shared" si="24"/>
        <v>126.9962699989308</v>
      </c>
      <c r="D408" s="27">
        <f t="shared" si="25"/>
        <v>-2.4167418526739648E-2</v>
      </c>
      <c r="E408" s="18">
        <f>E407*(1+Returns!H398)</f>
        <v>133.90612995854701</v>
      </c>
      <c r="F408" s="18">
        <f t="shared" si="26"/>
        <v>137.44179247306062</v>
      </c>
      <c r="G408" s="27">
        <f t="shared" si="27"/>
        <v>-2.5724799210593896E-2</v>
      </c>
    </row>
    <row r="409" spans="1:7" ht="15">
      <c r="A409" s="25">
        <f>Returns!A399</f>
        <v>45516</v>
      </c>
      <c r="B409" s="18">
        <f>B408*(1+Returns!G399)</f>
        <v>124.09058434673003</v>
      </c>
      <c r="C409" s="18">
        <f t="shared" si="24"/>
        <v>126.9962699989308</v>
      </c>
      <c r="D409" s="27">
        <f t="shared" si="25"/>
        <v>-2.2880086574394998E-2</v>
      </c>
      <c r="E409" s="18">
        <f>E408*(1+Returns!H399)</f>
        <v>133.79347680725328</v>
      </c>
      <c r="F409" s="18">
        <f t="shared" si="26"/>
        <v>137.44179247306062</v>
      </c>
      <c r="G409" s="27">
        <f t="shared" si="27"/>
        <v>-2.6544441833603272E-2</v>
      </c>
    </row>
    <row r="410" spans="1:7" ht="15">
      <c r="A410" s="25">
        <f>Returns!A400</f>
        <v>45517</v>
      </c>
      <c r="B410" s="18">
        <f>B409*(1+Returns!G400)</f>
        <v>123.0285861348182</v>
      </c>
      <c r="C410" s="18">
        <f t="shared" si="24"/>
        <v>126.9962699989308</v>
      </c>
      <c r="D410" s="27">
        <f t="shared" si="25"/>
        <v>-3.1242522824851515E-2</v>
      </c>
      <c r="E410" s="18">
        <f>E409*(1+Returns!H400)</f>
        <v>132.65045946729728</v>
      </c>
      <c r="F410" s="18">
        <f t="shared" si="26"/>
        <v>137.44179247306062</v>
      </c>
      <c r="G410" s="27">
        <f t="shared" si="27"/>
        <v>-3.4860815764626074E-2</v>
      </c>
    </row>
    <row r="411" spans="1:7" ht="15">
      <c r="A411" s="25">
        <f>Returns!A401</f>
        <v>45518</v>
      </c>
      <c r="B411" s="18">
        <f>B410*(1+Returns!G401)</f>
        <v>123.81490228874925</v>
      </c>
      <c r="C411" s="18">
        <f t="shared" si="24"/>
        <v>126.9962699989308</v>
      </c>
      <c r="D411" s="27">
        <f t="shared" si="25"/>
        <v>-2.5050875196636291E-2</v>
      </c>
      <c r="E411" s="18">
        <f>E410*(1+Returns!H401)</f>
        <v>132.67656202674337</v>
      </c>
      <c r="F411" s="18">
        <f t="shared" si="26"/>
        <v>137.44179247306062</v>
      </c>
      <c r="G411" s="27">
        <f t="shared" si="27"/>
        <v>-3.4670898571489861E-2</v>
      </c>
    </row>
    <row r="412" spans="1:7" ht="15">
      <c r="A412" s="25">
        <f>Returns!A402</f>
        <v>45520</v>
      </c>
      <c r="B412" s="18">
        <f>B411*(1+Returns!G402)</f>
        <v>126.09830629418376</v>
      </c>
      <c r="C412" s="18">
        <f t="shared" si="24"/>
        <v>126.9962699989308</v>
      </c>
      <c r="D412" s="27">
        <f t="shared" si="25"/>
        <v>-7.0707880219994523E-3</v>
      </c>
      <c r="E412" s="18">
        <f>E411*(1+Returns!H402)</f>
        <v>134.86038672573213</v>
      </c>
      <c r="F412" s="18">
        <f t="shared" si="26"/>
        <v>137.44179247306062</v>
      </c>
      <c r="G412" s="27">
        <f t="shared" si="27"/>
        <v>-1.8781810837009139E-2</v>
      </c>
    </row>
    <row r="413" spans="1:7" ht="15">
      <c r="A413" s="25">
        <f>Returns!A403</f>
        <v>45523</v>
      </c>
      <c r="B413" s="18">
        <f>B412*(1+Returns!G403)</f>
        <v>126.71397022381966</v>
      </c>
      <c r="C413" s="18">
        <f t="shared" si="24"/>
        <v>126.9962699989308</v>
      </c>
      <c r="D413" s="27">
        <f t="shared" si="25"/>
        <v>-2.2228981616035925E-3</v>
      </c>
      <c r="E413" s="18">
        <f>E412*(1+Returns!H403)</f>
        <v>135.03348790942738</v>
      </c>
      <c r="F413" s="18">
        <f t="shared" si="26"/>
        <v>137.44179247306062</v>
      </c>
      <c r="G413" s="27">
        <f t="shared" si="27"/>
        <v>-1.7522359977262925E-2</v>
      </c>
    </row>
    <row r="414" spans="1:7" ht="15">
      <c r="A414" s="25">
        <f>Returns!A404</f>
        <v>45524</v>
      </c>
      <c r="B414" s="18">
        <f>B413*(1+Returns!G404)</f>
        <v>127.31482574742016</v>
      </c>
      <c r="C414" s="18">
        <f t="shared" si="24"/>
        <v>127.31482574742016</v>
      </c>
      <c r="D414" s="27">
        <f t="shared" si="25"/>
        <v>0</v>
      </c>
      <c r="E414" s="18">
        <f>E413*(1+Returns!H404)</f>
        <v>135.72698740615886</v>
      </c>
      <c r="F414" s="18">
        <f t="shared" si="26"/>
        <v>137.44179247306062</v>
      </c>
      <c r="G414" s="27">
        <f t="shared" si="27"/>
        <v>-1.2476591261263326E-2</v>
      </c>
    </row>
    <row r="415" spans="1:7" ht="15">
      <c r="A415" s="25">
        <f>Returns!A405</f>
        <v>45525</v>
      </c>
      <c r="B415" s="18">
        <f>B414*(1+Returns!G405)</f>
        <v>127.23090103091675</v>
      </c>
      <c r="C415" s="18">
        <f t="shared" si="24"/>
        <v>127.31482574742016</v>
      </c>
      <c r="D415" s="27">
        <f t="shared" si="25"/>
        <v>-6.591904439307017E-4</v>
      </c>
      <c r="E415" s="18">
        <f>E414*(1+Returns!H405)</f>
        <v>136.11907317882572</v>
      </c>
      <c r="F415" s="18">
        <f t="shared" si="26"/>
        <v>137.44179247306062</v>
      </c>
      <c r="G415" s="27">
        <f t="shared" si="27"/>
        <v>-9.6238507257111472E-3</v>
      </c>
    </row>
    <row r="416" spans="1:7" ht="15">
      <c r="A416" s="25">
        <f>Returns!A406</f>
        <v>45526</v>
      </c>
      <c r="B416" s="18">
        <f>B415*(1+Returns!G406)</f>
        <v>127.39100051809552</v>
      </c>
      <c r="C416" s="18">
        <f t="shared" si="24"/>
        <v>127.39100051809552</v>
      </c>
      <c r="D416" s="27">
        <f t="shared" si="25"/>
        <v>0</v>
      </c>
      <c r="E416" s="18">
        <f>E415*(1+Returns!H406)</f>
        <v>136.34603235729918</v>
      </c>
      <c r="F416" s="18">
        <f t="shared" si="26"/>
        <v>137.44179247306062</v>
      </c>
      <c r="G416" s="27">
        <f t="shared" si="27"/>
        <v>-7.9725394732188537E-3</v>
      </c>
    </row>
    <row r="417" spans="1:7" ht="15">
      <c r="A417" s="25">
        <f>Returns!A407</f>
        <v>45527</v>
      </c>
      <c r="B417" s="18">
        <f>B416*(1+Returns!G407)</f>
        <v>127.10716464841367</v>
      </c>
      <c r="C417" s="18">
        <f t="shared" si="24"/>
        <v>127.39100051809552</v>
      </c>
      <c r="D417" s="27">
        <f t="shared" si="25"/>
        <v>-2.2280684548162677E-3</v>
      </c>
      <c r="E417" s="18">
        <f>E416*(1+Returns!H407)</f>
        <v>136.4100544654801</v>
      </c>
      <c r="F417" s="18">
        <f t="shared" si="26"/>
        <v>137.44179247306062</v>
      </c>
      <c r="G417" s="27">
        <f t="shared" si="27"/>
        <v>-7.506726949757625E-3</v>
      </c>
    </row>
    <row r="418" spans="1:7" ht="15">
      <c r="A418" s="25">
        <f>Returns!A408</f>
        <v>45530</v>
      </c>
      <c r="B418" s="18">
        <f>B417*(1+Returns!G408)</f>
        <v>128.18463326228945</v>
      </c>
      <c r="C418" s="18">
        <f t="shared" si="24"/>
        <v>128.18463326228945</v>
      </c>
      <c r="D418" s="27">
        <f t="shared" si="25"/>
        <v>0</v>
      </c>
      <c r="E418" s="18">
        <f>E417*(1+Returns!H408)</f>
        <v>137.44013959717461</v>
      </c>
      <c r="F418" s="18">
        <f t="shared" si="26"/>
        <v>137.44179247306062</v>
      </c>
      <c r="G418" s="27">
        <f t="shared" si="27"/>
        <v>-1.2026006473542239E-5</v>
      </c>
    </row>
    <row r="419" spans="1:7" ht="15">
      <c r="A419" s="25">
        <f>Returns!A409</f>
        <v>45531</v>
      </c>
      <c r="B419" s="18">
        <f>B418*(1+Returns!G409)</f>
        <v>128.30631379334139</v>
      </c>
      <c r="C419" s="18">
        <f t="shared" si="24"/>
        <v>128.30631379334139</v>
      </c>
      <c r="D419" s="27">
        <f t="shared" si="25"/>
        <v>0</v>
      </c>
      <c r="E419" s="18">
        <f>E418*(1+Returns!H409)</f>
        <v>137.47943296482765</v>
      </c>
      <c r="F419" s="18">
        <f t="shared" si="26"/>
        <v>137.47943296482765</v>
      </c>
      <c r="G419" s="27">
        <f t="shared" si="27"/>
        <v>0</v>
      </c>
    </row>
    <row r="420" spans="1:7" ht="15">
      <c r="A420" s="25">
        <f>Returns!A410</f>
        <v>45532</v>
      </c>
      <c r="B420" s="18">
        <f>B419*(1+Returns!G410)</f>
        <v>128.65420259229936</v>
      </c>
      <c r="C420" s="18">
        <f t="shared" si="24"/>
        <v>128.65420259229936</v>
      </c>
      <c r="D420" s="27">
        <f t="shared" si="25"/>
        <v>0</v>
      </c>
      <c r="E420" s="18">
        <f>E419*(1+Returns!H410)</f>
        <v>137.66956735651672</v>
      </c>
      <c r="F420" s="18">
        <f t="shared" si="26"/>
        <v>137.66956735651672</v>
      </c>
      <c r="G420" s="27">
        <f t="shared" si="27"/>
        <v>0</v>
      </c>
    </row>
    <row r="421" spans="1:7" ht="15">
      <c r="A421" s="25">
        <f>Returns!A411</f>
        <v>45533</v>
      </c>
      <c r="B421" s="18">
        <f>B420*(1+Returns!G411)</f>
        <v>129.11323270099876</v>
      </c>
      <c r="C421" s="18">
        <f t="shared" si="24"/>
        <v>129.11323270099876</v>
      </c>
      <c r="D421" s="27">
        <f t="shared" si="25"/>
        <v>0</v>
      </c>
      <c r="E421" s="18">
        <f>E420*(1+Returns!H411)</f>
        <v>138.21689466694207</v>
      </c>
      <c r="F421" s="18">
        <f t="shared" si="26"/>
        <v>138.21689466694207</v>
      </c>
      <c r="G421" s="27">
        <f t="shared" si="27"/>
        <v>0</v>
      </c>
    </row>
    <row r="422" spans="1:7" ht="15">
      <c r="A422" s="25">
        <f>Returns!A412</f>
        <v>45534</v>
      </c>
      <c r="B422" s="18">
        <f>B421*(1+Returns!G412)</f>
        <v>129.30039145232072</v>
      </c>
      <c r="C422" s="18">
        <f t="shared" si="24"/>
        <v>129.30039145232072</v>
      </c>
      <c r="D422" s="27">
        <f t="shared" si="25"/>
        <v>0</v>
      </c>
      <c r="E422" s="18">
        <f>E421*(1+Returns!H412)</f>
        <v>138.67822949945528</v>
      </c>
      <c r="F422" s="18">
        <f t="shared" si="26"/>
        <v>138.67822949945528</v>
      </c>
      <c r="G422" s="27">
        <f t="shared" si="27"/>
        <v>0</v>
      </c>
    </row>
    <row r="423" spans="1:7" ht="15">
      <c r="A423" s="25">
        <f>Returns!A413</f>
        <v>45537</v>
      </c>
      <c r="B423" s="18">
        <f>B422*(1+Returns!G413)</f>
        <v>129.27943781824641</v>
      </c>
      <c r="C423" s="18">
        <f t="shared" si="24"/>
        <v>129.30039145232072</v>
      </c>
      <c r="D423" s="27">
        <f t="shared" si="25"/>
        <v>-1.6205391057955154E-4</v>
      </c>
      <c r="E423" s="18">
        <f>E422*(1+Returns!H413)</f>
        <v>138.91342085847774</v>
      </c>
      <c r="F423" s="18">
        <f t="shared" si="26"/>
        <v>138.91342085847774</v>
      </c>
      <c r="G423" s="27">
        <f t="shared" si="27"/>
        <v>0</v>
      </c>
    </row>
    <row r="424" spans="1:7" ht="15">
      <c r="A424" s="25">
        <f>Returns!A414</f>
        <v>45538</v>
      </c>
      <c r="B424" s="18">
        <f>B423*(1+Returns!G414)</f>
        <v>129.33476196266065</v>
      </c>
      <c r="C424" s="18">
        <f t="shared" si="24"/>
        <v>129.33476196266065</v>
      </c>
      <c r="D424" s="27">
        <f t="shared" si="25"/>
        <v>0</v>
      </c>
      <c r="E424" s="18">
        <f>E423*(1+Returns!H414)</f>
        <v>138.91974257209358</v>
      </c>
      <c r="F424" s="18">
        <f t="shared" si="26"/>
        <v>138.91974257209358</v>
      </c>
      <c r="G424" s="27">
        <f t="shared" si="27"/>
        <v>0</v>
      </c>
    </row>
    <row r="425" spans="1:7" ht="15">
      <c r="A425" s="25">
        <f>Returns!A415</f>
        <v>45539</v>
      </c>
      <c r="B425" s="18">
        <f>B424*(1+Returns!G415)</f>
        <v>128.98476929998151</v>
      </c>
      <c r="C425" s="18">
        <f t="shared" si="24"/>
        <v>129.33476196266065</v>
      </c>
      <c r="D425" s="27">
        <f t="shared" si="25"/>
        <v>-2.7060989433002058E-3</v>
      </c>
      <c r="E425" s="18">
        <f>E424*(1+Returns!H415)</f>
        <v>138.47379880464851</v>
      </c>
      <c r="F425" s="18">
        <f t="shared" si="26"/>
        <v>138.91974257209358</v>
      </c>
      <c r="G425" s="27">
        <f t="shared" si="27"/>
        <v>-3.2100820170585243E-3</v>
      </c>
    </row>
    <row r="426" spans="1:7" ht="15">
      <c r="A426" s="25">
        <f>Returns!A416</f>
        <v>45540</v>
      </c>
      <c r="B426" s="18">
        <f>B425*(1+Returns!G416)</f>
        <v>128.67952591226049</v>
      </c>
      <c r="C426" s="18">
        <f t="shared" si="24"/>
        <v>129.33476196266065</v>
      </c>
      <c r="D426" s="27">
        <f t="shared" si="25"/>
        <v>-5.0662021598596452E-3</v>
      </c>
      <c r="E426" s="18">
        <f>E425*(1+Returns!H416)</f>
        <v>138.179254175175</v>
      </c>
      <c r="F426" s="18">
        <f t="shared" si="26"/>
        <v>138.91974257209358</v>
      </c>
      <c r="G426" s="27">
        <f t="shared" si="27"/>
        <v>-5.3303323430382576E-3</v>
      </c>
    </row>
    <row r="427" spans="1:7" ht="15">
      <c r="A427" s="25">
        <f>Returns!A417</f>
        <v>45541</v>
      </c>
      <c r="B427" s="18">
        <f>B426*(1+Returns!G417)</f>
        <v>127.04970340803067</v>
      </c>
      <c r="C427" s="18">
        <f t="shared" si="24"/>
        <v>129.33476196266065</v>
      </c>
      <c r="D427" s="27">
        <f t="shared" si="25"/>
        <v>-1.7667783355024724E-2</v>
      </c>
      <c r="E427" s="18">
        <f>E426*(1+Returns!H417)</f>
        <v>136.56941745999322</v>
      </c>
      <c r="F427" s="18">
        <f t="shared" si="26"/>
        <v>138.91974257209358</v>
      </c>
      <c r="G427" s="27">
        <f t="shared" si="27"/>
        <v>-1.6918582402934201E-2</v>
      </c>
    </row>
    <row r="428" spans="1:7" ht="15">
      <c r="A428" s="25">
        <f>Returns!A418</f>
        <v>45544</v>
      </c>
      <c r="B428" s="18">
        <f>B427*(1+Returns!G418)</f>
        <v>127.49384795304124</v>
      </c>
      <c r="C428" s="18">
        <f t="shared" si="24"/>
        <v>129.33476196266065</v>
      </c>
      <c r="D428" s="27">
        <f t="shared" si="25"/>
        <v>-1.4233713981326113E-2</v>
      </c>
      <c r="E428" s="18">
        <f>E427*(1+Returns!H418)</f>
        <v>137.03239443543211</v>
      </c>
      <c r="F428" s="18">
        <f t="shared" si="26"/>
        <v>138.91974257209358</v>
      </c>
      <c r="G428" s="27">
        <f t="shared" si="27"/>
        <v>-1.3585888526117973E-2</v>
      </c>
    </row>
    <row r="429" spans="1:7" ht="15">
      <c r="A429" s="25">
        <f>Returns!A419</f>
        <v>45545</v>
      </c>
      <c r="B429" s="18">
        <f>B428*(1+Returns!G419)</f>
        <v>128.09608434244592</v>
      </c>
      <c r="C429" s="18">
        <f t="shared" si="24"/>
        <v>129.33476196266065</v>
      </c>
      <c r="D429" s="27">
        <f t="shared" si="25"/>
        <v>-9.5772984881847822E-3</v>
      </c>
      <c r="E429" s="18">
        <f>E428*(1+Returns!H419)</f>
        <v>137.60774550519699</v>
      </c>
      <c r="F429" s="18">
        <f t="shared" si="26"/>
        <v>138.91974257209358</v>
      </c>
      <c r="G429" s="27">
        <f t="shared" si="27"/>
        <v>-9.4442808675355705E-3</v>
      </c>
    </row>
    <row r="430" spans="1:7" ht="15">
      <c r="A430" s="25">
        <f>Returns!A420</f>
        <v>45546</v>
      </c>
      <c r="B430" s="18">
        <f>B429*(1+Returns!G420)</f>
        <v>127.55293860454574</v>
      </c>
      <c r="C430" s="18">
        <f t="shared" si="24"/>
        <v>129.33476196266065</v>
      </c>
      <c r="D430" s="27">
        <f t="shared" si="25"/>
        <v>-1.3776832547380602E-2</v>
      </c>
      <c r="E430" s="18">
        <f>E429*(1+Returns!H420)</f>
        <v>136.93374779732801</v>
      </c>
      <c r="F430" s="18">
        <f t="shared" si="26"/>
        <v>138.91974257209358</v>
      </c>
      <c r="G430" s="27">
        <f t="shared" si="27"/>
        <v>-1.4295986574657804E-2</v>
      </c>
    </row>
    <row r="431" spans="1:7" ht="15">
      <c r="A431" s="25">
        <f>Returns!A421</f>
        <v>45547</v>
      </c>
      <c r="B431" s="18">
        <f>B430*(1+Returns!G421)</f>
        <v>129.48158215574446</v>
      </c>
      <c r="C431" s="18">
        <f t="shared" si="24"/>
        <v>129.48158215574446</v>
      </c>
      <c r="D431" s="27">
        <f t="shared" si="25"/>
        <v>0</v>
      </c>
      <c r="E431" s="18">
        <f>E430*(1+Returns!H421)</f>
        <v>139.51900667740369</v>
      </c>
      <c r="F431" s="18">
        <f t="shared" si="26"/>
        <v>139.51900667740369</v>
      </c>
      <c r="G431" s="27">
        <f t="shared" si="27"/>
        <v>0</v>
      </c>
    </row>
    <row r="432" spans="1:7" ht="15">
      <c r="A432" s="25">
        <f>Returns!A422</f>
        <v>45548</v>
      </c>
      <c r="B432" s="18">
        <f>B431*(1+Returns!G422)</f>
        <v>129.24893573081445</v>
      </c>
      <c r="C432" s="18">
        <f t="shared" si="24"/>
        <v>129.48158215574446</v>
      </c>
      <c r="D432" s="27">
        <f t="shared" si="25"/>
        <v>-1.7967530289378919E-3</v>
      </c>
      <c r="E432" s="18">
        <f>E431*(1+Returns!H422)</f>
        <v>139.34095759901081</v>
      </c>
      <c r="F432" s="18">
        <f t="shared" si="26"/>
        <v>139.51900667740369</v>
      </c>
      <c r="G432" s="27">
        <f t="shared" si="27"/>
        <v>-1.2761636040354851E-3</v>
      </c>
    </row>
    <row r="433" spans="1:7" ht="15">
      <c r="A433" s="25">
        <f>Returns!A423</f>
        <v>45551</v>
      </c>
      <c r="B433" s="18">
        <f>B432*(1+Returns!G423)</f>
        <v>129.51964419888006</v>
      </c>
      <c r="C433" s="18">
        <f t="shared" si="24"/>
        <v>129.51964419888006</v>
      </c>
      <c r="D433" s="27">
        <f t="shared" si="25"/>
        <v>0</v>
      </c>
      <c r="E433" s="18">
        <f>E432*(1+Returns!H423)</f>
        <v>139.49070386109639</v>
      </c>
      <c r="F433" s="18">
        <f t="shared" si="26"/>
        <v>139.51900667740369</v>
      </c>
      <c r="G433" s="27">
        <f t="shared" si="27"/>
        <v>-2.0285993271684788E-4</v>
      </c>
    </row>
    <row r="434" spans="1:7" ht="15">
      <c r="A434" s="25">
        <f>Returns!A424</f>
        <v>45552</v>
      </c>
      <c r="B434" s="18">
        <f>B433*(1+Returns!G424)</f>
        <v>129.55895039453833</v>
      </c>
      <c r="C434" s="18">
        <f t="shared" si="24"/>
        <v>129.55895039453833</v>
      </c>
      <c r="D434" s="27">
        <f t="shared" si="25"/>
        <v>0</v>
      </c>
      <c r="E434" s="18">
        <f>E433*(1+Returns!H424)</f>
        <v>139.68194374769624</v>
      </c>
      <c r="F434" s="18">
        <f t="shared" si="26"/>
        <v>139.68194374769624</v>
      </c>
      <c r="G434" s="27">
        <f t="shared" si="27"/>
        <v>0</v>
      </c>
    </row>
    <row r="435" spans="1:7" ht="15">
      <c r="A435" s="25">
        <f>Returns!A425</f>
        <v>45553</v>
      </c>
      <c r="B435" s="18">
        <f>B434*(1+Returns!G425)</f>
        <v>128.66078507873794</v>
      </c>
      <c r="C435" s="18">
        <f t="shared" si="24"/>
        <v>129.55895039453833</v>
      </c>
      <c r="D435" s="27">
        <f t="shared" si="25"/>
        <v>-6.9324837308827325E-3</v>
      </c>
      <c r="E435" s="18">
        <f>E434*(1+Returns!H425)</f>
        <v>139.45663744510875</v>
      </c>
      <c r="F435" s="18">
        <f t="shared" si="26"/>
        <v>139.68194374769624</v>
      </c>
      <c r="G435" s="27">
        <f t="shared" si="27"/>
        <v>-1.6129951842197565E-3</v>
      </c>
    </row>
    <row r="436" spans="1:7" ht="15">
      <c r="A436" s="25">
        <f>Returns!A426</f>
        <v>45554</v>
      </c>
      <c r="B436" s="18">
        <f>B435*(1+Returns!G426)</f>
        <v>128.83716374972653</v>
      </c>
      <c r="C436" s="18">
        <f t="shared" si="24"/>
        <v>129.55895039453833</v>
      </c>
      <c r="D436" s="27">
        <f t="shared" si="25"/>
        <v>-5.5711059916261352E-3</v>
      </c>
      <c r="E436" s="18">
        <f>E435*(1+Returns!H426)</f>
        <v>139.66683173959586</v>
      </c>
      <c r="F436" s="18">
        <f t="shared" si="26"/>
        <v>139.68194374769624</v>
      </c>
      <c r="G436" s="27">
        <f t="shared" si="27"/>
        <v>-1.0818870138051828E-4</v>
      </c>
    </row>
    <row r="437" spans="1:7" ht="15">
      <c r="A437" s="25">
        <f>Returns!A427</f>
        <v>45555</v>
      </c>
      <c r="B437" s="18">
        <f>B436*(1+Returns!G427)</f>
        <v>130.55492429630792</v>
      </c>
      <c r="C437" s="18">
        <f t="shared" si="24"/>
        <v>130.55492429630792</v>
      </c>
      <c r="D437" s="27">
        <f t="shared" si="25"/>
        <v>0</v>
      </c>
      <c r="E437" s="18">
        <f>E436*(1+Returns!H427)</f>
        <v>141.72837582190306</v>
      </c>
      <c r="F437" s="18">
        <f t="shared" si="26"/>
        <v>141.72837582190306</v>
      </c>
      <c r="G437" s="27">
        <f t="shared" si="27"/>
        <v>0</v>
      </c>
    </row>
    <row r="438" spans="1:7" ht="15">
      <c r="A438" s="25">
        <f>Returns!A428</f>
        <v>45558</v>
      </c>
      <c r="B438" s="18">
        <f>B437*(1+Returns!G428)</f>
        <v>130.62957190091331</v>
      </c>
      <c r="C438" s="18">
        <f t="shared" si="24"/>
        <v>130.62957190091331</v>
      </c>
      <c r="D438" s="27">
        <f t="shared" si="25"/>
        <v>0</v>
      </c>
      <c r="E438" s="18">
        <f>E437*(1+Returns!H428)</f>
        <v>142.54223473542265</v>
      </c>
      <c r="F438" s="18">
        <f t="shared" si="26"/>
        <v>142.54223473542265</v>
      </c>
      <c r="G438" s="27">
        <f t="shared" si="27"/>
        <v>0</v>
      </c>
    </row>
    <row r="439" spans="1:7" ht="15">
      <c r="A439" s="25">
        <f>Returns!A429</f>
        <v>45559</v>
      </c>
      <c r="B439" s="18">
        <f>B438*(1+Returns!G429)</f>
        <v>130.68563540852259</v>
      </c>
      <c r="C439" s="18">
        <f t="shared" si="24"/>
        <v>130.68563540852259</v>
      </c>
      <c r="D439" s="27">
        <f t="shared" si="25"/>
        <v>0</v>
      </c>
      <c r="E439" s="18">
        <f>E438*(1+Returns!H429)</f>
        <v>142.54965121098897</v>
      </c>
      <c r="F439" s="18">
        <f t="shared" si="26"/>
        <v>142.54965121098897</v>
      </c>
      <c r="G439" s="27">
        <f t="shared" si="27"/>
        <v>0</v>
      </c>
    </row>
    <row r="440" spans="1:7" ht="15">
      <c r="A440" s="25">
        <f>Returns!A430</f>
        <v>45560</v>
      </c>
      <c r="B440" s="18">
        <f>B439*(1+Returns!G430)</f>
        <v>131.05527025207371</v>
      </c>
      <c r="C440" s="18">
        <f t="shared" si="24"/>
        <v>131.05527025207371</v>
      </c>
      <c r="D440" s="27">
        <f t="shared" si="25"/>
        <v>0</v>
      </c>
      <c r="E440" s="18">
        <f>E439*(1+Returns!H430)</f>
        <v>142.89997503513413</v>
      </c>
      <c r="F440" s="18">
        <f t="shared" si="26"/>
        <v>142.89997503513413</v>
      </c>
      <c r="G440" s="27">
        <f t="shared" si="27"/>
        <v>0</v>
      </c>
    </row>
    <row r="441" spans="1:7" ht="15">
      <c r="A441" s="25">
        <f>Returns!A431</f>
        <v>45561</v>
      </c>
      <c r="B441" s="18">
        <f>B440*(1+Returns!G431)</f>
        <v>131.46049985699199</v>
      </c>
      <c r="C441" s="18">
        <f t="shared" si="24"/>
        <v>131.46049985699199</v>
      </c>
      <c r="D441" s="27">
        <f t="shared" si="25"/>
        <v>0</v>
      </c>
      <c r="E441" s="18">
        <f>E440*(1+Returns!H431)</f>
        <v>144.06442609680636</v>
      </c>
      <c r="F441" s="18">
        <f t="shared" si="26"/>
        <v>144.06442609680636</v>
      </c>
      <c r="G441" s="27">
        <f t="shared" si="27"/>
        <v>0</v>
      </c>
    </row>
    <row r="442" spans="1:7" ht="15">
      <c r="A442" s="25">
        <f>Returns!A432</f>
        <v>45562</v>
      </c>
      <c r="B442" s="18">
        <f>B441*(1+Returns!G432)</f>
        <v>131.34577706208484</v>
      </c>
      <c r="C442" s="18">
        <f t="shared" si="24"/>
        <v>131.46049985699199</v>
      </c>
      <c r="D442" s="27">
        <f t="shared" si="25"/>
        <v>-8.7267882772357197E-4</v>
      </c>
      <c r="E442" s="18">
        <f>E441*(1+Returns!H432)</f>
        <v>143.86054278297482</v>
      </c>
      <c r="F442" s="18">
        <f t="shared" si="26"/>
        <v>144.06442609680636</v>
      </c>
      <c r="G442" s="27">
        <f t="shared" si="27"/>
        <v>-1.4152231703233875E-3</v>
      </c>
    </row>
    <row r="443" spans="1:7" ht="15">
      <c r="A443" s="25">
        <f>Returns!A433</f>
        <v>45565</v>
      </c>
      <c r="B443" s="18">
        <f>B442*(1+Returns!G433)</f>
        <v>128.81905452866457</v>
      </c>
      <c r="C443" s="18">
        <f t="shared" si="24"/>
        <v>131.46049985699199</v>
      </c>
      <c r="D443" s="27">
        <f t="shared" si="25"/>
        <v>-2.0093072300811921E-2</v>
      </c>
      <c r="E443" s="18">
        <f>E442*(1+Returns!H433)</f>
        <v>141.83773395438513</v>
      </c>
      <c r="F443" s="18">
        <f t="shared" si="26"/>
        <v>144.06442609680636</v>
      </c>
      <c r="G443" s="27">
        <f t="shared" si="27"/>
        <v>-1.5456224709665456E-2</v>
      </c>
    </row>
    <row r="444" spans="1:7" ht="15">
      <c r="A444" s="25">
        <f>Returns!A434</f>
        <v>45566</v>
      </c>
      <c r="B444" s="18">
        <f>B443*(1+Returns!G434)</f>
        <v>128.88854197826845</v>
      </c>
      <c r="C444" s="18">
        <f t="shared" si="24"/>
        <v>131.46049985699199</v>
      </c>
      <c r="D444" s="27">
        <f t="shared" si="25"/>
        <v>-1.9564491855130761E-2</v>
      </c>
      <c r="E444" s="18">
        <f>E443*(1+Returns!H434)</f>
        <v>141.76107915193279</v>
      </c>
      <c r="F444" s="18">
        <f t="shared" si="26"/>
        <v>144.06442609680636</v>
      </c>
      <c r="G444" s="27">
        <f t="shared" si="27"/>
        <v>-1.5988311669154154E-2</v>
      </c>
    </row>
    <row r="445" spans="1:7" ht="15">
      <c r="A445" s="25">
        <f>Returns!A435</f>
        <v>45568</v>
      </c>
      <c r="B445" s="18">
        <f>B444*(1+Returns!G435)</f>
        <v>126.07439991321807</v>
      </c>
      <c r="C445" s="18">
        <f t="shared" si="24"/>
        <v>131.46049985699199</v>
      </c>
      <c r="D445" s="27">
        <f t="shared" si="25"/>
        <v>-4.0971241929196434E-2</v>
      </c>
      <c r="E445" s="18">
        <f>E444*(1+Returns!H435)</f>
        <v>138.75625812082589</v>
      </c>
      <c r="F445" s="18">
        <f t="shared" si="26"/>
        <v>144.06442609680636</v>
      </c>
      <c r="G445" s="27">
        <f t="shared" si="27"/>
        <v>-3.6845792676212463E-2</v>
      </c>
    </row>
    <row r="446" spans="1:7" ht="15">
      <c r="A446" s="25">
        <f>Returns!A436</f>
        <v>45569</v>
      </c>
      <c r="B446" s="18">
        <f>B445*(1+Returns!G436)</f>
        <v>125.27349223643215</v>
      </c>
      <c r="C446" s="18">
        <f t="shared" si="24"/>
        <v>131.46049985699199</v>
      </c>
      <c r="D446" s="27">
        <f t="shared" si="25"/>
        <v>-4.7063624642309398E-2</v>
      </c>
      <c r="E446" s="18">
        <f>E445*(1+Returns!H436)</f>
        <v>137.46212069986609</v>
      </c>
      <c r="F446" s="18">
        <f t="shared" si="26"/>
        <v>144.06442609680636</v>
      </c>
      <c r="G446" s="27">
        <f t="shared" si="27"/>
        <v>-4.5828839053603354E-2</v>
      </c>
    </row>
    <row r="447" spans="1:7" ht="15">
      <c r="A447" s="25">
        <f>Returns!A437</f>
        <v>45572</v>
      </c>
      <c r="B447" s="18">
        <f>B446*(1+Returns!G437)</f>
        <v>124.35463583892839</v>
      </c>
      <c r="C447" s="18">
        <f t="shared" si="24"/>
        <v>131.46049985699199</v>
      </c>
      <c r="D447" s="27">
        <f t="shared" si="25"/>
        <v>-5.4053225309455222E-2</v>
      </c>
      <c r="E447" s="18">
        <f>E446*(1+Returns!H437)</f>
        <v>136.25948176545157</v>
      </c>
      <c r="F447" s="18">
        <f t="shared" si="26"/>
        <v>144.06442609680636</v>
      </c>
      <c r="G447" s="27">
        <f t="shared" si="27"/>
        <v>-5.4176763430204056E-2</v>
      </c>
    </row>
    <row r="448" spans="1:7" ht="15">
      <c r="A448" s="25">
        <f>Returns!A438</f>
        <v>45573</v>
      </c>
      <c r="B448" s="18">
        <f>B447*(1+Returns!G438)</f>
        <v>125.66159894940897</v>
      </c>
      <c r="C448" s="18">
        <f t="shared" si="24"/>
        <v>131.46049985699199</v>
      </c>
      <c r="D448" s="27">
        <f t="shared" si="25"/>
        <v>-4.4111355988234457E-2</v>
      </c>
      <c r="E448" s="18">
        <f>E447*(1+Returns!H438)</f>
        <v>137.45415684332454</v>
      </c>
      <c r="F448" s="18">
        <f t="shared" si="26"/>
        <v>144.06442609680636</v>
      </c>
      <c r="G448" s="27">
        <f t="shared" si="27"/>
        <v>-4.5884118880534341E-2</v>
      </c>
    </row>
    <row r="449" spans="1:7" ht="15">
      <c r="A449" s="25">
        <f>Returns!A439</f>
        <v>45574</v>
      </c>
      <c r="B449" s="18">
        <f>B448*(1+Returns!G439)</f>
        <v>124.96348434347546</v>
      </c>
      <c r="C449" s="18">
        <f t="shared" si="24"/>
        <v>131.46049985699199</v>
      </c>
      <c r="D449" s="27">
        <f t="shared" si="25"/>
        <v>-4.942180746752256E-2</v>
      </c>
      <c r="E449" s="18">
        <f>E448*(1+Returns!H439)</f>
        <v>137.28269780255496</v>
      </c>
      <c r="F449" s="18">
        <f t="shared" si="26"/>
        <v>144.06442609680636</v>
      </c>
      <c r="G449" s="27">
        <f t="shared" si="27"/>
        <v>-4.7074274184067511E-2</v>
      </c>
    </row>
    <row r="450" spans="1:7" ht="15">
      <c r="A450" s="25">
        <f>Returns!A440</f>
        <v>45575</v>
      </c>
      <c r="B450" s="18">
        <f>B449*(1+Returns!G440)</f>
        <v>124.95841721999361</v>
      </c>
      <c r="C450" s="18">
        <f t="shared" si="24"/>
        <v>131.46049985699199</v>
      </c>
      <c r="D450" s="27">
        <f t="shared" si="25"/>
        <v>-4.9460352304088406E-2</v>
      </c>
      <c r="E450" s="18">
        <f>E449*(1+Returns!H440)</f>
        <v>137.37336985115724</v>
      </c>
      <c r="F450" s="18">
        <f t="shared" si="26"/>
        <v>144.06442609680636</v>
      </c>
      <c r="G450" s="27">
        <f t="shared" si="27"/>
        <v>-4.6444888769091142E-2</v>
      </c>
    </row>
    <row r="451" spans="1:7" ht="15">
      <c r="A451" s="25">
        <f>Returns!A441</f>
        <v>45576</v>
      </c>
      <c r="B451" s="18">
        <f>B450*(1+Returns!G441)</f>
        <v>124.1540644351963</v>
      </c>
      <c r="C451" s="18">
        <f t="shared" si="24"/>
        <v>131.46049985699199</v>
      </c>
      <c r="D451" s="27">
        <f t="shared" si="25"/>
        <v>-5.5578941429128226E-2</v>
      </c>
      <c r="E451" s="18">
        <f>E450*(1+Returns!H441)</f>
        <v>137.18543571632935</v>
      </c>
      <c r="F451" s="18">
        <f t="shared" si="26"/>
        <v>144.06442609680636</v>
      </c>
      <c r="G451" s="27">
        <f t="shared" si="27"/>
        <v>-4.7749403283323777E-2</v>
      </c>
    </row>
    <row r="452" spans="1:7" ht="15">
      <c r="A452" s="25">
        <f>Returns!A442</f>
        <v>45579</v>
      </c>
      <c r="B452" s="18">
        <f>B451*(1+Returns!G442)</f>
        <v>125.14833699856702</v>
      </c>
      <c r="C452" s="18">
        <f t="shared" si="24"/>
        <v>131.46049985699199</v>
      </c>
      <c r="D452" s="27">
        <f t="shared" si="25"/>
        <v>-4.8015661474675619E-2</v>
      </c>
      <c r="E452" s="18">
        <f>E451*(1+Returns!H442)</f>
        <v>138.08500805079328</v>
      </c>
      <c r="F452" s="18">
        <f t="shared" si="26"/>
        <v>144.06442609680636</v>
      </c>
      <c r="G452" s="27">
        <f t="shared" si="27"/>
        <v>-4.1505166875791533E-2</v>
      </c>
    </row>
    <row r="453" spans="1:7" ht="15">
      <c r="A453" s="25">
        <f>Returns!A443</f>
        <v>45580</v>
      </c>
      <c r="B453" s="18">
        <f>B452*(1+Returns!G443)</f>
        <v>124.67021648531777</v>
      </c>
      <c r="C453" s="18">
        <f t="shared" si="24"/>
        <v>131.46049985699199</v>
      </c>
      <c r="D453" s="27">
        <f t="shared" si="25"/>
        <v>-5.1652651397651517E-2</v>
      </c>
      <c r="E453" s="18">
        <f>E452*(1+Returns!H443)</f>
        <v>137.69704373488105</v>
      </c>
      <c r="F453" s="18">
        <f t="shared" si="26"/>
        <v>144.06442609680636</v>
      </c>
      <c r="G453" s="27">
        <f t="shared" si="27"/>
        <v>-4.419815866025556E-2</v>
      </c>
    </row>
    <row r="454" spans="1:7" ht="15">
      <c r="A454" s="25">
        <f>Returns!A444</f>
        <v>45581</v>
      </c>
      <c r="B454" s="18">
        <f>B453*(1+Returns!G444)</f>
        <v>124.50340076844695</v>
      </c>
      <c r="C454" s="18">
        <f t="shared" si="24"/>
        <v>131.46049985699199</v>
      </c>
      <c r="D454" s="27">
        <f t="shared" si="25"/>
        <v>-5.2921593148613111E-2</v>
      </c>
      <c r="E454" s="18">
        <f>E453*(1+Returns!H444)</f>
        <v>137.22418170300716</v>
      </c>
      <c r="F454" s="18">
        <f t="shared" si="26"/>
        <v>144.06442609680636</v>
      </c>
      <c r="G454" s="27">
        <f t="shared" si="27"/>
        <v>-4.748045426011549E-2</v>
      </c>
    </row>
    <row r="455" spans="1:7" ht="15">
      <c r="A455" s="25">
        <f>Returns!A445</f>
        <v>45582</v>
      </c>
      <c r="B455" s="18">
        <f>B454*(1+Returns!G445)</f>
        <v>124.4429482391443</v>
      </c>
      <c r="C455" s="18">
        <f t="shared" si="24"/>
        <v>131.46049985699199</v>
      </c>
      <c r="D455" s="27">
        <f t="shared" si="25"/>
        <v>-5.338144633164843E-2</v>
      </c>
      <c r="E455" s="18">
        <f>E454*(1+Returns!H445)</f>
        <v>136.00724646547494</v>
      </c>
      <c r="F455" s="18">
        <f t="shared" si="26"/>
        <v>144.06442609680636</v>
      </c>
      <c r="G455" s="27">
        <f t="shared" si="27"/>
        <v>-5.5927614121179858E-2</v>
      </c>
    </row>
    <row r="456" spans="1:7" ht="15">
      <c r="A456" s="25">
        <f>Returns!A446</f>
        <v>45583</v>
      </c>
      <c r="B456" s="18">
        <f>B455*(1+Returns!G446)</f>
        <v>124.48139383803478</v>
      </c>
      <c r="C456" s="18">
        <f t="shared" si="24"/>
        <v>131.46049985699199</v>
      </c>
      <c r="D456" s="27">
        <f t="shared" si="25"/>
        <v>-5.308899651643928E-2</v>
      </c>
      <c r="E456" s="18">
        <f>E455*(1+Returns!H446)</f>
        <v>136.5798606303637</v>
      </c>
      <c r="F456" s="18">
        <f t="shared" si="26"/>
        <v>144.06442609680636</v>
      </c>
      <c r="G456" s="27">
        <f t="shared" si="27"/>
        <v>-5.1952905163508478E-2</v>
      </c>
    </row>
    <row r="457" spans="1:7" ht="15">
      <c r="A457" s="25">
        <f>Returns!A447</f>
        <v>45586</v>
      </c>
      <c r="B457" s="18">
        <f>B456*(1+Returns!G447)</f>
        <v>124.96687633828647</v>
      </c>
      <c r="C457" s="18">
        <f t="shared" si="24"/>
        <v>131.46049985699199</v>
      </c>
      <c r="D457" s="27">
        <f t="shared" si="25"/>
        <v>-4.9396005079621164E-2</v>
      </c>
      <c r="E457" s="18">
        <f>E456*(1+Returns!H447)</f>
        <v>136.178973830252</v>
      </c>
      <c r="F457" s="18">
        <f t="shared" si="26"/>
        <v>144.06442609680636</v>
      </c>
      <c r="G457" s="27">
        <f t="shared" si="27"/>
        <v>-5.4735596289784971E-2</v>
      </c>
    </row>
    <row r="458" spans="1:7" ht="15">
      <c r="A458" s="25">
        <f>Returns!A448</f>
        <v>45587</v>
      </c>
      <c r="B458" s="18">
        <f>B457*(1+Returns!G448)</f>
        <v>123.84128256156893</v>
      </c>
      <c r="C458" s="18">
        <f t="shared" si="24"/>
        <v>131.46049985699199</v>
      </c>
      <c r="D458" s="27">
        <f t="shared" si="25"/>
        <v>-5.7958225502805383E-2</v>
      </c>
      <c r="E458" s="18">
        <f>E457*(1+Returns!H448)</f>
        <v>134.4809336473366</v>
      </c>
      <c r="F458" s="18">
        <f t="shared" si="26"/>
        <v>144.06442609680636</v>
      </c>
      <c r="G458" s="27">
        <f t="shared" si="27"/>
        <v>-6.6522268606616142E-2</v>
      </c>
    </row>
    <row r="459" spans="1:7" ht="15">
      <c r="A459" s="25">
        <f>Returns!A449</f>
        <v>45588</v>
      </c>
      <c r="B459" s="18">
        <f>B458*(1+Returns!G449)</f>
        <v>124.41252022158071</v>
      </c>
      <c r="C459" s="18">
        <f t="shared" si="24"/>
        <v>131.46049985699199</v>
      </c>
      <c r="D459" s="27">
        <f t="shared" si="25"/>
        <v>-5.3612907626841233E-2</v>
      </c>
      <c r="E459" s="18">
        <f>E458*(1+Returns!H449)</f>
        <v>134.27980870430179</v>
      </c>
      <c r="F459" s="18">
        <f t="shared" si="26"/>
        <v>144.06442609680636</v>
      </c>
      <c r="G459" s="27">
        <f t="shared" si="27"/>
        <v>-6.791834499052285E-2</v>
      </c>
    </row>
    <row r="460" spans="1:7" ht="15">
      <c r="A460" s="25">
        <f>Returns!A450</f>
        <v>45589</v>
      </c>
      <c r="B460" s="18">
        <f>B459*(1+Returns!G450)</f>
        <v>124.49505798131781</v>
      </c>
      <c r="C460" s="18">
        <f t="shared" si="24"/>
        <v>131.46049985699199</v>
      </c>
      <c r="D460" s="27">
        <f t="shared" si="25"/>
        <v>-5.2985055459635833E-2</v>
      </c>
      <c r="E460" s="18">
        <f>E459*(1+Returns!H450)</f>
        <v>134.08143139910342</v>
      </c>
      <c r="F460" s="18">
        <f t="shared" si="26"/>
        <v>144.06442609680636</v>
      </c>
      <c r="G460" s="27">
        <f t="shared" si="27"/>
        <v>-6.9295349089127045E-2</v>
      </c>
    </row>
    <row r="461" spans="1:7" ht="15">
      <c r="A461" s="25">
        <f>Returns!A451</f>
        <v>45590</v>
      </c>
      <c r="B461" s="18">
        <f>B460*(1+Returns!G451)</f>
        <v>124.19285594155039</v>
      </c>
      <c r="C461" s="18">
        <f t="shared" si="24"/>
        <v>131.46049985699199</v>
      </c>
      <c r="D461" s="27">
        <f t="shared" si="25"/>
        <v>-5.5283860348527725E-2</v>
      </c>
      <c r="E461" s="18">
        <f>E460*(1+Returns!H451)</f>
        <v>132.88016628360711</v>
      </c>
      <c r="F461" s="18">
        <f t="shared" si="26"/>
        <v>144.06442609680636</v>
      </c>
      <c r="G461" s="27">
        <f t="shared" si="27"/>
        <v>-7.7633737323076657E-2</v>
      </c>
    </row>
    <row r="462" spans="1:7" ht="15">
      <c r="A462" s="25">
        <f>Returns!A452</f>
        <v>45593</v>
      </c>
      <c r="B462" s="18">
        <f>B461*(1+Returns!G452)</f>
        <v>124.97281697456998</v>
      </c>
      <c r="C462" s="18">
        <f t="shared" si="24"/>
        <v>131.46049985699199</v>
      </c>
      <c r="D462" s="27">
        <f t="shared" si="25"/>
        <v>-4.9350815564215611E-2</v>
      </c>
      <c r="E462" s="18">
        <f>E461*(1+Returns!H452)</f>
        <v>133.75034103981329</v>
      </c>
      <c r="F462" s="18">
        <f t="shared" si="26"/>
        <v>144.06442609680636</v>
      </c>
      <c r="G462" s="27">
        <f t="shared" si="27"/>
        <v>-7.1593559468056012E-2</v>
      </c>
    </row>
    <row r="463" spans="1:7" ht="15">
      <c r="A463" s="25">
        <f>Returns!A453</f>
        <v>45594</v>
      </c>
      <c r="B463" s="18">
        <f>B462*(1+Returns!G453)</f>
        <v>125.84193959036593</v>
      </c>
      <c r="C463" s="18">
        <f t="shared" si="24"/>
        <v>131.46049985699199</v>
      </c>
      <c r="D463" s="27">
        <f t="shared" si="25"/>
        <v>-4.2739532199696173E-2</v>
      </c>
      <c r="E463" s="18">
        <f>E462*(1+Returns!H453)</f>
        <v>134.45208345005406</v>
      </c>
      <c r="F463" s="18">
        <f t="shared" si="26"/>
        <v>144.06442609680636</v>
      </c>
      <c r="G463" s="27">
        <f t="shared" si="27"/>
        <v>-6.6722527602290471E-2</v>
      </c>
    </row>
    <row r="464" spans="1:7" ht="15">
      <c r="A464" s="25">
        <f>Returns!A454</f>
        <v>45595</v>
      </c>
      <c r="B464" s="18">
        <f>B463*(1+Returns!G454)</f>
        <v>125.02079166808294</v>
      </c>
      <c r="C464" s="18">
        <f t="shared" ref="C464:C527" si="28">MAX(C463,B464)</f>
        <v>131.46049985699199</v>
      </c>
      <c r="D464" s="27">
        <f t="shared" ref="D464:D527" si="29">B464/C464-1</f>
        <v>-4.8985879377565267E-2</v>
      </c>
      <c r="E464" s="18">
        <f>E463*(1+Returns!H454)</f>
        <v>133.75967871527303</v>
      </c>
      <c r="F464" s="18">
        <f t="shared" ref="F464:F527" si="30">MAX(F463,E464)</f>
        <v>144.06442609680636</v>
      </c>
      <c r="G464" s="27">
        <f t="shared" ref="G464:G527" si="31">E464/F464-1</f>
        <v>-7.1528743498474046E-2</v>
      </c>
    </row>
    <row r="465" spans="1:7" ht="15">
      <c r="A465" s="25">
        <f>Returns!A455</f>
        <v>45596</v>
      </c>
      <c r="B465" s="18">
        <f>B464*(1+Returns!G455)</f>
        <v>123.30257069796103</v>
      </c>
      <c r="C465" s="18">
        <f t="shared" si="28"/>
        <v>131.46049985699199</v>
      </c>
      <c r="D465" s="27">
        <f t="shared" si="29"/>
        <v>-6.2056124599446094E-2</v>
      </c>
      <c r="E465" s="18">
        <f>E464*(1+Returns!H455)</f>
        <v>133.01506886159976</v>
      </c>
      <c r="F465" s="18">
        <f t="shared" si="30"/>
        <v>144.06442609680636</v>
      </c>
      <c r="G465" s="27">
        <f t="shared" si="31"/>
        <v>-7.6697332815401698E-2</v>
      </c>
    </row>
    <row r="466" spans="1:7" ht="15">
      <c r="A466" s="25">
        <f>Returns!A456</f>
        <v>45597</v>
      </c>
      <c r="B466" s="18">
        <f>B465*(1+Returns!G456)</f>
        <v>123.61304341515864</v>
      </c>
      <c r="C466" s="18">
        <f t="shared" si="28"/>
        <v>131.46049985699199</v>
      </c>
      <c r="D466" s="27">
        <f t="shared" si="29"/>
        <v>-5.969440592702846E-2</v>
      </c>
      <c r="E466" s="18">
        <f>E465*(1+Returns!H456)</f>
        <v>133.55910115321342</v>
      </c>
      <c r="F466" s="18">
        <f t="shared" si="30"/>
        <v>144.06442609680636</v>
      </c>
      <c r="G466" s="27">
        <f t="shared" si="31"/>
        <v>-7.2921020325543262E-2</v>
      </c>
    </row>
    <row r="467" spans="1:7" ht="15">
      <c r="A467" s="25">
        <f>Returns!A457</f>
        <v>45600</v>
      </c>
      <c r="B467" s="18">
        <f>B466*(1+Returns!G457)</f>
        <v>122.05324819875428</v>
      </c>
      <c r="C467" s="18">
        <f t="shared" si="28"/>
        <v>131.46049985699199</v>
      </c>
      <c r="D467" s="27">
        <f t="shared" si="29"/>
        <v>-7.15595305698008E-2</v>
      </c>
      <c r="E467" s="18">
        <f>E466*(1+Returns!H457)</f>
        <v>131.86106097029801</v>
      </c>
      <c r="F467" s="18">
        <f t="shared" si="30"/>
        <v>144.06442609680636</v>
      </c>
      <c r="G467" s="27">
        <f t="shared" si="31"/>
        <v>-8.4707692642374433E-2</v>
      </c>
    </row>
    <row r="468" spans="1:7" ht="15">
      <c r="A468" s="25">
        <f>Returns!A458</f>
        <v>45601</v>
      </c>
      <c r="B468" s="18">
        <f>B467*(1+Returns!G458)</f>
        <v>123.13163599833574</v>
      </c>
      <c r="C468" s="18">
        <f t="shared" si="28"/>
        <v>131.46049985699199</v>
      </c>
      <c r="D468" s="27">
        <f t="shared" si="29"/>
        <v>-6.3356398824869209E-2</v>
      </c>
      <c r="E468" s="18">
        <f>E467*(1+Returns!H458)</f>
        <v>133.05876274297518</v>
      </c>
      <c r="F468" s="18">
        <f t="shared" si="30"/>
        <v>144.06442609680636</v>
      </c>
      <c r="G468" s="27">
        <f t="shared" si="31"/>
        <v>-7.6394038778426432E-2</v>
      </c>
    </row>
    <row r="469" spans="1:7" ht="15">
      <c r="A469" s="25">
        <f>Returns!A459</f>
        <v>45602</v>
      </c>
      <c r="B469" s="18">
        <f>B468*(1+Returns!G459)</f>
        <v>125.41480271012239</v>
      </c>
      <c r="C469" s="18">
        <f t="shared" si="28"/>
        <v>131.46049985699199</v>
      </c>
      <c r="D469" s="27">
        <f t="shared" si="29"/>
        <v>-4.5988697391584177E-2</v>
      </c>
      <c r="E469" s="18">
        <f>E468*(1+Returns!H459)</f>
        <v>134.54660863140347</v>
      </c>
      <c r="F469" s="18">
        <f t="shared" si="30"/>
        <v>144.06442609680636</v>
      </c>
      <c r="G469" s="27">
        <f t="shared" si="31"/>
        <v>-6.606639628722244E-2</v>
      </c>
    </row>
    <row r="470" spans="1:7" ht="15">
      <c r="A470" s="25">
        <f>Returns!A460</f>
        <v>45603</v>
      </c>
      <c r="B470" s="18">
        <f>B469*(1+Returns!G460)</f>
        <v>124.30688942652267</v>
      </c>
      <c r="C470" s="18">
        <f t="shared" si="28"/>
        <v>131.46049985699199</v>
      </c>
      <c r="D470" s="27">
        <f t="shared" si="29"/>
        <v>-5.4416424996491686E-2</v>
      </c>
      <c r="E470" s="18">
        <f>E469*(1+Returns!H460)</f>
        <v>132.98209720756253</v>
      </c>
      <c r="F470" s="18">
        <f t="shared" si="30"/>
        <v>144.06442609680636</v>
      </c>
      <c r="G470" s="27">
        <f t="shared" si="31"/>
        <v>-7.6926200239029741E-2</v>
      </c>
    </row>
    <row r="471" spans="1:7" ht="15">
      <c r="A471" s="25">
        <f>Returns!A461</f>
        <v>45604</v>
      </c>
      <c r="B471" s="18">
        <f>B470*(1+Returns!G461)</f>
        <v>123.89156814692379</v>
      </c>
      <c r="C471" s="18">
        <f t="shared" si="28"/>
        <v>131.46049985699199</v>
      </c>
      <c r="D471" s="27">
        <f t="shared" si="29"/>
        <v>-5.7575710713879791E-2</v>
      </c>
      <c r="E471" s="18">
        <f>E470*(1+Returns!H461)</f>
        <v>132.70101171030342</v>
      </c>
      <c r="F471" s="18">
        <f t="shared" si="30"/>
        <v>144.06442609680636</v>
      </c>
      <c r="G471" s="27">
        <f t="shared" si="31"/>
        <v>-7.8877309925679429E-2</v>
      </c>
    </row>
    <row r="472" spans="1:7" ht="15">
      <c r="A472" s="25">
        <f>Returns!A462</f>
        <v>45607</v>
      </c>
      <c r="B472" s="18">
        <f>B471*(1+Returns!G462)</f>
        <v>124.60352474912946</v>
      </c>
      <c r="C472" s="18">
        <f t="shared" si="28"/>
        <v>131.46049985699199</v>
      </c>
      <c r="D472" s="27">
        <f t="shared" si="29"/>
        <v>-5.2159965277188358E-2</v>
      </c>
      <c r="E472" s="18">
        <f>E471*(1+Returns!H462)</f>
        <v>132.66310289452889</v>
      </c>
      <c r="F472" s="18">
        <f t="shared" si="30"/>
        <v>144.06442609680636</v>
      </c>
      <c r="G472" s="27">
        <f t="shared" si="31"/>
        <v>-7.9140447861959839E-2</v>
      </c>
    </row>
    <row r="473" spans="1:7" ht="15">
      <c r="A473" s="25">
        <f>Returns!A463</f>
        <v>45608</v>
      </c>
      <c r="B473" s="18">
        <f>B472*(1+Returns!G463)</f>
        <v>123.89200139992883</v>
      </c>
      <c r="C473" s="18">
        <f t="shared" si="28"/>
        <v>131.46049985699199</v>
      </c>
      <c r="D473" s="27">
        <f t="shared" si="29"/>
        <v>-5.7572415024258028E-2</v>
      </c>
      <c r="E473" s="18">
        <f>E472*(1+Returns!H463)</f>
        <v>131.24613747591232</v>
      </c>
      <c r="F473" s="18">
        <f t="shared" si="30"/>
        <v>144.06442609680636</v>
      </c>
      <c r="G473" s="27">
        <f t="shared" si="31"/>
        <v>-8.89760849932556E-2</v>
      </c>
    </row>
    <row r="474" spans="1:7" ht="15">
      <c r="A474" s="25">
        <f>Returns!A464</f>
        <v>45609</v>
      </c>
      <c r="B474" s="18">
        <f>B473*(1+Returns!G464)</f>
        <v>122.15921253618689</v>
      </c>
      <c r="C474" s="18">
        <f t="shared" si="28"/>
        <v>131.46049985699199</v>
      </c>
      <c r="D474" s="27">
        <f t="shared" si="29"/>
        <v>-7.0753475994107862E-2</v>
      </c>
      <c r="E474" s="18">
        <f>E473*(1+Returns!H464)</f>
        <v>129.46347863400302</v>
      </c>
      <c r="F474" s="18">
        <f t="shared" si="30"/>
        <v>144.06442609680636</v>
      </c>
      <c r="G474" s="27">
        <f t="shared" si="31"/>
        <v>-0.10135012409650668</v>
      </c>
    </row>
    <row r="475" spans="1:7" ht="15">
      <c r="A475" s="25">
        <f>Returns!A465</f>
        <v>45610</v>
      </c>
      <c r="B475" s="18">
        <f>B474*(1+Returns!G465)</f>
        <v>122.72911918446182</v>
      </c>
      <c r="C475" s="18">
        <f t="shared" si="28"/>
        <v>131.46049985699199</v>
      </c>
      <c r="D475" s="27">
        <f t="shared" si="29"/>
        <v>-6.641828292170282E-2</v>
      </c>
      <c r="E475" s="18">
        <f>E474*(1+Returns!H465)</f>
        <v>129.31866953365477</v>
      </c>
      <c r="F475" s="18">
        <f t="shared" si="30"/>
        <v>144.06442609680636</v>
      </c>
      <c r="G475" s="27">
        <f t="shared" si="31"/>
        <v>-0.10235529313283032</v>
      </c>
    </row>
    <row r="476" spans="1:7" ht="15">
      <c r="A476" s="25">
        <f>Returns!A466</f>
        <v>45614</v>
      </c>
      <c r="B476" s="18">
        <f>B475*(1+Returns!G466)</f>
        <v>121.46327870689662</v>
      </c>
      <c r="C476" s="18">
        <f t="shared" si="28"/>
        <v>131.46049985699199</v>
      </c>
      <c r="D476" s="27">
        <f t="shared" si="29"/>
        <v>-7.6047338637619255E-2</v>
      </c>
      <c r="E476" s="18">
        <f>E475*(1+Returns!H466)</f>
        <v>128.88510086943393</v>
      </c>
      <c r="F476" s="18">
        <f t="shared" si="30"/>
        <v>144.06442609680636</v>
      </c>
      <c r="G476" s="27">
        <f t="shared" si="31"/>
        <v>-0.10536484015264425</v>
      </c>
    </row>
    <row r="477" spans="1:7" ht="15">
      <c r="A477" s="25">
        <f>Returns!A467</f>
        <v>45615</v>
      </c>
      <c r="B477" s="18">
        <f>B476*(1+Returns!G467)</f>
        <v>121.85656280752754</v>
      </c>
      <c r="C477" s="18">
        <f t="shared" si="28"/>
        <v>131.46049985699199</v>
      </c>
      <c r="D477" s="27">
        <f t="shared" si="29"/>
        <v>-7.3055686384214225E-2</v>
      </c>
      <c r="E477" s="18">
        <f>E476*(1+Returns!H467)</f>
        <v>129.24064091228422</v>
      </c>
      <c r="F477" s="18">
        <f t="shared" si="30"/>
        <v>144.06442609680636</v>
      </c>
      <c r="G477" s="27">
        <f t="shared" si="31"/>
        <v>-0.10289691623497021</v>
      </c>
    </row>
    <row r="478" spans="1:7" ht="15">
      <c r="A478" s="25">
        <f>Returns!A468</f>
        <v>45617</v>
      </c>
      <c r="B478" s="18">
        <f>B477*(1+Returns!G468)</f>
        <v>121.6959020986575</v>
      </c>
      <c r="C478" s="18">
        <f t="shared" si="28"/>
        <v>131.46049985699199</v>
      </c>
      <c r="D478" s="27">
        <f t="shared" si="29"/>
        <v>-7.4277807926767414E-2</v>
      </c>
      <c r="E478" s="18">
        <f>E477*(1+Returns!H468)</f>
        <v>128.31413958043117</v>
      </c>
      <c r="F478" s="18">
        <f t="shared" si="30"/>
        <v>144.06442609680636</v>
      </c>
      <c r="G478" s="27">
        <f t="shared" si="31"/>
        <v>-0.10932807593868821</v>
      </c>
    </row>
    <row r="479" spans="1:7" ht="15">
      <c r="A479" s="25">
        <f>Returns!A469</f>
        <v>45618</v>
      </c>
      <c r="B479" s="18">
        <f>B478*(1+Returns!G469)</f>
        <v>124.93413973186962</v>
      </c>
      <c r="C479" s="18">
        <f t="shared" si="28"/>
        <v>131.46049985699199</v>
      </c>
      <c r="D479" s="27">
        <f t="shared" si="29"/>
        <v>-4.964502745860544E-2</v>
      </c>
      <c r="E479" s="18">
        <f>E478*(1+Returns!H469)</f>
        <v>131.37692933011064</v>
      </c>
      <c r="F479" s="18">
        <f t="shared" si="30"/>
        <v>144.06442609680636</v>
      </c>
      <c r="G479" s="27">
        <f t="shared" si="31"/>
        <v>-8.8068214412419521E-2</v>
      </c>
    </row>
    <row r="480" spans="1:7" ht="15">
      <c r="A480" s="25">
        <f>Returns!A470</f>
        <v>45621</v>
      </c>
      <c r="B480" s="18">
        <f>B479*(1+Returns!G470)</f>
        <v>126.81014819714083</v>
      </c>
      <c r="C480" s="18">
        <f t="shared" si="28"/>
        <v>131.46049985699199</v>
      </c>
      <c r="D480" s="27">
        <f t="shared" si="29"/>
        <v>-3.5374516793333255E-2</v>
      </c>
      <c r="E480" s="18">
        <f>E479*(1+Returns!H470)</f>
        <v>133.10601996716977</v>
      </c>
      <c r="F480" s="18">
        <f t="shared" si="30"/>
        <v>144.06442609680636</v>
      </c>
      <c r="G480" s="27">
        <f t="shared" si="31"/>
        <v>-7.6066010371449444E-2</v>
      </c>
    </row>
    <row r="481" spans="1:7" ht="15">
      <c r="A481" s="25">
        <f>Returns!A471</f>
        <v>45622</v>
      </c>
      <c r="B481" s="18">
        <f>B480*(1+Returns!G471)</f>
        <v>127.64981862266988</v>
      </c>
      <c r="C481" s="18">
        <f t="shared" si="28"/>
        <v>131.46049985699199</v>
      </c>
      <c r="D481" s="27">
        <f t="shared" si="29"/>
        <v>-2.8987271754386423E-2</v>
      </c>
      <c r="E481" s="18">
        <f>E480*(1+Returns!H471)</f>
        <v>132.95544726714121</v>
      </c>
      <c r="F481" s="18">
        <f t="shared" si="30"/>
        <v>144.06442609680636</v>
      </c>
      <c r="G481" s="27">
        <f t="shared" si="31"/>
        <v>-7.711118650623916E-2</v>
      </c>
    </row>
    <row r="482" spans="1:7" ht="15">
      <c r="A482" s="25">
        <f>Returns!A472</f>
        <v>45623</v>
      </c>
      <c r="B482" s="18">
        <f>B481*(1+Returns!G472)</f>
        <v>127.88927239396767</v>
      </c>
      <c r="C482" s="18">
        <f t="shared" si="28"/>
        <v>131.46049985699199</v>
      </c>
      <c r="D482" s="27">
        <f t="shared" si="29"/>
        <v>-2.7165783386714937E-2</v>
      </c>
      <c r="E482" s="18">
        <f>E481*(1+Returns!H472)</f>
        <v>133.39726957783165</v>
      </c>
      <c r="F482" s="18">
        <f t="shared" si="30"/>
        <v>144.06442609680636</v>
      </c>
      <c r="G482" s="27">
        <f t="shared" si="31"/>
        <v>-7.4044348129403859E-2</v>
      </c>
    </row>
    <row r="483" spans="1:7" ht="15">
      <c r="A483" s="25">
        <f>Returns!A473</f>
        <v>45624</v>
      </c>
      <c r="B483" s="18">
        <f>B482*(1+Returns!G473)</f>
        <v>125.59220879515897</v>
      </c>
      <c r="C483" s="18">
        <f t="shared" si="28"/>
        <v>131.46049985699199</v>
      </c>
      <c r="D483" s="27">
        <f t="shared" si="29"/>
        <v>-4.4639196322977526E-2</v>
      </c>
      <c r="E483" s="18">
        <f>E482*(1+Returns!H473)</f>
        <v>131.41484887884548</v>
      </c>
      <c r="F483" s="18">
        <f t="shared" si="30"/>
        <v>144.06442609680636</v>
      </c>
      <c r="G483" s="27">
        <f t="shared" si="31"/>
        <v>-8.7805001975024721E-2</v>
      </c>
    </row>
    <row r="484" spans="1:7" ht="15">
      <c r="A484" s="25">
        <f>Returns!A474</f>
        <v>45625</v>
      </c>
      <c r="B484" s="18">
        <f>B483*(1+Returns!G474)</f>
        <v>126.53882490066081</v>
      </c>
      <c r="C484" s="18">
        <f t="shared" si="28"/>
        <v>131.46049985699199</v>
      </c>
      <c r="D484" s="27">
        <f t="shared" si="29"/>
        <v>-3.7438431785100201E-2</v>
      </c>
      <c r="E484" s="18">
        <f>E483*(1+Returns!H474)</f>
        <v>132.60704464288952</v>
      </c>
      <c r="F484" s="18">
        <f t="shared" si="30"/>
        <v>144.06442609680636</v>
      </c>
      <c r="G484" s="27">
        <f t="shared" si="31"/>
        <v>-7.9529567182795469E-2</v>
      </c>
    </row>
    <row r="485" spans="1:7" ht="15">
      <c r="A485" s="25">
        <f>Returns!A475</f>
        <v>45628</v>
      </c>
      <c r="B485" s="18">
        <f>B484*(1+Returns!G475)</f>
        <v>127.43119073747354</v>
      </c>
      <c r="C485" s="18">
        <f t="shared" si="28"/>
        <v>131.46049985699199</v>
      </c>
      <c r="D485" s="27">
        <f t="shared" si="29"/>
        <v>-3.0650340778421548E-2</v>
      </c>
      <c r="E485" s="18">
        <f>E484*(1+Returns!H475)</f>
        <v>133.40359129144753</v>
      </c>
      <c r="F485" s="18">
        <f t="shared" si="30"/>
        <v>144.06442609680636</v>
      </c>
      <c r="G485" s="27">
        <f t="shared" si="31"/>
        <v>-7.4000466972985568E-2</v>
      </c>
    </row>
    <row r="486" spans="1:7" ht="15">
      <c r="A486" s="25">
        <f>Returns!A476</f>
        <v>45629</v>
      </c>
      <c r="B486" s="18">
        <f>B485*(1+Returns!G476)</f>
        <v>128.49238259585272</v>
      </c>
      <c r="C486" s="18">
        <f t="shared" si="28"/>
        <v>131.46049985699199</v>
      </c>
      <c r="D486" s="27">
        <f t="shared" si="29"/>
        <v>-2.257801593914599E-2</v>
      </c>
      <c r="E486" s="18">
        <f>E485*(1+Returns!H476)</f>
        <v>134.39878356921139</v>
      </c>
      <c r="F486" s="18">
        <f t="shared" si="30"/>
        <v>144.06442609680636</v>
      </c>
      <c r="G486" s="27">
        <f t="shared" si="31"/>
        <v>-6.7092500136709532E-2</v>
      </c>
    </row>
    <row r="487" spans="1:7" ht="15">
      <c r="A487" s="25">
        <f>Returns!A477</f>
        <v>45630</v>
      </c>
      <c r="B487" s="18">
        <f>B486*(1+Returns!G477)</f>
        <v>129.13068738664234</v>
      </c>
      <c r="C487" s="18">
        <f t="shared" si="28"/>
        <v>131.46049985699199</v>
      </c>
      <c r="D487" s="27">
        <f t="shared" si="29"/>
        <v>-1.7722528614177779E-2</v>
      </c>
      <c r="E487" s="18">
        <f>E486*(1+Returns!H477)</f>
        <v>134.45537846886575</v>
      </c>
      <c r="F487" s="18">
        <f t="shared" si="30"/>
        <v>144.06442609680636</v>
      </c>
      <c r="G487" s="27">
        <f t="shared" si="31"/>
        <v>-6.6699655760150356E-2</v>
      </c>
    </row>
    <row r="488" spans="1:7" ht="15">
      <c r="A488" s="25">
        <f>Returns!A478</f>
        <v>45631</v>
      </c>
      <c r="B488" s="18">
        <f>B487*(1+Returns!G478)</f>
        <v>130.97067197529583</v>
      </c>
      <c r="C488" s="18">
        <f t="shared" si="28"/>
        <v>131.46049985699199</v>
      </c>
      <c r="D488" s="27">
        <f t="shared" si="29"/>
        <v>-3.7260460916321847E-3</v>
      </c>
      <c r="E488" s="18">
        <f>E487*(1+Returns!H478)</f>
        <v>135.77947158201883</v>
      </c>
      <c r="F488" s="18">
        <f t="shared" si="30"/>
        <v>144.06442609680636</v>
      </c>
      <c r="G488" s="27">
        <f t="shared" si="31"/>
        <v>-5.7508676772295764E-2</v>
      </c>
    </row>
    <row r="489" spans="1:7" ht="15">
      <c r="A489" s="25">
        <f>Returns!A479</f>
        <v>45632</v>
      </c>
      <c r="B489" s="18">
        <f>B488*(1+Returns!G479)</f>
        <v>130.18770456537115</v>
      </c>
      <c r="C489" s="18">
        <f t="shared" si="28"/>
        <v>131.46049985699199</v>
      </c>
      <c r="D489" s="27">
        <f t="shared" si="29"/>
        <v>-9.6819599271676937E-3</v>
      </c>
      <c r="E489" s="18">
        <f>E488*(1+Returns!H479)</f>
        <v>135.61131829302121</v>
      </c>
      <c r="F489" s="18">
        <f t="shared" si="30"/>
        <v>144.06442609680636</v>
      </c>
      <c r="G489" s="27">
        <f t="shared" si="31"/>
        <v>-5.867588573257454E-2</v>
      </c>
    </row>
    <row r="490" spans="1:7" ht="15">
      <c r="A490" s="25">
        <f>Returns!A480</f>
        <v>45635</v>
      </c>
      <c r="B490" s="18">
        <f>B489*(1+Returns!G480)</f>
        <v>129.98573866645782</v>
      </c>
      <c r="C490" s="18">
        <f t="shared" si="28"/>
        <v>131.46049985699199</v>
      </c>
      <c r="D490" s="27">
        <f t="shared" si="29"/>
        <v>-1.1218283759292458E-2</v>
      </c>
      <c r="E490" s="18">
        <f>E489*(1+Returns!H480)</f>
        <v>135.28819179027261</v>
      </c>
      <c r="F490" s="18">
        <f t="shared" si="30"/>
        <v>144.06442609680636</v>
      </c>
      <c r="G490" s="27">
        <f t="shared" si="31"/>
        <v>-6.0918816284572741E-2</v>
      </c>
    </row>
    <row r="491" spans="1:7" ht="15">
      <c r="A491" s="25">
        <f>Returns!A481</f>
        <v>45636</v>
      </c>
      <c r="B491" s="18">
        <f>B490*(1+Returns!G481)</f>
        <v>129.95238714754882</v>
      </c>
      <c r="C491" s="18">
        <f t="shared" si="28"/>
        <v>131.46049985699199</v>
      </c>
      <c r="D491" s="27">
        <f t="shared" si="29"/>
        <v>-1.1471983683948861E-2</v>
      </c>
      <c r="E491" s="18">
        <f>E490*(1+Returns!H481)</f>
        <v>135.23901336618457</v>
      </c>
      <c r="F491" s="18">
        <f t="shared" si="30"/>
        <v>144.06442609680636</v>
      </c>
      <c r="G491" s="27">
        <f t="shared" si="31"/>
        <v>-6.1260180391038532E-2</v>
      </c>
    </row>
    <row r="492" spans="1:7" ht="15">
      <c r="A492" s="25">
        <f>Returns!A482</f>
        <v>45637</v>
      </c>
      <c r="B492" s="18">
        <f>B491*(1+Returns!G482)</f>
        <v>129.88025657397986</v>
      </c>
      <c r="C492" s="18">
        <f t="shared" si="28"/>
        <v>131.46049985699199</v>
      </c>
      <c r="D492" s="27">
        <f t="shared" si="29"/>
        <v>-1.2020669971064879E-2</v>
      </c>
      <c r="E492" s="18">
        <f>E491*(1+Returns!H482)</f>
        <v>135.41348836879803</v>
      </c>
      <c r="F492" s="18">
        <f t="shared" si="30"/>
        <v>144.06442609680636</v>
      </c>
      <c r="G492" s="27">
        <f t="shared" si="31"/>
        <v>-6.0049090274341577E-2</v>
      </c>
    </row>
    <row r="493" spans="1:7" ht="15">
      <c r="A493" s="25">
        <f>Returns!A483</f>
        <v>45638</v>
      </c>
      <c r="B493" s="18">
        <f>B492*(1+Returns!G483)</f>
        <v>129.73833727121595</v>
      </c>
      <c r="C493" s="18">
        <f t="shared" si="28"/>
        <v>131.46049985699199</v>
      </c>
      <c r="D493" s="27">
        <f t="shared" si="29"/>
        <v>-1.3100228491824351E-2</v>
      </c>
      <c r="E493" s="18">
        <f>E492*(1+Returns!H483)</f>
        <v>134.90186961728602</v>
      </c>
      <c r="F493" s="18">
        <f t="shared" si="30"/>
        <v>144.06442609680636</v>
      </c>
      <c r="G493" s="27">
        <f t="shared" si="31"/>
        <v>-6.3600409398524294E-2</v>
      </c>
    </row>
    <row r="494" spans="1:7" ht="15">
      <c r="A494" s="25">
        <f>Returns!A484</f>
        <v>45639</v>
      </c>
      <c r="B494" s="18">
        <f>B493*(1+Returns!G484)</f>
        <v>130.67581359407728</v>
      </c>
      <c r="C494" s="18">
        <f t="shared" si="28"/>
        <v>131.46049985699199</v>
      </c>
      <c r="D494" s="27">
        <f t="shared" si="29"/>
        <v>-5.968988888436555E-3</v>
      </c>
      <c r="E494" s="18">
        <f>E493*(1+Returns!H484)</f>
        <v>136.10864074141548</v>
      </c>
      <c r="F494" s="18">
        <f t="shared" si="30"/>
        <v>144.06442609680636</v>
      </c>
      <c r="G494" s="27">
        <f t="shared" si="31"/>
        <v>-5.5223802092855712E-2</v>
      </c>
    </row>
    <row r="495" spans="1:7" ht="15">
      <c r="A495" s="25">
        <f>Returns!A485</f>
        <v>45642</v>
      </c>
      <c r="B495" s="18">
        <f>B494*(1+Returns!G485)</f>
        <v>129.92668379423711</v>
      </c>
      <c r="C495" s="18">
        <f t="shared" si="28"/>
        <v>131.46049985699199</v>
      </c>
      <c r="D495" s="27">
        <f t="shared" si="29"/>
        <v>-1.1667505177779036E-2</v>
      </c>
      <c r="E495" s="18">
        <f>E494*(1+Returns!H485)</f>
        <v>135.55883411716118</v>
      </c>
      <c r="F495" s="18">
        <f t="shared" si="30"/>
        <v>144.06442609680636</v>
      </c>
      <c r="G495" s="27">
        <f t="shared" si="31"/>
        <v>-5.9040196182294946E-2</v>
      </c>
    </row>
    <row r="496" spans="1:7" ht="15">
      <c r="A496" s="25">
        <f>Returns!A486</f>
        <v>45643</v>
      </c>
      <c r="B496" s="18">
        <f>B495*(1+Returns!G486)</f>
        <v>128.05822756699428</v>
      </c>
      <c r="C496" s="18">
        <f t="shared" si="28"/>
        <v>131.46049985699199</v>
      </c>
      <c r="D496" s="27">
        <f t="shared" si="29"/>
        <v>-2.5880567118631403E-2</v>
      </c>
      <c r="E496" s="18">
        <f>E495*(1+Returns!H486)</f>
        <v>133.73302877485168</v>
      </c>
      <c r="F496" s="18">
        <f t="shared" si="30"/>
        <v>144.06442609680636</v>
      </c>
      <c r="G496" s="27">
        <f t="shared" si="31"/>
        <v>-7.1713729765683687E-2</v>
      </c>
    </row>
    <row r="497" spans="1:7" ht="15">
      <c r="A497" s="25">
        <f>Returns!A487</f>
        <v>45644</v>
      </c>
      <c r="B497" s="18">
        <f>B496*(1+Returns!G487)</f>
        <v>127.72579899368395</v>
      </c>
      <c r="C497" s="18">
        <f t="shared" si="28"/>
        <v>131.46049985699199</v>
      </c>
      <c r="D497" s="27">
        <f t="shared" si="29"/>
        <v>-2.8409300644458124E-2</v>
      </c>
      <c r="E497" s="18">
        <f>E496*(1+Returns!H487)</f>
        <v>132.97934956972611</v>
      </c>
      <c r="F497" s="18">
        <f t="shared" si="30"/>
        <v>144.06442609680636</v>
      </c>
      <c r="G497" s="27">
        <f t="shared" si="31"/>
        <v>-7.694527252433192E-2</v>
      </c>
    </row>
    <row r="498" spans="1:7" ht="15">
      <c r="A498" s="25">
        <f>Returns!A488</f>
        <v>45645</v>
      </c>
      <c r="B498" s="18">
        <f>B497*(1+Returns!G488)</f>
        <v>125.67908415228729</v>
      </c>
      <c r="C498" s="18">
        <f t="shared" si="28"/>
        <v>131.46049985699199</v>
      </c>
      <c r="D498" s="27">
        <f t="shared" si="29"/>
        <v>-4.3978348713065607E-2</v>
      </c>
      <c r="E498" s="18">
        <f>E497*(1+Returns!H488)</f>
        <v>131.62119004058536</v>
      </c>
      <c r="F498" s="18">
        <f t="shared" si="30"/>
        <v>144.06442609680636</v>
      </c>
      <c r="G498" s="27">
        <f t="shared" si="31"/>
        <v>-8.637271804948965E-2</v>
      </c>
    </row>
    <row r="499" spans="1:7" ht="15">
      <c r="A499" s="25">
        <f>Returns!A489</f>
        <v>45646</v>
      </c>
      <c r="B499" s="18">
        <f>B498*(1+Returns!G489)</f>
        <v>123.84266638543134</v>
      </c>
      <c r="C499" s="18">
        <f t="shared" si="28"/>
        <v>131.46049985699199</v>
      </c>
      <c r="D499" s="27">
        <f t="shared" si="29"/>
        <v>-5.7947698965450711E-2</v>
      </c>
      <c r="E499" s="18">
        <f>E498*(1+Returns!H489)</f>
        <v>129.61981493371192</v>
      </c>
      <c r="F499" s="18">
        <f t="shared" si="30"/>
        <v>144.06442609680636</v>
      </c>
      <c r="G499" s="27">
        <f t="shared" si="31"/>
        <v>-0.10026494086325066</v>
      </c>
    </row>
    <row r="500" spans="1:7" ht="15">
      <c r="A500" s="25">
        <f>Returns!A490</f>
        <v>45649</v>
      </c>
      <c r="B500" s="18">
        <f>B499*(1+Returns!G490)</f>
        <v>124.86553629420835</v>
      </c>
      <c r="C500" s="18">
        <f t="shared" si="28"/>
        <v>131.46049985699199</v>
      </c>
      <c r="D500" s="27">
        <f t="shared" si="29"/>
        <v>-5.0166883360080794E-2</v>
      </c>
      <c r="E500" s="18">
        <f>E499*(1+Returns!H490)</f>
        <v>130.5317516384398</v>
      </c>
      <c r="F500" s="18">
        <f t="shared" si="30"/>
        <v>144.06442609680636</v>
      </c>
      <c r="G500" s="27">
        <f t="shared" si="31"/>
        <v>-9.3934879171857943E-2</v>
      </c>
    </row>
    <row r="501" spans="1:7" ht="15">
      <c r="A501" s="25">
        <f>Returns!A491</f>
        <v>45650</v>
      </c>
      <c r="B501" s="18">
        <f>B500*(1+Returns!G491)</f>
        <v>124.81215759468087</v>
      </c>
      <c r="C501" s="18">
        <f t="shared" si="28"/>
        <v>131.46049985699199</v>
      </c>
      <c r="D501" s="27">
        <f t="shared" si="29"/>
        <v>-5.0572926997413337E-2</v>
      </c>
      <c r="E501" s="18">
        <f>E500*(1+Returns!H491)</f>
        <v>130.38997996585607</v>
      </c>
      <c r="F501" s="18">
        <f t="shared" si="30"/>
        <v>144.06442609680636</v>
      </c>
      <c r="G501" s="27">
        <f t="shared" si="31"/>
        <v>-9.4918964392788574E-2</v>
      </c>
    </row>
    <row r="502" spans="1:7" ht="15">
      <c r="A502" s="25">
        <f>Returns!A492</f>
        <v>45652</v>
      </c>
      <c r="B502" s="18">
        <f>B501*(1+Returns!G492)</f>
        <v>124.44953688930974</v>
      </c>
      <c r="C502" s="18">
        <f t="shared" si="28"/>
        <v>131.46049985699199</v>
      </c>
      <c r="D502" s="27">
        <f t="shared" si="29"/>
        <v>-5.3331327473340351E-2</v>
      </c>
      <c r="E502" s="18">
        <f>E501*(1+Returns!H492)</f>
        <v>130.51389199250301</v>
      </c>
      <c r="F502" s="18">
        <f t="shared" si="30"/>
        <v>144.06442609680636</v>
      </c>
      <c r="G502" s="27">
        <f t="shared" si="31"/>
        <v>-9.4058849026322888E-2</v>
      </c>
    </row>
    <row r="503" spans="1:7" ht="15">
      <c r="A503" s="25">
        <f>Returns!A493</f>
        <v>45653</v>
      </c>
      <c r="B503" s="18">
        <f>B502*(1+Returns!G493)</f>
        <v>124.90783190470258</v>
      </c>
      <c r="C503" s="18">
        <f t="shared" si="28"/>
        <v>131.46049985699199</v>
      </c>
      <c r="D503" s="27">
        <f t="shared" si="29"/>
        <v>-4.9845147092987374E-2</v>
      </c>
      <c r="E503" s="18">
        <f>E502*(1+Returns!H493)</f>
        <v>130.86119985480428</v>
      </c>
      <c r="F503" s="18">
        <f t="shared" si="30"/>
        <v>144.06442609680636</v>
      </c>
      <c r="G503" s="27">
        <f t="shared" si="31"/>
        <v>-9.1648067463441341E-2</v>
      </c>
    </row>
    <row r="504" spans="1:7" ht="15">
      <c r="A504" s="25">
        <f>Returns!A494</f>
        <v>45656</v>
      </c>
      <c r="B504" s="18">
        <f>B503*(1+Returns!G494)</f>
        <v>123.96353485101258</v>
      </c>
      <c r="C504" s="18">
        <f t="shared" si="28"/>
        <v>131.46049985699199</v>
      </c>
      <c r="D504" s="27">
        <f t="shared" si="29"/>
        <v>-5.7028270956940741E-2</v>
      </c>
      <c r="E504" s="18">
        <f>E503*(1+Returns!H494)</f>
        <v>129.93524590392647</v>
      </c>
      <c r="F504" s="18">
        <f t="shared" si="30"/>
        <v>144.06442609680636</v>
      </c>
      <c r="G504" s="27">
        <f t="shared" si="31"/>
        <v>-9.8075427610321841E-2</v>
      </c>
    </row>
    <row r="505" spans="1:7" ht="15">
      <c r="A505" s="25">
        <f>Returns!A495</f>
        <v>45657</v>
      </c>
      <c r="B505" s="18">
        <f>B504*(1+Returns!G495)</f>
        <v>123.17519533614471</v>
      </c>
      <c r="C505" s="18">
        <f t="shared" si="28"/>
        <v>131.46049985699199</v>
      </c>
      <c r="D505" s="27">
        <f t="shared" si="29"/>
        <v>-6.3025049576567627E-2</v>
      </c>
      <c r="E505" s="18">
        <f>E504*(1+Returns!H495)</f>
        <v>129.93469852295124</v>
      </c>
      <c r="F505" s="18">
        <f t="shared" si="30"/>
        <v>144.06442609680636</v>
      </c>
      <c r="G505" s="27">
        <f t="shared" si="31"/>
        <v>-9.8079227167159444E-2</v>
      </c>
    </row>
    <row r="506" spans="1:7" ht="15">
      <c r="A506" s="25">
        <f>Returns!A496</f>
        <v>45658</v>
      </c>
      <c r="B506" s="18">
        <f>B505*(1+Returns!G496)</f>
        <v>123.65368568258673</v>
      </c>
      <c r="C506" s="18">
        <f t="shared" si="28"/>
        <v>131.46049985699199</v>
      </c>
      <c r="D506" s="27">
        <f t="shared" si="29"/>
        <v>-5.9385246388822699E-2</v>
      </c>
      <c r="E506" s="18">
        <f>E505*(1+Returns!H496)</f>
        <v>130.47378291986726</v>
      </c>
      <c r="F506" s="18">
        <f t="shared" si="30"/>
        <v>144.06442609680636</v>
      </c>
      <c r="G506" s="27">
        <f t="shared" si="31"/>
        <v>-9.4337259691067987E-2</v>
      </c>
    </row>
    <row r="507" spans="1:7" ht="15">
      <c r="A507" s="25">
        <f>Returns!A497</f>
        <v>45659</v>
      </c>
      <c r="B507" s="18">
        <f>B506*(1+Returns!G497)</f>
        <v>125.58811623146104</v>
      </c>
      <c r="C507" s="18">
        <f t="shared" si="28"/>
        <v>131.46049985699199</v>
      </c>
      <c r="D507" s="27">
        <f t="shared" si="29"/>
        <v>-4.4670327831699663E-2</v>
      </c>
      <c r="E507" s="18">
        <f>E506*(1+Returns!H497)</f>
        <v>132.92330205104702</v>
      </c>
      <c r="F507" s="18">
        <f t="shared" si="30"/>
        <v>144.06442609680636</v>
      </c>
      <c r="G507" s="27">
        <f t="shared" si="31"/>
        <v>-7.7334317344053383E-2</v>
      </c>
    </row>
    <row r="508" spans="1:7" ht="15">
      <c r="A508" s="25">
        <f>Returns!A498</f>
        <v>45660</v>
      </c>
      <c r="B508" s="18">
        <f>B507*(1+Returns!G498)</f>
        <v>124.03176138101196</v>
      </c>
      <c r="C508" s="18">
        <f t="shared" si="28"/>
        <v>131.46049985699199</v>
      </c>
      <c r="D508" s="27">
        <f t="shared" si="29"/>
        <v>-5.6509282134643568E-2</v>
      </c>
      <c r="E508" s="18">
        <f>E507*(1+Returns!H498)</f>
        <v>131.91271870821501</v>
      </c>
      <c r="F508" s="18">
        <f t="shared" si="30"/>
        <v>144.06442609680636</v>
      </c>
      <c r="G508" s="27">
        <f t="shared" si="31"/>
        <v>-8.4349118778468068E-2</v>
      </c>
    </row>
    <row r="509" spans="1:7" ht="15">
      <c r="A509" s="25">
        <f>Returns!A499</f>
        <v>45663</v>
      </c>
      <c r="B509" s="18">
        <f>B508*(1+Returns!G499)</f>
        <v>122.47190736531077</v>
      </c>
      <c r="C509" s="18">
        <f t="shared" si="28"/>
        <v>131.46049985699199</v>
      </c>
      <c r="D509" s="27">
        <f t="shared" si="29"/>
        <v>-6.837485405471122E-2</v>
      </c>
      <c r="E509" s="18">
        <f>E508*(1+Returns!H499)</f>
        <v>129.77670934735636</v>
      </c>
      <c r="F509" s="18">
        <f t="shared" si="30"/>
        <v>144.06442609680636</v>
      </c>
      <c r="G509" s="27">
        <f t="shared" si="31"/>
        <v>-9.9175883572042545E-2</v>
      </c>
    </row>
    <row r="510" spans="1:7" ht="15">
      <c r="A510" s="25">
        <f>Returns!A500</f>
        <v>45664</v>
      </c>
      <c r="B510" s="18">
        <f>B509*(1+Returns!G500)</f>
        <v>122.85305183414782</v>
      </c>
      <c r="C510" s="18">
        <f t="shared" si="28"/>
        <v>131.46049985699199</v>
      </c>
      <c r="D510" s="27">
        <f t="shared" si="29"/>
        <v>-6.5475546131405937E-2</v>
      </c>
      <c r="E510" s="18">
        <f>E509*(1+Returns!H500)</f>
        <v>130.28144827131698</v>
      </c>
      <c r="F510" s="18">
        <f t="shared" si="30"/>
        <v>144.06442609680636</v>
      </c>
      <c r="G510" s="27">
        <f t="shared" si="31"/>
        <v>-9.567231966223011E-2</v>
      </c>
    </row>
    <row r="511" spans="1:7" ht="15">
      <c r="A511" s="25">
        <f>Returns!A501</f>
        <v>45665</v>
      </c>
      <c r="B511" s="18">
        <f>B510*(1+Returns!G501)</f>
        <v>123.40805448904226</v>
      </c>
      <c r="C511" s="18">
        <f t="shared" si="28"/>
        <v>131.46049985699199</v>
      </c>
      <c r="D511" s="27">
        <f t="shared" si="29"/>
        <v>-6.1253725466657305E-2</v>
      </c>
      <c r="E511" s="18">
        <f>E510*(1+Returns!H501)</f>
        <v>130.17730635754</v>
      </c>
      <c r="F511" s="18">
        <f t="shared" si="30"/>
        <v>144.06442609680636</v>
      </c>
      <c r="G511" s="27">
        <f t="shared" si="31"/>
        <v>-9.6395203975856547E-2</v>
      </c>
    </row>
    <row r="512" spans="1:7" ht="15">
      <c r="A512" s="25">
        <f>Returns!A502</f>
        <v>45666</v>
      </c>
      <c r="B512" s="18">
        <f>B511*(1+Returns!G502)</f>
        <v>122.07405811301231</v>
      </c>
      <c r="C512" s="18">
        <f t="shared" si="28"/>
        <v>131.46049985699199</v>
      </c>
      <c r="D512" s="27">
        <f t="shared" si="29"/>
        <v>-7.1401232721544639E-2</v>
      </c>
      <c r="E512" s="18">
        <f>E511*(1+Returns!H502)</f>
        <v>129.28460311766713</v>
      </c>
      <c r="F512" s="18">
        <f t="shared" si="30"/>
        <v>144.06442609680636</v>
      </c>
      <c r="G512" s="27">
        <f t="shared" si="31"/>
        <v>-0.10259175967013323</v>
      </c>
    </row>
    <row r="513" spans="1:7" ht="15">
      <c r="A513" s="25">
        <f>Returns!A503</f>
        <v>45667</v>
      </c>
      <c r="B513" s="18">
        <f>B512*(1+Returns!G503)</f>
        <v>123.22245485853114</v>
      </c>
      <c r="C513" s="18">
        <f t="shared" si="28"/>
        <v>131.46049985699199</v>
      </c>
      <c r="D513" s="27">
        <f t="shared" si="29"/>
        <v>-6.2665553587750944E-2</v>
      </c>
      <c r="E513" s="18">
        <f>E512*(1+Returns!H503)</f>
        <v>128.76255192874493</v>
      </c>
      <c r="F513" s="18">
        <f t="shared" si="30"/>
        <v>144.06442609680636</v>
      </c>
      <c r="G513" s="27">
        <f t="shared" si="31"/>
        <v>-0.10621549387757323</v>
      </c>
    </row>
    <row r="514" spans="1:7" ht="15">
      <c r="A514" s="25">
        <f>Returns!A504</f>
        <v>45670</v>
      </c>
      <c r="B514" s="18">
        <f>B513*(1+Returns!G504)</f>
        <v>122.49517555880482</v>
      </c>
      <c r="C514" s="18">
        <f t="shared" si="28"/>
        <v>131.46049985699199</v>
      </c>
      <c r="D514" s="27">
        <f t="shared" si="29"/>
        <v>-6.8197856450720962E-2</v>
      </c>
      <c r="E514" s="18">
        <f>E513*(1+Returns!H504)</f>
        <v>126.86365512680217</v>
      </c>
      <c r="F514" s="18">
        <f t="shared" si="30"/>
        <v>144.06442609680636</v>
      </c>
      <c r="G514" s="27">
        <f t="shared" si="31"/>
        <v>-0.1193963800504495</v>
      </c>
    </row>
    <row r="515" spans="1:7" ht="15">
      <c r="A515" s="25">
        <f>Returns!A505</f>
        <v>45671</v>
      </c>
      <c r="B515" s="18">
        <f>B514*(1+Returns!G505)</f>
        <v>122.38254969309109</v>
      </c>
      <c r="C515" s="18">
        <f t="shared" si="28"/>
        <v>131.46049985699199</v>
      </c>
      <c r="D515" s="27">
        <f t="shared" si="29"/>
        <v>-6.9054584257448037E-2</v>
      </c>
      <c r="E515" s="18">
        <f>E514*(1+Returns!H505)</f>
        <v>127.35878805129559</v>
      </c>
      <c r="F515" s="18">
        <f t="shared" si="30"/>
        <v>144.06442609680636</v>
      </c>
      <c r="G515" s="27">
        <f t="shared" si="31"/>
        <v>-0.11595949463808053</v>
      </c>
    </row>
    <row r="516" spans="1:7" ht="15">
      <c r="A516" s="25">
        <f>Returns!A506</f>
        <v>45672</v>
      </c>
      <c r="B516" s="18">
        <f>B515*(1+Returns!G506)</f>
        <v>122.80497273253036</v>
      </c>
      <c r="C516" s="18">
        <f t="shared" si="28"/>
        <v>131.46049985699199</v>
      </c>
      <c r="D516" s="27">
        <f t="shared" si="29"/>
        <v>-6.5841276534605142E-2</v>
      </c>
      <c r="E516" s="18">
        <f>E515*(1+Returns!H506)</f>
        <v>127.56292895617429</v>
      </c>
      <c r="F516" s="18">
        <f t="shared" si="30"/>
        <v>144.06442609680636</v>
      </c>
      <c r="G516" s="27">
        <f t="shared" si="31"/>
        <v>-0.11454248344101015</v>
      </c>
    </row>
    <row r="517" spans="1:7" ht="15">
      <c r="A517" s="25">
        <f>Returns!A507</f>
        <v>45673</v>
      </c>
      <c r="B517" s="18">
        <f>B516*(1+Returns!G507)</f>
        <v>123.0333724146991</v>
      </c>
      <c r="C517" s="18">
        <f t="shared" si="28"/>
        <v>131.46049985699199</v>
      </c>
      <c r="D517" s="27">
        <f t="shared" si="29"/>
        <v>-6.410387493931835E-2</v>
      </c>
      <c r="E517" s="18">
        <f>E516*(1+Returns!H507)</f>
        <v>128.10477172388704</v>
      </c>
      <c r="F517" s="18">
        <f t="shared" si="30"/>
        <v>144.06442609680636</v>
      </c>
      <c r="G517" s="27">
        <f t="shared" si="31"/>
        <v>-0.11078136917850201</v>
      </c>
    </row>
    <row r="518" spans="1:7" ht="15">
      <c r="A518" s="25">
        <f>Returns!A508</f>
        <v>45674</v>
      </c>
      <c r="B518" s="18">
        <f>B517*(1+Returns!G508)</f>
        <v>122.15385634867553</v>
      </c>
      <c r="C518" s="18">
        <f t="shared" si="28"/>
        <v>131.46049985699199</v>
      </c>
      <c r="D518" s="27">
        <f t="shared" si="29"/>
        <v>-7.0794219696719507E-2</v>
      </c>
      <c r="E518" s="18">
        <f>E517*(1+Returns!H508)</f>
        <v>127.50797619944562</v>
      </c>
      <c r="F518" s="18">
        <f t="shared" si="30"/>
        <v>144.06442609680636</v>
      </c>
      <c r="G518" s="27">
        <f t="shared" si="31"/>
        <v>-0.11492392914705651</v>
      </c>
    </row>
    <row r="519" spans="1:7" ht="15">
      <c r="A519" s="25">
        <f>Returns!A509</f>
        <v>45677</v>
      </c>
      <c r="B519" s="18">
        <f>B518*(1+Returns!G509)</f>
        <v>122.31208491328178</v>
      </c>
      <c r="C519" s="18">
        <f t="shared" si="28"/>
        <v>131.46049985699199</v>
      </c>
      <c r="D519" s="27">
        <f t="shared" si="29"/>
        <v>-6.9590599105147311E-2</v>
      </c>
      <c r="E519" s="18">
        <f>E518*(1+Returns!H509)</f>
        <v>128.28583676412384</v>
      </c>
      <c r="F519" s="18">
        <f t="shared" si="30"/>
        <v>144.06442609680636</v>
      </c>
      <c r="G519" s="27">
        <f t="shared" si="31"/>
        <v>-0.10952453537752505</v>
      </c>
    </row>
    <row r="520" spans="1:7" ht="15">
      <c r="A520" s="25">
        <f>Returns!A510</f>
        <v>45678</v>
      </c>
      <c r="B520" s="18">
        <f>B519*(1+Returns!G510)</f>
        <v>120.47776595042492</v>
      </c>
      <c r="C520" s="18">
        <f t="shared" si="28"/>
        <v>131.46049985699199</v>
      </c>
      <c r="D520" s="27">
        <f t="shared" si="29"/>
        <v>-8.3543984075174826E-2</v>
      </c>
      <c r="E520" s="18">
        <f>E519*(1+Returns!H510)</f>
        <v>126.52680116783171</v>
      </c>
      <c r="F520" s="18">
        <f t="shared" si="30"/>
        <v>144.06442609680636</v>
      </c>
      <c r="G520" s="27">
        <f t="shared" si="31"/>
        <v>-0.12173459752784477</v>
      </c>
    </row>
    <row r="521" spans="1:7" ht="15">
      <c r="A521" s="25">
        <f>Returns!A511</f>
        <v>45679</v>
      </c>
      <c r="B521" s="18">
        <f>B520*(1+Returns!G511)</f>
        <v>122.33726887878478</v>
      </c>
      <c r="C521" s="18">
        <f t="shared" si="28"/>
        <v>131.46049985699199</v>
      </c>
      <c r="D521" s="27">
        <f t="shared" si="29"/>
        <v>-6.9399028515271244E-2</v>
      </c>
      <c r="E521" s="18">
        <f>E520*(1+Returns!H511)</f>
        <v>127.24502940509109</v>
      </c>
      <c r="F521" s="18">
        <f t="shared" si="30"/>
        <v>144.06442609680636</v>
      </c>
      <c r="G521" s="27">
        <f t="shared" si="31"/>
        <v>-0.11674913195026515</v>
      </c>
    </row>
    <row r="522" spans="1:7" ht="15">
      <c r="A522" s="25">
        <f>Returns!A512</f>
        <v>45680</v>
      </c>
      <c r="B522" s="18">
        <f>B521*(1+Returns!G512)</f>
        <v>122.03726022698835</v>
      </c>
      <c r="C522" s="18">
        <f t="shared" si="28"/>
        <v>131.46049985699199</v>
      </c>
      <c r="D522" s="27">
        <f t="shared" si="29"/>
        <v>-7.1681148635937109E-2</v>
      </c>
      <c r="E522" s="18">
        <f>E521*(1+Returns!H512)</f>
        <v>127.51979318873435</v>
      </c>
      <c r="F522" s="18">
        <f t="shared" si="30"/>
        <v>144.06442609680636</v>
      </c>
      <c r="G522" s="27">
        <f t="shared" si="31"/>
        <v>-0.11484190342003364</v>
      </c>
    </row>
    <row r="523" spans="1:7" ht="15">
      <c r="A523" s="25">
        <f>Returns!A513</f>
        <v>45681</v>
      </c>
      <c r="B523" s="18">
        <f>B522*(1+Returns!G513)</f>
        <v>121.59389737044607</v>
      </c>
      <c r="C523" s="18">
        <f t="shared" si="28"/>
        <v>131.46049985699199</v>
      </c>
      <c r="D523" s="27">
        <f t="shared" si="29"/>
        <v>-7.5053742358192732E-2</v>
      </c>
      <c r="E523" s="18">
        <f>E522*(1+Returns!H513)</f>
        <v>126.89800059975758</v>
      </c>
      <c r="F523" s="18">
        <f t="shared" si="30"/>
        <v>144.06442609680636</v>
      </c>
      <c r="G523" s="27">
        <f t="shared" si="31"/>
        <v>-0.11915797648417059</v>
      </c>
    </row>
    <row r="524" spans="1:7" ht="15">
      <c r="A524" s="25">
        <f>Returns!A514</f>
        <v>45684</v>
      </c>
      <c r="B524" s="18">
        <f>B523*(1+Returns!G514)</f>
        <v>120.06426058336304</v>
      </c>
      <c r="C524" s="18">
        <f t="shared" si="28"/>
        <v>131.46049985699199</v>
      </c>
      <c r="D524" s="27">
        <f t="shared" si="29"/>
        <v>-8.6689456422470945E-2</v>
      </c>
      <c r="E524" s="18">
        <f>E523*(1+Returns!H514)</f>
        <v>125.45247477378653</v>
      </c>
      <c r="F524" s="18">
        <f t="shared" si="30"/>
        <v>144.06442609680636</v>
      </c>
      <c r="G524" s="27">
        <f t="shared" si="31"/>
        <v>-0.12919186108105019</v>
      </c>
    </row>
    <row r="525" spans="1:7" ht="15">
      <c r="A525" s="25">
        <f>Returns!A515</f>
        <v>45685</v>
      </c>
      <c r="B525" s="18">
        <f>B524*(1+Returns!G515)</f>
        <v>121.14303849221105</v>
      </c>
      <c r="C525" s="18">
        <f t="shared" si="28"/>
        <v>131.46049985699199</v>
      </c>
      <c r="D525" s="27">
        <f t="shared" si="29"/>
        <v>-7.8483357175765267E-2</v>
      </c>
      <c r="E525" s="18">
        <f>E524*(1+Returns!H515)</f>
        <v>126.15641744088853</v>
      </c>
      <c r="F525" s="18">
        <f t="shared" si="30"/>
        <v>144.06442609680636</v>
      </c>
      <c r="G525" s="27">
        <f t="shared" si="31"/>
        <v>-0.12430555648681973</v>
      </c>
    </row>
    <row r="526" spans="1:7" ht="15">
      <c r="A526" s="25">
        <f>Returns!A516</f>
        <v>45686</v>
      </c>
      <c r="B526" s="18">
        <f>B525*(1+Returns!G516)</f>
        <v>122.23260918375014</v>
      </c>
      <c r="C526" s="18">
        <f t="shared" si="28"/>
        <v>131.46049985699199</v>
      </c>
      <c r="D526" s="27">
        <f t="shared" si="29"/>
        <v>-7.0195158874949648E-2</v>
      </c>
      <c r="E526" s="18">
        <f>E525*(1+Returns!H516)</f>
        <v>127.2876177915558</v>
      </c>
      <c r="F526" s="18">
        <f t="shared" si="30"/>
        <v>144.06442609680636</v>
      </c>
      <c r="G526" s="27">
        <f t="shared" si="31"/>
        <v>-0.11645351152807926</v>
      </c>
    </row>
    <row r="527" spans="1:7" ht="15">
      <c r="A527" s="25">
        <f>Returns!A517</f>
        <v>45687</v>
      </c>
      <c r="B527" s="18">
        <f>B526*(1+Returns!G517)</f>
        <v>122.77714671190763</v>
      </c>
      <c r="C527" s="18">
        <f t="shared" si="28"/>
        <v>131.46049985699199</v>
      </c>
      <c r="D527" s="27">
        <f t="shared" si="29"/>
        <v>-6.6052944835372274E-2</v>
      </c>
      <c r="E527" s="18">
        <f>E526*(1+Returns!H517)</f>
        <v>127.76241175628343</v>
      </c>
      <c r="F527" s="18">
        <f t="shared" si="30"/>
        <v>144.06442609680636</v>
      </c>
      <c r="G527" s="27">
        <f t="shared" si="31"/>
        <v>-0.11315780572761613</v>
      </c>
    </row>
    <row r="528" spans="1:7" ht="15">
      <c r="A528" s="25">
        <f>Returns!A518</f>
        <v>45688</v>
      </c>
      <c r="B528" s="18">
        <f>B527*(1+Returns!G518)</f>
        <v>123.4333240908242</v>
      </c>
      <c r="C528" s="18">
        <f t="shared" ref="C528:C591" si="32">MAX(C527,B528)</f>
        <v>131.46049985699199</v>
      </c>
      <c r="D528" s="27">
        <f t="shared" ref="D528:D591" si="33">B528/C528-1</f>
        <v>-6.1061503454650445E-2</v>
      </c>
      <c r="E528" s="18">
        <f>E527*(1+Returns!H518)</f>
        <v>129.18514077458033</v>
      </c>
      <c r="F528" s="18">
        <f t="shared" ref="F528:F591" si="34">MAX(F527,E528)</f>
        <v>144.06442609680636</v>
      </c>
      <c r="G528" s="27">
        <f t="shared" ref="G528:G591" si="35">E528/F528-1</f>
        <v>-0.10328216149785407</v>
      </c>
    </row>
    <row r="529" spans="1:7" ht="15">
      <c r="A529" s="25">
        <f>Returns!A519</f>
        <v>45689</v>
      </c>
      <c r="B529" s="18">
        <f>B528*(1+Returns!G519)</f>
        <v>122.80424419473837</v>
      </c>
      <c r="C529" s="18">
        <f t="shared" si="32"/>
        <v>131.46049985699199</v>
      </c>
      <c r="D529" s="27">
        <f t="shared" si="33"/>
        <v>-6.5846818410627006E-2</v>
      </c>
      <c r="E529" s="18">
        <f>E528*(1+Returns!H519)</f>
        <v>129.04088978816762</v>
      </c>
      <c r="F529" s="18">
        <f t="shared" si="34"/>
        <v>144.06442609680636</v>
      </c>
      <c r="G529" s="27">
        <f t="shared" si="35"/>
        <v>-0.10428345647622572</v>
      </c>
    </row>
    <row r="530" spans="1:7" ht="15">
      <c r="A530" s="25">
        <f>Returns!A520</f>
        <v>45691</v>
      </c>
      <c r="B530" s="18">
        <f>B529*(1+Returns!G520)</f>
        <v>122.16949444411237</v>
      </c>
      <c r="C530" s="18">
        <f t="shared" si="32"/>
        <v>131.46049985699199</v>
      </c>
      <c r="D530" s="27">
        <f t="shared" si="33"/>
        <v>-7.0675263086529716E-2</v>
      </c>
      <c r="E530" s="18">
        <f>E529*(1+Returns!H520)</f>
        <v>128.37541405077567</v>
      </c>
      <c r="F530" s="18">
        <f t="shared" si="34"/>
        <v>144.06442609680636</v>
      </c>
      <c r="G530" s="27">
        <f t="shared" si="35"/>
        <v>-0.10890274907622377</v>
      </c>
    </row>
    <row r="531" spans="1:7" ht="15">
      <c r="A531" s="25">
        <f>Returns!A521</f>
        <v>45692</v>
      </c>
      <c r="B531" s="18">
        <f>B530*(1+Returns!G521)</f>
        <v>124.71580808361354</v>
      </c>
      <c r="C531" s="18">
        <f t="shared" si="32"/>
        <v>131.46049985699199</v>
      </c>
      <c r="D531" s="27">
        <f t="shared" si="33"/>
        <v>-5.1305843053355171E-2</v>
      </c>
      <c r="E531" s="18">
        <f>E530*(1+Returns!H521)</f>
        <v>130.45372301706925</v>
      </c>
      <c r="F531" s="18">
        <f t="shared" si="34"/>
        <v>144.06442609680636</v>
      </c>
      <c r="G531" s="27">
        <f t="shared" si="35"/>
        <v>-9.4476502273997731E-2</v>
      </c>
    </row>
    <row r="532" spans="1:7" ht="15">
      <c r="A532" s="25">
        <f>Returns!A522</f>
        <v>45693</v>
      </c>
      <c r="B532" s="18">
        <f>B531*(1+Returns!G522)</f>
        <v>124.73069509350246</v>
      </c>
      <c r="C532" s="18">
        <f t="shared" si="32"/>
        <v>131.46049985699199</v>
      </c>
      <c r="D532" s="27">
        <f t="shared" si="33"/>
        <v>-5.119259983653246E-2</v>
      </c>
      <c r="E532" s="18">
        <f>E531*(1+Returns!H522)</f>
        <v>130.2177052201038</v>
      </c>
      <c r="F532" s="18">
        <f t="shared" si="34"/>
        <v>144.06442609680636</v>
      </c>
      <c r="G532" s="27">
        <f t="shared" si="35"/>
        <v>-9.6114781781020953E-2</v>
      </c>
    </row>
    <row r="533" spans="1:7" ht="15">
      <c r="A533" s="25">
        <f>Returns!A523</f>
        <v>45694</v>
      </c>
      <c r="B533" s="18">
        <f>B532*(1+Returns!G523)</f>
        <v>125.12287417434973</v>
      </c>
      <c r="C533" s="18">
        <f t="shared" si="32"/>
        <v>131.46049985699199</v>
      </c>
      <c r="D533" s="27">
        <f t="shared" si="33"/>
        <v>-4.8209353300318947E-2</v>
      </c>
      <c r="E533" s="18">
        <f>E532*(1+Returns!H523)</f>
        <v>129.7069129065348</v>
      </c>
      <c r="F533" s="18">
        <f t="shared" si="34"/>
        <v>144.06442609680636</v>
      </c>
      <c r="G533" s="27">
        <f t="shared" si="35"/>
        <v>-9.9660364319390071E-2</v>
      </c>
    </row>
    <row r="534" spans="1:7" ht="15">
      <c r="A534" s="25">
        <f>Returns!A524</f>
        <v>45695</v>
      </c>
      <c r="B534" s="18">
        <f>B533*(1+Returns!G524)</f>
        <v>123.88809506297179</v>
      </c>
      <c r="C534" s="18">
        <f t="shared" si="32"/>
        <v>131.46049985699199</v>
      </c>
      <c r="D534" s="27">
        <f t="shared" si="33"/>
        <v>-5.760212993452607E-2</v>
      </c>
      <c r="E534" s="18">
        <f>E533*(1+Returns!H524)</f>
        <v>129.46841579574038</v>
      </c>
      <c r="F534" s="18">
        <f t="shared" si="34"/>
        <v>144.06442609680636</v>
      </c>
      <c r="G534" s="27">
        <f t="shared" si="35"/>
        <v>-0.10131585358385387</v>
      </c>
    </row>
    <row r="535" spans="1:7" ht="15">
      <c r="A535" s="25">
        <f>Returns!A525</f>
        <v>45698</v>
      </c>
      <c r="B535" s="18">
        <f>B534*(1+Returns!G525)</f>
        <v>123.16790386169689</v>
      </c>
      <c r="C535" s="18">
        <f t="shared" si="32"/>
        <v>131.46049985699199</v>
      </c>
      <c r="D535" s="27">
        <f t="shared" si="33"/>
        <v>-6.3080514712146374E-2</v>
      </c>
      <c r="E535" s="18">
        <f>E534*(1+Returns!H525)</f>
        <v>128.4883355260769</v>
      </c>
      <c r="F535" s="18">
        <f t="shared" si="34"/>
        <v>144.06442609680636</v>
      </c>
      <c r="G535" s="27">
        <f t="shared" si="35"/>
        <v>-0.10811892285096714</v>
      </c>
    </row>
    <row r="536" spans="1:7" ht="15">
      <c r="A536" s="25">
        <f>Returns!A526</f>
        <v>45699</v>
      </c>
      <c r="B536" s="18">
        <f>B535*(1+Returns!G526)</f>
        <v>121.81090145698873</v>
      </c>
      <c r="C536" s="18">
        <f t="shared" si="32"/>
        <v>131.46049985699199</v>
      </c>
      <c r="D536" s="27">
        <f t="shared" si="33"/>
        <v>-7.3403025323199533E-2</v>
      </c>
      <c r="E536" s="18">
        <f>E535*(1+Returns!H526)</f>
        <v>126.78590556239939</v>
      </c>
      <c r="F536" s="18">
        <f t="shared" si="34"/>
        <v>144.06442609680636</v>
      </c>
      <c r="G536" s="27">
        <f t="shared" si="35"/>
        <v>-0.11993606612361329</v>
      </c>
    </row>
    <row r="537" spans="1:7" ht="15">
      <c r="A537" s="25">
        <f>Returns!A527</f>
        <v>45700</v>
      </c>
      <c r="B537" s="18">
        <f>B536*(1+Returns!G527)</f>
        <v>121.23826657665613</v>
      </c>
      <c r="C537" s="18">
        <f t="shared" si="32"/>
        <v>131.46049985699199</v>
      </c>
      <c r="D537" s="27">
        <f t="shared" si="33"/>
        <v>-7.7758971641337271E-2</v>
      </c>
      <c r="E537" s="18">
        <f>E536*(1+Returns!H527)</f>
        <v>126.6400017001007</v>
      </c>
      <c r="F537" s="18">
        <f t="shared" si="34"/>
        <v>144.06442609680636</v>
      </c>
      <c r="G537" s="27">
        <f t="shared" si="35"/>
        <v>-0.12094883427361203</v>
      </c>
    </row>
    <row r="538" spans="1:7" ht="15">
      <c r="A538" s="25">
        <f>Returns!A528</f>
        <v>45701</v>
      </c>
      <c r="B538" s="18">
        <f>B537*(1+Returns!G528)</f>
        <v>120.58354479382642</v>
      </c>
      <c r="C538" s="18">
        <f t="shared" si="32"/>
        <v>131.46049985699199</v>
      </c>
      <c r="D538" s="27">
        <f t="shared" si="33"/>
        <v>-8.2739340524324412E-2</v>
      </c>
      <c r="E538" s="18">
        <f>E537*(1+Returns!H528)</f>
        <v>126.56389427862356</v>
      </c>
      <c r="F538" s="18">
        <f t="shared" si="34"/>
        <v>144.06442609680636</v>
      </c>
      <c r="G538" s="27">
        <f t="shared" si="35"/>
        <v>-0.12147712167626334</v>
      </c>
    </row>
    <row r="539" spans="1:7" ht="15">
      <c r="A539" s="25">
        <f>Returns!A529</f>
        <v>45702</v>
      </c>
      <c r="B539" s="18">
        <f>B538*(1+Returns!G529)</f>
        <v>121.00503403554802</v>
      </c>
      <c r="C539" s="18">
        <f t="shared" si="32"/>
        <v>131.46049985699199</v>
      </c>
      <c r="D539" s="27">
        <f t="shared" si="33"/>
        <v>-7.9533136058495435E-2</v>
      </c>
      <c r="E539" s="18">
        <f>E538*(1+Returns!H529)</f>
        <v>126.00254972204831</v>
      </c>
      <c r="F539" s="18">
        <f t="shared" si="34"/>
        <v>144.06442609680636</v>
      </c>
      <c r="G539" s="27">
        <f t="shared" si="35"/>
        <v>-0.12537360446374934</v>
      </c>
    </row>
    <row r="540" spans="1:7" ht="15">
      <c r="A540" s="25">
        <f>Returns!A530</f>
        <v>45705</v>
      </c>
      <c r="B540" s="18">
        <f>B539*(1+Returns!G530)</f>
        <v>121.14331544447553</v>
      </c>
      <c r="C540" s="18">
        <f t="shared" si="32"/>
        <v>131.46049985699199</v>
      </c>
      <c r="D540" s="27">
        <f t="shared" si="33"/>
        <v>-7.8481250442071215E-2</v>
      </c>
      <c r="E540" s="18">
        <f>E539*(1+Returns!H530)</f>
        <v>126.16878181115248</v>
      </c>
      <c r="F540" s="18">
        <f t="shared" si="34"/>
        <v>144.06442609680636</v>
      </c>
      <c r="G540" s="27">
        <f t="shared" si="35"/>
        <v>-0.12421973120295926</v>
      </c>
    </row>
    <row r="541" spans="1:7" ht="15">
      <c r="A541" s="25">
        <f>Returns!A531</f>
        <v>45706</v>
      </c>
      <c r="B541" s="18">
        <f>B540*(1+Returns!G531)</f>
        <v>121.03950925461702</v>
      </c>
      <c r="C541" s="18">
        <f t="shared" si="32"/>
        <v>131.46049985699199</v>
      </c>
      <c r="D541" s="27">
        <f t="shared" si="33"/>
        <v>-7.9270888317869992E-2</v>
      </c>
      <c r="E541" s="18">
        <f>E540*(1+Returns!H531)</f>
        <v>126.09075318978192</v>
      </c>
      <c r="F541" s="18">
        <f t="shared" si="34"/>
        <v>144.06442609680636</v>
      </c>
      <c r="G541" s="27">
        <f t="shared" si="35"/>
        <v>-0.12476135430509916</v>
      </c>
    </row>
    <row r="542" spans="1:7" ht="15">
      <c r="A542" s="25">
        <f>Returns!A532</f>
        <v>45707</v>
      </c>
      <c r="B542" s="18">
        <f>B541*(1+Returns!G532)</f>
        <v>120.474376889217</v>
      </c>
      <c r="C542" s="18">
        <f t="shared" si="32"/>
        <v>131.46049985699199</v>
      </c>
      <c r="D542" s="27">
        <f t="shared" si="33"/>
        <v>-8.3569764147604308E-2</v>
      </c>
      <c r="E542" s="18">
        <f>E541*(1+Returns!H532)</f>
        <v>126.02260962484633</v>
      </c>
      <c r="F542" s="18">
        <f t="shared" si="34"/>
        <v>144.06442609680636</v>
      </c>
      <c r="G542" s="27">
        <f t="shared" si="35"/>
        <v>-0.1252343618808196</v>
      </c>
    </row>
    <row r="543" spans="1:7" ht="15">
      <c r="A543" s="25">
        <f>Returns!A533</f>
        <v>45708</v>
      </c>
      <c r="B543" s="18">
        <f>B542*(1+Returns!G533)</f>
        <v>119.85700007244006</v>
      </c>
      <c r="C543" s="18">
        <f t="shared" si="32"/>
        <v>131.46049985699199</v>
      </c>
      <c r="D543" s="27">
        <f t="shared" si="33"/>
        <v>-8.8266055561744272E-2</v>
      </c>
      <c r="E543" s="18">
        <f>E542*(1+Returns!H533)</f>
        <v>125.91407793030724</v>
      </c>
      <c r="F543" s="18">
        <f t="shared" si="34"/>
        <v>144.06442609680636</v>
      </c>
      <c r="G543" s="27">
        <f t="shared" si="35"/>
        <v>-0.12598771715026091</v>
      </c>
    </row>
    <row r="544" spans="1:7" ht="15">
      <c r="A544" s="25">
        <f>Returns!A534</f>
        <v>45709</v>
      </c>
      <c r="B544" s="18">
        <f>B543*(1+Returns!G534)</f>
        <v>119.53240474076843</v>
      </c>
      <c r="C544" s="18">
        <f t="shared" si="32"/>
        <v>131.46049985699199</v>
      </c>
      <c r="D544" s="27">
        <f t="shared" si="33"/>
        <v>-9.0735202811486504E-2</v>
      </c>
      <c r="E544" s="18">
        <f>E543*(1+Returns!H534)</f>
        <v>125.26975685766378</v>
      </c>
      <c r="F544" s="18">
        <f t="shared" si="34"/>
        <v>144.06442609680636</v>
      </c>
      <c r="G544" s="27">
        <f t="shared" si="35"/>
        <v>-0.13046016805365401</v>
      </c>
    </row>
    <row r="545" spans="1:7" ht="15">
      <c r="A545" s="25">
        <f>Returns!A535</f>
        <v>45712</v>
      </c>
      <c r="B545" s="18">
        <f>B544*(1+Returns!G535)</f>
        <v>117.51733406173781</v>
      </c>
      <c r="C545" s="18">
        <f t="shared" si="32"/>
        <v>131.46049985699199</v>
      </c>
      <c r="D545" s="27">
        <f t="shared" si="33"/>
        <v>-0.10606353855661665</v>
      </c>
      <c r="E545" s="18">
        <f>E544*(1+Returns!H535)</f>
        <v>123.93687345002616</v>
      </c>
      <c r="F545" s="18">
        <f t="shared" si="34"/>
        <v>144.06442609680636</v>
      </c>
      <c r="G545" s="27">
        <f t="shared" si="35"/>
        <v>-0.1397121634542533</v>
      </c>
    </row>
    <row r="546" spans="1:7" ht="15">
      <c r="A546" s="25">
        <f>Returns!A536</f>
        <v>45713</v>
      </c>
      <c r="B546" s="18">
        <f>B545*(1+Returns!G536)</f>
        <v>117.17952843212656</v>
      </c>
      <c r="C546" s="18">
        <f t="shared" si="32"/>
        <v>131.46049985699199</v>
      </c>
      <c r="D546" s="27">
        <f t="shared" si="33"/>
        <v>-0.10863317453075894</v>
      </c>
      <c r="E546" s="18">
        <f>E545*(1+Returns!H536)</f>
        <v>123.90500729089972</v>
      </c>
      <c r="F546" s="18">
        <f t="shared" si="34"/>
        <v>144.06442609680636</v>
      </c>
      <c r="G546" s="27">
        <f t="shared" si="35"/>
        <v>-0.13993335726309142</v>
      </c>
    </row>
    <row r="547" spans="1:7" ht="15">
      <c r="A547" s="25">
        <f>Returns!A537</f>
        <v>45715</v>
      </c>
      <c r="B547" s="18">
        <f>B546*(1+Returns!G537)</f>
        <v>117.40649590392458</v>
      </c>
      <c r="C547" s="18">
        <f t="shared" si="32"/>
        <v>131.46049985699199</v>
      </c>
      <c r="D547" s="27">
        <f t="shared" si="33"/>
        <v>-0.10690666754162592</v>
      </c>
      <c r="E547" s="18">
        <f>E546*(1+Returns!H537)</f>
        <v>123.89126910171755</v>
      </c>
      <c r="F547" s="18">
        <f t="shared" si="34"/>
        <v>144.06442609680636</v>
      </c>
      <c r="G547" s="27">
        <f t="shared" si="35"/>
        <v>-0.14002871868960298</v>
      </c>
    </row>
    <row r="548" spans="1:7" ht="15">
      <c r="A548" s="25">
        <f>Returns!A538</f>
        <v>45716</v>
      </c>
      <c r="B548" s="18">
        <f>B547*(1+Returns!G538)</f>
        <v>115.91397864571377</v>
      </c>
      <c r="C548" s="18">
        <f t="shared" si="32"/>
        <v>131.46049985699199</v>
      </c>
      <c r="D548" s="27">
        <f t="shared" si="33"/>
        <v>-0.11826001900335348</v>
      </c>
      <c r="E548" s="18">
        <f>E547*(1+Returns!H538)</f>
        <v>121.58132138626036</v>
      </c>
      <c r="F548" s="18">
        <f t="shared" si="34"/>
        <v>144.06442609680636</v>
      </c>
      <c r="G548" s="27">
        <f t="shared" si="35"/>
        <v>-0.15606284854415153</v>
      </c>
    </row>
    <row r="549" spans="1:7" ht="15">
      <c r="A549" s="25">
        <f>Returns!A539</f>
        <v>45719</v>
      </c>
      <c r="B549" s="18">
        <f>B548*(1+Returns!G539)</f>
        <v>115.01217183111852</v>
      </c>
      <c r="C549" s="18">
        <f t="shared" si="32"/>
        <v>131.46049985699199</v>
      </c>
      <c r="D549" s="27">
        <f t="shared" si="33"/>
        <v>-0.12511992609009259</v>
      </c>
      <c r="E549" s="18">
        <f>E548*(1+Returns!H539)</f>
        <v>121.55165548399512</v>
      </c>
      <c r="F549" s="18">
        <f t="shared" si="34"/>
        <v>144.06442609680636</v>
      </c>
      <c r="G549" s="27">
        <f t="shared" si="35"/>
        <v>-0.15626876962452496</v>
      </c>
    </row>
    <row r="550" spans="1:7" ht="15">
      <c r="A550" s="25">
        <f>Returns!A540</f>
        <v>45720</v>
      </c>
      <c r="B550" s="18">
        <f>B549*(1+Returns!G540)</f>
        <v>115.03735227978513</v>
      </c>
      <c r="C550" s="18">
        <f t="shared" si="32"/>
        <v>131.46049985699199</v>
      </c>
      <c r="D550" s="27">
        <f t="shared" si="33"/>
        <v>-0.12492838225225544</v>
      </c>
      <c r="E550" s="18">
        <f>E549*(1+Returns!H540)</f>
        <v>121.35025148399255</v>
      </c>
      <c r="F550" s="18">
        <f t="shared" si="34"/>
        <v>144.06442609680636</v>
      </c>
      <c r="G550" s="27">
        <f t="shared" si="35"/>
        <v>-0.15766678303740755</v>
      </c>
    </row>
    <row r="551" spans="1:7" ht="15">
      <c r="A551" s="25">
        <f>Returns!A541</f>
        <v>45721</v>
      </c>
      <c r="B551" s="18">
        <f>B550*(1+Returns!G541)</f>
        <v>115.45046919728119</v>
      </c>
      <c r="C551" s="18">
        <f t="shared" si="32"/>
        <v>131.46049985699199</v>
      </c>
      <c r="D551" s="27">
        <f t="shared" si="33"/>
        <v>-0.12178586478164277</v>
      </c>
      <c r="E551" s="18">
        <f>E550*(1+Returns!H541)</f>
        <v>122.74962558067978</v>
      </c>
      <c r="F551" s="18">
        <f t="shared" si="34"/>
        <v>144.06442609680636</v>
      </c>
      <c r="G551" s="27">
        <f t="shared" si="35"/>
        <v>-0.14795325323271524</v>
      </c>
    </row>
    <row r="552" spans="1:7" ht="15">
      <c r="A552" s="25">
        <f>Returns!A542</f>
        <v>45722</v>
      </c>
      <c r="B552" s="18">
        <f>B551*(1+Returns!G542)</f>
        <v>116.73830260942403</v>
      </c>
      <c r="C552" s="18">
        <f t="shared" si="32"/>
        <v>131.46049985699199</v>
      </c>
      <c r="D552" s="27">
        <f t="shared" si="33"/>
        <v>-0.11198951216208186</v>
      </c>
      <c r="E552" s="18">
        <f>E551*(1+Returns!H542)</f>
        <v>123.8893371688638</v>
      </c>
      <c r="F552" s="18">
        <f t="shared" si="34"/>
        <v>144.06442609680636</v>
      </c>
      <c r="G552" s="27">
        <f t="shared" si="35"/>
        <v>-0.14004212889020629</v>
      </c>
    </row>
    <row r="553" spans="1:7" ht="15">
      <c r="A553" s="25">
        <f>Returns!A543</f>
        <v>45723</v>
      </c>
      <c r="B553" s="18">
        <f>B552*(1+Returns!G543)</f>
        <v>117.38186939981944</v>
      </c>
      <c r="C553" s="18">
        <f t="shared" si="32"/>
        <v>131.46049985699199</v>
      </c>
      <c r="D553" s="27">
        <f t="shared" si="33"/>
        <v>-0.107093997607554</v>
      </c>
      <c r="E553" s="18">
        <f>E552*(1+Returns!H543)</f>
        <v>123.93220461229627</v>
      </c>
      <c r="F553" s="18">
        <f t="shared" si="34"/>
        <v>144.06442609680636</v>
      </c>
      <c r="G553" s="27">
        <f t="shared" si="35"/>
        <v>-0.1397445714390444</v>
      </c>
    </row>
    <row r="554" spans="1:7" ht="15">
      <c r="A554" s="25">
        <f>Returns!A544</f>
        <v>45726</v>
      </c>
      <c r="B554" s="18">
        <f>B553*(1+Returns!G544)</f>
        <v>117.10939485910016</v>
      </c>
      <c r="C554" s="18">
        <f t="shared" si="32"/>
        <v>131.46049985699199</v>
      </c>
      <c r="D554" s="27">
        <f t="shared" si="33"/>
        <v>-0.10916666993890589</v>
      </c>
      <c r="E554" s="18">
        <f>E553*(1+Returns!H544)</f>
        <v>123.4255444884422</v>
      </c>
      <c r="F554" s="18">
        <f t="shared" si="34"/>
        <v>144.06442609680636</v>
      </c>
      <c r="G554" s="27">
        <f t="shared" si="35"/>
        <v>-0.14326147104834563</v>
      </c>
    </row>
    <row r="555" spans="1:7" ht="15">
      <c r="A555" s="25">
        <f>Returns!A545</f>
        <v>45727</v>
      </c>
      <c r="B555" s="18">
        <f>B554*(1+Returns!G545)</f>
        <v>117.22179133902281</v>
      </c>
      <c r="C555" s="18">
        <f t="shared" si="32"/>
        <v>131.46049985699199</v>
      </c>
      <c r="D555" s="27">
        <f t="shared" si="33"/>
        <v>-0.10831168703495431</v>
      </c>
      <c r="E555" s="18">
        <f>E554*(1+Returns!H545)</f>
        <v>123.63216470714987</v>
      </c>
      <c r="F555" s="18">
        <f t="shared" si="34"/>
        <v>144.06442609680636</v>
      </c>
      <c r="G555" s="27">
        <f t="shared" si="35"/>
        <v>-0.14182725009383446</v>
      </c>
    </row>
    <row r="556" spans="1:7" ht="15">
      <c r="A556" s="25">
        <f>Returns!A546</f>
        <v>45728</v>
      </c>
      <c r="B556" s="18">
        <f>B555*(1+Returns!G546)</f>
        <v>116.6745736084541</v>
      </c>
      <c r="C556" s="18">
        <f t="shared" si="32"/>
        <v>131.46049985699199</v>
      </c>
      <c r="D556" s="27">
        <f t="shared" si="33"/>
        <v>-0.11247428896605915</v>
      </c>
      <c r="E556" s="18">
        <f>E555*(1+Returns!H546)</f>
        <v>123.48159200712129</v>
      </c>
      <c r="F556" s="18">
        <f t="shared" si="34"/>
        <v>144.06442609680636</v>
      </c>
      <c r="G556" s="27">
        <f t="shared" si="35"/>
        <v>-0.14287242622862428</v>
      </c>
    </row>
    <row r="557" spans="1:7" ht="15">
      <c r="A557" s="25">
        <f>Returns!A547</f>
        <v>45729</v>
      </c>
      <c r="B557" s="18">
        <f>B556*(1+Returns!G547)</f>
        <v>116.38177905859364</v>
      </c>
      <c r="C557" s="18">
        <f t="shared" si="32"/>
        <v>131.46049985699199</v>
      </c>
      <c r="D557" s="27">
        <f t="shared" si="33"/>
        <v>-0.11470153251205939</v>
      </c>
      <c r="E557" s="18">
        <f>E556*(1+Returns!H547)</f>
        <v>123.07878400711616</v>
      </c>
      <c r="F557" s="18">
        <f t="shared" si="34"/>
        <v>144.06442609680636</v>
      </c>
      <c r="G557" s="27">
        <f t="shared" si="35"/>
        <v>-0.14566845305438947</v>
      </c>
    </row>
    <row r="558" spans="1:7" ht="15">
      <c r="A558" s="25">
        <f>Returns!A548</f>
        <v>45733</v>
      </c>
      <c r="B558" s="18">
        <f>B557*(1+Returns!G548)</f>
        <v>116.52441125707651</v>
      </c>
      <c r="C558" s="18">
        <f t="shared" si="32"/>
        <v>131.46049985699199</v>
      </c>
      <c r="D558" s="27">
        <f t="shared" si="33"/>
        <v>-0.11361655110214519</v>
      </c>
      <c r="E558" s="18">
        <f>E557*(1+Returns!H548)</f>
        <v>123.6917863016084</v>
      </c>
      <c r="F558" s="18">
        <f t="shared" si="34"/>
        <v>144.06442609680636</v>
      </c>
      <c r="G558" s="27">
        <f t="shared" si="35"/>
        <v>-0.1414133964029971</v>
      </c>
    </row>
    <row r="559" spans="1:7" ht="15">
      <c r="A559" s="25">
        <f>Returns!A549</f>
        <v>45734</v>
      </c>
      <c r="B559" s="18">
        <f>B558*(1+Returns!G549)</f>
        <v>116.52441125707651</v>
      </c>
      <c r="C559" s="18">
        <f t="shared" si="32"/>
        <v>131.46049985699199</v>
      </c>
      <c r="D559" s="27">
        <f t="shared" si="33"/>
        <v>-0.11361655110214519</v>
      </c>
      <c r="E559" s="18">
        <f>E558*(1+Returns!H549)</f>
        <v>125.48077759009385</v>
      </c>
      <c r="F559" s="18">
        <f t="shared" si="34"/>
        <v>144.06442609680636</v>
      </c>
      <c r="G559" s="27">
        <f t="shared" si="35"/>
        <v>-0.12899540164221346</v>
      </c>
    </row>
    <row r="560" spans="1:7" ht="15">
      <c r="A560" s="25">
        <f>Returns!A550</f>
        <v>45735</v>
      </c>
      <c r="B560" s="18">
        <f>B559*(1+Returns!G550)</f>
        <v>117.85849215193394</v>
      </c>
      <c r="C560" s="18">
        <f t="shared" si="32"/>
        <v>131.46049985699199</v>
      </c>
      <c r="D560" s="27">
        <f t="shared" si="33"/>
        <v>-0.10346840092540999</v>
      </c>
      <c r="E560" s="18">
        <f>E559*(1+Returns!H550)</f>
        <v>125.8835748571387</v>
      </c>
      <c r="F560" s="18">
        <f t="shared" si="34"/>
        <v>144.06442609680636</v>
      </c>
      <c r="G560" s="27">
        <f t="shared" si="35"/>
        <v>-0.12619944931756266</v>
      </c>
    </row>
    <row r="561" spans="1:7" ht="15">
      <c r="A561" s="25">
        <f>Returns!A551</f>
        <v>45736</v>
      </c>
      <c r="B561" s="18">
        <f>B560*(1+Returns!G551)</f>
        <v>119.67881212136483</v>
      </c>
      <c r="C561" s="18">
        <f t="shared" si="32"/>
        <v>131.46049985699199</v>
      </c>
      <c r="D561" s="27">
        <f t="shared" si="33"/>
        <v>-8.9621504166222943E-2</v>
      </c>
      <c r="E561" s="18">
        <f>E560*(1+Returns!H551)</f>
        <v>127.43901692952737</v>
      </c>
      <c r="F561" s="18">
        <f t="shared" si="34"/>
        <v>144.06442609680636</v>
      </c>
      <c r="G561" s="27">
        <f t="shared" si="35"/>
        <v>-0.11540259880747583</v>
      </c>
    </row>
    <row r="562" spans="1:7" ht="15">
      <c r="A562" s="25">
        <f>Returns!A552</f>
        <v>45737</v>
      </c>
      <c r="B562" s="18">
        <f>B561*(1+Returns!G552)</f>
        <v>120.01114021744591</v>
      </c>
      <c r="C562" s="18">
        <f t="shared" si="32"/>
        <v>131.46049985699199</v>
      </c>
      <c r="D562" s="27">
        <f t="shared" si="33"/>
        <v>-8.7093534955375529E-2</v>
      </c>
      <c r="E562" s="18">
        <f>E561*(1+Returns!H552)</f>
        <v>128.3168872182676</v>
      </c>
      <c r="F562" s="18">
        <f t="shared" si="34"/>
        <v>144.06442609680636</v>
      </c>
      <c r="G562" s="27">
        <f t="shared" si="35"/>
        <v>-0.10930900365338603</v>
      </c>
    </row>
    <row r="563" spans="1:7" ht="15">
      <c r="A563" s="25">
        <f>Returns!A553</f>
        <v>45740</v>
      </c>
      <c r="B563" s="18">
        <f>B562*(1+Returns!G553)</f>
        <v>121.66400930813755</v>
      </c>
      <c r="C563" s="18">
        <f t="shared" si="32"/>
        <v>131.46049985699199</v>
      </c>
      <c r="D563" s="27">
        <f t="shared" si="33"/>
        <v>-7.452041152674338E-2</v>
      </c>
      <c r="E563" s="18">
        <f>E562*(1+Returns!H553)</f>
        <v>130.00915306854239</v>
      </c>
      <c r="F563" s="18">
        <f t="shared" si="34"/>
        <v>144.06442609680636</v>
      </c>
      <c r="G563" s="27">
        <f t="shared" si="35"/>
        <v>-9.7562412936135323E-2</v>
      </c>
    </row>
    <row r="564" spans="1:7" ht="15">
      <c r="A564" s="25">
        <f>Returns!A554</f>
        <v>45741</v>
      </c>
      <c r="B564" s="18">
        <f>B563*(1+Returns!G554)</f>
        <v>122.04552315593894</v>
      </c>
      <c r="C564" s="18">
        <f t="shared" si="32"/>
        <v>131.46049985699199</v>
      </c>
      <c r="D564" s="27">
        <f t="shared" si="33"/>
        <v>-7.1618293793915599E-2</v>
      </c>
      <c r="E564" s="18">
        <f>E563*(1+Returns!H554)</f>
        <v>130.06575870115702</v>
      </c>
      <c r="F564" s="18">
        <f t="shared" si="34"/>
        <v>144.06442609680636</v>
      </c>
      <c r="G564" s="27">
        <f t="shared" si="35"/>
        <v>-9.7169494058461758E-2</v>
      </c>
    </row>
    <row r="565" spans="1:7" ht="15">
      <c r="A565" s="25">
        <f>Returns!A555</f>
        <v>45742</v>
      </c>
      <c r="B565" s="18">
        <f>B564*(1+Returns!G555)</f>
        <v>120.92284649744394</v>
      </c>
      <c r="C565" s="18">
        <f t="shared" si="32"/>
        <v>131.46049985699199</v>
      </c>
      <c r="D565" s="27">
        <f t="shared" si="33"/>
        <v>-8.0158324143079662E-2</v>
      </c>
      <c r="E565" s="18">
        <f>E564*(1+Returns!H555)</f>
        <v>129.06671329064599</v>
      </c>
      <c r="F565" s="18">
        <f t="shared" si="34"/>
        <v>144.06442609680636</v>
      </c>
      <c r="G565" s="27">
        <f t="shared" si="35"/>
        <v>-0.10410420679482957</v>
      </c>
    </row>
    <row r="566" spans="1:7" ht="15">
      <c r="A566" s="25">
        <f>Returns!A556</f>
        <v>45743</v>
      </c>
      <c r="B566" s="18">
        <f>B565*(1+Returns!G556)</f>
        <v>121.51885680201404</v>
      </c>
      <c r="C566" s="18">
        <f t="shared" si="32"/>
        <v>131.46049985699199</v>
      </c>
      <c r="D566" s="27">
        <f t="shared" si="33"/>
        <v>-7.5624564533018357E-2</v>
      </c>
      <c r="E566" s="18">
        <f>E565*(1+Returns!H556)</f>
        <v>129.64426461727209</v>
      </c>
      <c r="F566" s="18">
        <f t="shared" si="34"/>
        <v>144.06442609680636</v>
      </c>
      <c r="G566" s="27">
        <f t="shared" si="35"/>
        <v>-0.1000952273245056</v>
      </c>
    </row>
    <row r="567" spans="1:7" ht="15">
      <c r="A567" s="25">
        <f>Returns!A557</f>
        <v>45744</v>
      </c>
      <c r="B567" s="18">
        <f>B566*(1+Returns!G557)</f>
        <v>120.97830766850677</v>
      </c>
      <c r="C567" s="18">
        <f t="shared" si="32"/>
        <v>131.46049985699199</v>
      </c>
      <c r="D567" s="27">
        <f t="shared" si="33"/>
        <v>-7.9736439461953745E-2</v>
      </c>
      <c r="E567" s="18">
        <f>E566*(1+Returns!H557)</f>
        <v>129.24530975001412</v>
      </c>
      <c r="F567" s="18">
        <f t="shared" si="34"/>
        <v>144.06442609680636</v>
      </c>
      <c r="G567" s="27">
        <f t="shared" si="35"/>
        <v>-0.10286450825017901</v>
      </c>
    </row>
    <row r="568" spans="1:7" ht="15">
      <c r="A568" s="25">
        <f>Returns!A558</f>
        <v>45748</v>
      </c>
      <c r="B568" s="18">
        <f>B567*(1+Returns!G558)</f>
        <v>118.16235767354983</v>
      </c>
      <c r="C568" s="18">
        <f t="shared" si="32"/>
        <v>131.46049985699199</v>
      </c>
      <c r="D568" s="27">
        <f t="shared" si="33"/>
        <v>-0.10115694218345739</v>
      </c>
      <c r="E568" s="18">
        <f>E567*(1+Returns!H558)</f>
        <v>127.30190336171322</v>
      </c>
      <c r="F568" s="18">
        <f t="shared" si="34"/>
        <v>144.06442609680636</v>
      </c>
      <c r="G568" s="27">
        <f t="shared" si="35"/>
        <v>-0.11635435054472987</v>
      </c>
    </row>
    <row r="569" spans="1:7" ht="15">
      <c r="A569" s="25">
        <f>Returns!A559</f>
        <v>45749</v>
      </c>
      <c r="B569" s="18">
        <f>B568*(1+Returns!G559)</f>
        <v>119.01467459944456</v>
      </c>
      <c r="C569" s="18">
        <f t="shared" si="32"/>
        <v>131.46049985699199</v>
      </c>
      <c r="D569" s="27">
        <f t="shared" si="33"/>
        <v>-9.4673497142384933E-2</v>
      </c>
      <c r="E569" s="18">
        <f>E568*(1+Returns!H559)</f>
        <v>128.21769319918829</v>
      </c>
      <c r="F569" s="18">
        <f t="shared" si="34"/>
        <v>144.06442609680636</v>
      </c>
      <c r="G569" s="27">
        <f t="shared" si="35"/>
        <v>-0.10999754295324515</v>
      </c>
    </row>
    <row r="570" spans="1:7" ht="15">
      <c r="A570" s="25">
        <f>Returns!A560</f>
        <v>45750</v>
      </c>
      <c r="B570" s="18">
        <f>B569*(1+Returns!G560)</f>
        <v>117.33612422319254</v>
      </c>
      <c r="C570" s="18">
        <f t="shared" si="32"/>
        <v>131.46049985699199</v>
      </c>
      <c r="D570" s="27">
        <f t="shared" si="33"/>
        <v>-0.10744197419882406</v>
      </c>
      <c r="E570" s="18">
        <f>E569*(1+Returns!H560)</f>
        <v>127.76570677509511</v>
      </c>
      <c r="F570" s="18">
        <f t="shared" si="34"/>
        <v>144.06442609680636</v>
      </c>
      <c r="G570" s="27">
        <f t="shared" si="35"/>
        <v>-0.11313493388547613</v>
      </c>
    </row>
    <row r="571" spans="1:7" ht="15">
      <c r="A571" s="25">
        <f>Returns!A561</f>
        <v>45751</v>
      </c>
      <c r="B571" s="18">
        <f>B570*(1+Returns!G561)</f>
        <v>115.50261141429883</v>
      </c>
      <c r="C571" s="18">
        <f t="shared" si="32"/>
        <v>131.46049985699199</v>
      </c>
      <c r="D571" s="27">
        <f t="shared" si="33"/>
        <v>-0.12138922687843723</v>
      </c>
      <c r="E571" s="18">
        <f>E570*(1+Returns!H561)</f>
        <v>125.86626259217714</v>
      </c>
      <c r="F571" s="18">
        <f t="shared" si="34"/>
        <v>144.06442609680636</v>
      </c>
      <c r="G571" s="27">
        <f t="shared" si="35"/>
        <v>-0.12631961961518989</v>
      </c>
    </row>
    <row r="572" spans="1:7" ht="15">
      <c r="A572" s="25">
        <f>Returns!A562</f>
        <v>45754</v>
      </c>
      <c r="B572" s="18">
        <f>B571*(1+Returns!G562)</f>
        <v>112.16853990996684</v>
      </c>
      <c r="C572" s="18">
        <f t="shared" si="32"/>
        <v>131.46049985699199</v>
      </c>
      <c r="D572" s="27">
        <f t="shared" si="33"/>
        <v>-0.14675100100799643</v>
      </c>
      <c r="E572" s="18">
        <f>E571*(1+Returns!H562)</f>
        <v>121.78409920518115</v>
      </c>
      <c r="F572" s="18">
        <f t="shared" si="34"/>
        <v>144.06442609680636</v>
      </c>
      <c r="G572" s="27">
        <f t="shared" si="35"/>
        <v>-0.15465529898861774</v>
      </c>
    </row>
    <row r="573" spans="1:7" ht="15">
      <c r="A573" s="25">
        <f>Returns!A563</f>
        <v>45755</v>
      </c>
      <c r="B573" s="18">
        <f>B572*(1+Returns!G563)</f>
        <v>113.4251007716034</v>
      </c>
      <c r="C573" s="18">
        <f t="shared" si="32"/>
        <v>131.46049985699199</v>
      </c>
      <c r="D573" s="27">
        <f t="shared" si="33"/>
        <v>-0.13719253391709463</v>
      </c>
      <c r="E573" s="18">
        <f>E572*(1+Returns!H563)</f>
        <v>123.84070612575101</v>
      </c>
      <c r="F573" s="18">
        <f t="shared" si="34"/>
        <v>144.06442609680636</v>
      </c>
      <c r="G573" s="27">
        <f t="shared" si="35"/>
        <v>-0.14037969343983436</v>
      </c>
    </row>
    <row r="574" spans="1:7" ht="15">
      <c r="A574" s="25">
        <f>Returns!A564</f>
        <v>45756</v>
      </c>
      <c r="B574" s="18">
        <f>B573*(1+Returns!G564)</f>
        <v>112.82773232429379</v>
      </c>
      <c r="C574" s="18">
        <f t="shared" si="32"/>
        <v>131.46049985699199</v>
      </c>
      <c r="D574" s="27">
        <f t="shared" si="33"/>
        <v>-0.14173662471212012</v>
      </c>
      <c r="E574" s="18">
        <f>E573*(1+Returns!H564)</f>
        <v>123.08950623445443</v>
      </c>
      <c r="F574" s="18">
        <f t="shared" si="34"/>
        <v>144.06442609680636</v>
      </c>
      <c r="G574" s="27">
        <f t="shared" si="35"/>
        <v>-0.14559402644104169</v>
      </c>
    </row>
    <row r="575" spans="1:7" ht="15">
      <c r="A575" s="25">
        <f>Returns!A565</f>
        <v>45758</v>
      </c>
      <c r="B575" s="18">
        <f>B574*(1+Returns!G565)</f>
        <v>114.40004100940806</v>
      </c>
      <c r="C575" s="18">
        <f t="shared" si="32"/>
        <v>131.46049985699199</v>
      </c>
      <c r="D575" s="27">
        <f t="shared" si="33"/>
        <v>-0.12977631201876594</v>
      </c>
      <c r="E575" s="18">
        <f>E574*(1+Returns!H565)</f>
        <v>125.44917975497488</v>
      </c>
      <c r="F575" s="18">
        <f t="shared" si="34"/>
        <v>144.06442609680636</v>
      </c>
      <c r="G575" s="27">
        <f t="shared" si="35"/>
        <v>-0.12921473292318997</v>
      </c>
    </row>
    <row r="576" spans="1:7" ht="15">
      <c r="A576" s="25">
        <f>Returns!A566</f>
        <v>45762</v>
      </c>
      <c r="B576" s="18">
        <f>B575*(1+Returns!G566)</f>
        <v>116.640848103588</v>
      </c>
      <c r="C576" s="18">
        <f t="shared" si="32"/>
        <v>131.46049985699199</v>
      </c>
      <c r="D576" s="27">
        <f t="shared" si="33"/>
        <v>-0.1127308337449302</v>
      </c>
      <c r="E576" s="18">
        <f>E575*(1+Returns!H566)</f>
        <v>128.19681759140755</v>
      </c>
      <c r="F576" s="18">
        <f t="shared" si="34"/>
        <v>144.06442609680636</v>
      </c>
      <c r="G576" s="27">
        <f t="shared" si="35"/>
        <v>-0.11014244762087422</v>
      </c>
    </row>
    <row r="577" spans="1:7" ht="15">
      <c r="A577" s="25">
        <f>Returns!A567</f>
        <v>45763</v>
      </c>
      <c r="B577" s="18">
        <f>B576*(1+Returns!G567)</f>
        <v>116.93279327874855</v>
      </c>
      <c r="C577" s="18">
        <f t="shared" si="32"/>
        <v>131.46049985699199</v>
      </c>
      <c r="D577" s="27">
        <f t="shared" si="33"/>
        <v>-0.11051005126290603</v>
      </c>
      <c r="E577" s="18">
        <f>E576*(1+Returns!H567)</f>
        <v>128.79387070689612</v>
      </c>
      <c r="F577" s="18">
        <f t="shared" si="34"/>
        <v>144.06442609680636</v>
      </c>
      <c r="G577" s="27">
        <f t="shared" si="35"/>
        <v>-0.10599809962557272</v>
      </c>
    </row>
    <row r="578" spans="1:7" ht="15">
      <c r="A578" s="25">
        <f>Returns!A568</f>
        <v>45764</v>
      </c>
      <c r="B578" s="18">
        <f>B577*(1+Returns!G568)</f>
        <v>119.11903709584608</v>
      </c>
      <c r="C578" s="18">
        <f t="shared" si="32"/>
        <v>131.46049985699199</v>
      </c>
      <c r="D578" s="27">
        <f t="shared" si="33"/>
        <v>-9.3879627527443166E-2</v>
      </c>
      <c r="E578" s="18">
        <f>E577*(1+Returns!H568)</f>
        <v>131.07139414929136</v>
      </c>
      <c r="F578" s="18">
        <f t="shared" si="34"/>
        <v>144.06442609680636</v>
      </c>
      <c r="G578" s="27">
        <f t="shared" si="35"/>
        <v>-9.0189037637814384E-2</v>
      </c>
    </row>
    <row r="579" spans="1:7" ht="15">
      <c r="A579" s="25">
        <f>Returns!A569</f>
        <v>45768</v>
      </c>
      <c r="B579" s="18">
        <f>B578*(1+Returns!G569)</f>
        <v>120.52815155005054</v>
      </c>
      <c r="C579" s="18">
        <f t="shared" si="32"/>
        <v>131.46049985699199</v>
      </c>
      <c r="D579" s="27">
        <f t="shared" si="33"/>
        <v>-8.3160708492924451E-2</v>
      </c>
      <c r="E579" s="18">
        <f>E578*(1+Returns!H569)</f>
        <v>132.57655230268125</v>
      </c>
      <c r="F579" s="18">
        <f t="shared" si="34"/>
        <v>144.06442609680636</v>
      </c>
      <c r="G579" s="27">
        <f t="shared" si="35"/>
        <v>-7.9741224848982828E-2</v>
      </c>
    </row>
    <row r="580" spans="1:7" ht="15">
      <c r="A580" s="25">
        <f>Returns!A570</f>
        <v>45769</v>
      </c>
      <c r="B580" s="18">
        <f>B579*(1+Returns!G570)</f>
        <v>120.65144256014271</v>
      </c>
      <c r="C580" s="18">
        <f t="shared" si="32"/>
        <v>131.46049985699199</v>
      </c>
      <c r="D580" s="27">
        <f t="shared" si="33"/>
        <v>-8.2222852557291337E-2</v>
      </c>
      <c r="E580" s="18">
        <f>E579*(1+Returns!H570)</f>
        <v>132.80570100505562</v>
      </c>
      <c r="F580" s="18">
        <f t="shared" si="34"/>
        <v>144.06442609680636</v>
      </c>
      <c r="G580" s="27">
        <f t="shared" si="35"/>
        <v>-7.8150626055215389E-2</v>
      </c>
    </row>
    <row r="581" spans="1:7" ht="15">
      <c r="A581" s="25">
        <f>Returns!A571</f>
        <v>45770</v>
      </c>
      <c r="B581" s="18">
        <f>B580*(1+Returns!G571)</f>
        <v>121.75728933660659</v>
      </c>
      <c r="C581" s="18">
        <f t="shared" si="32"/>
        <v>131.46049985699199</v>
      </c>
      <c r="D581" s="27">
        <f t="shared" si="33"/>
        <v>-7.3810844557421706E-2</v>
      </c>
      <c r="E581" s="18">
        <f>E580*(1+Returns!H571)</f>
        <v>133.69428278817384</v>
      </c>
      <c r="F581" s="18">
        <f t="shared" si="34"/>
        <v>144.06442609680636</v>
      </c>
      <c r="G581" s="27">
        <f t="shared" si="35"/>
        <v>-7.1982678788892307E-2</v>
      </c>
    </row>
    <row r="582" spans="1:7" ht="15">
      <c r="A582" s="25">
        <f>Returns!A572</f>
        <v>45771</v>
      </c>
      <c r="B582" s="18">
        <f>B581*(1+Returns!G572)</f>
        <v>121.27950663394415</v>
      </c>
      <c r="C582" s="18">
        <f t="shared" si="32"/>
        <v>131.46049985699199</v>
      </c>
      <c r="D582" s="27">
        <f t="shared" si="33"/>
        <v>-7.7445264806714764E-2</v>
      </c>
      <c r="E582" s="18">
        <f>E581*(1+Returns!H572)</f>
        <v>133.24229636408066</v>
      </c>
      <c r="F582" s="18">
        <f t="shared" si="34"/>
        <v>144.06442609680636</v>
      </c>
      <c r="G582" s="27">
        <f t="shared" si="35"/>
        <v>-7.5120069721123284E-2</v>
      </c>
    </row>
    <row r="583" spans="1:7" ht="15">
      <c r="A583" s="25">
        <f>Returns!A573</f>
        <v>45772</v>
      </c>
      <c r="B583" s="18">
        <f>B582*(1+Returns!G573)</f>
        <v>121.62987124222424</v>
      </c>
      <c r="C583" s="18">
        <f t="shared" si="32"/>
        <v>131.46049985699199</v>
      </c>
      <c r="D583" s="27">
        <f t="shared" si="33"/>
        <v>-7.4780094594664503E-2</v>
      </c>
      <c r="E583" s="18">
        <f>E582*(1+Returns!H573)</f>
        <v>132.10285309990408</v>
      </c>
      <c r="F583" s="18">
        <f t="shared" si="34"/>
        <v>144.06442609680636</v>
      </c>
      <c r="G583" s="27">
        <f t="shared" si="35"/>
        <v>-8.3029331535770745E-2</v>
      </c>
    </row>
    <row r="584" spans="1:7" ht="15">
      <c r="A584" s="25">
        <f>Returns!A574</f>
        <v>45775</v>
      </c>
      <c r="B584" s="18">
        <f>B583*(1+Returns!G574)</f>
        <v>123.67583687662264</v>
      </c>
      <c r="C584" s="18">
        <f t="shared" si="32"/>
        <v>131.46049985699199</v>
      </c>
      <c r="D584" s="27">
        <f t="shared" si="33"/>
        <v>-5.9216745629583123E-2</v>
      </c>
      <c r="E584" s="18">
        <f>E583*(1+Returns!H574)</f>
        <v>133.69181420730516</v>
      </c>
      <c r="F584" s="18">
        <f t="shared" si="34"/>
        <v>144.06442609680636</v>
      </c>
      <c r="G584" s="27">
        <f t="shared" si="35"/>
        <v>-7.1999814045218602E-2</v>
      </c>
    </row>
    <row r="585" spans="1:7" ht="15">
      <c r="A585" s="25">
        <f>Returns!A575</f>
        <v>45776</v>
      </c>
      <c r="B585" s="18">
        <f>B584*(1+Returns!G575)</f>
        <v>124.60431299147652</v>
      </c>
      <c r="C585" s="18">
        <f t="shared" si="32"/>
        <v>131.46049985699199</v>
      </c>
      <c r="D585" s="27">
        <f t="shared" si="33"/>
        <v>-5.215396923770943E-2</v>
      </c>
      <c r="E585" s="18">
        <f>E584*(1+Returns!H575)</f>
        <v>133.73274971788388</v>
      </c>
      <c r="F585" s="18">
        <f t="shared" si="34"/>
        <v>144.06442609680636</v>
      </c>
      <c r="G585" s="27">
        <f t="shared" si="35"/>
        <v>-7.1715666794660016E-2</v>
      </c>
    </row>
    <row r="586" spans="1:7" ht="15">
      <c r="A586" s="25">
        <f>Returns!A576</f>
        <v>45777</v>
      </c>
      <c r="B586" s="18">
        <f>B585*(1+Returns!G576)</f>
        <v>124.84757312679288</v>
      </c>
      <c r="C586" s="18">
        <f t="shared" si="32"/>
        <v>131.46049985699199</v>
      </c>
      <c r="D586" s="27">
        <f t="shared" si="33"/>
        <v>-5.0303526438686297E-2</v>
      </c>
      <c r="E586" s="18">
        <f>E585*(1+Returns!H576)</f>
        <v>133.72313298545637</v>
      </c>
      <c r="F586" s="18">
        <f t="shared" si="34"/>
        <v>144.06442609680636</v>
      </c>
      <c r="G586" s="27">
        <f t="shared" si="35"/>
        <v>-7.1782419793217977E-2</v>
      </c>
    </row>
    <row r="587" spans="1:7" ht="15">
      <c r="A587" s="25">
        <f>Returns!A577</f>
        <v>45779</v>
      </c>
      <c r="B587" s="18">
        <f>B586*(1+Returns!G577)</f>
        <v>125.08755174714946</v>
      </c>
      <c r="C587" s="18">
        <f t="shared" si="32"/>
        <v>131.46049985699199</v>
      </c>
      <c r="D587" s="27">
        <f t="shared" si="33"/>
        <v>-4.8478045624162913E-2</v>
      </c>
      <c r="E587" s="18">
        <f>E586*(1+Returns!H577)</f>
        <v>133.79182393136719</v>
      </c>
      <c r="F587" s="18">
        <f t="shared" si="34"/>
        <v>144.06442609680636</v>
      </c>
      <c r="G587" s="27">
        <f t="shared" si="35"/>
        <v>-7.1305612660660156E-2</v>
      </c>
    </row>
    <row r="588" spans="1:7" ht="15">
      <c r="A588" s="25">
        <f>Returns!A578</f>
        <v>45782</v>
      </c>
      <c r="B588" s="18">
        <f>B587*(1+Returns!G578)</f>
        <v>125.76516404068074</v>
      </c>
      <c r="C588" s="18">
        <f t="shared" si="32"/>
        <v>131.46049985699199</v>
      </c>
      <c r="D588" s="27">
        <f t="shared" si="33"/>
        <v>-4.3323552112663921E-2</v>
      </c>
      <c r="E588" s="18">
        <f>E587*(1+Returns!H578)</f>
        <v>134.42076467190282</v>
      </c>
      <c r="F588" s="18">
        <f t="shared" si="34"/>
        <v>144.06442609680636</v>
      </c>
      <c r="G588" s="27">
        <f t="shared" si="35"/>
        <v>-6.6939921854291318E-2</v>
      </c>
    </row>
    <row r="589" spans="1:7" ht="15">
      <c r="A589" s="25">
        <f>Returns!A579</f>
        <v>45783</v>
      </c>
      <c r="B589" s="18">
        <f>B588*(1+Returns!G579)</f>
        <v>125.5607173409193</v>
      </c>
      <c r="C589" s="18">
        <f t="shared" si="32"/>
        <v>131.46049985699199</v>
      </c>
      <c r="D589" s="27">
        <f t="shared" si="33"/>
        <v>-4.4878747018995857E-2</v>
      </c>
      <c r="E589" s="18">
        <f>E588*(1+Returns!H579)</f>
        <v>133.97262064759653</v>
      </c>
      <c r="F589" s="18">
        <f t="shared" si="34"/>
        <v>144.06442609680636</v>
      </c>
      <c r="G589" s="27">
        <f t="shared" si="35"/>
        <v>-7.0050641387544799E-2</v>
      </c>
    </row>
    <row r="590" spans="1:7" ht="15">
      <c r="A590" s="25">
        <f>Returns!A580</f>
        <v>45784</v>
      </c>
      <c r="B590" s="18">
        <f>B589*(1+Returns!G580)</f>
        <v>125.35940488047115</v>
      </c>
      <c r="C590" s="18">
        <f t="shared" si="32"/>
        <v>131.46049985699199</v>
      </c>
      <c r="D590" s="27">
        <f t="shared" si="33"/>
        <v>-4.6410100244239527E-2</v>
      </c>
      <c r="E590" s="18">
        <f>E589*(1+Returns!H580)</f>
        <v>134.16386053419637</v>
      </c>
      <c r="F590" s="18">
        <f t="shared" si="34"/>
        <v>144.06442609680636</v>
      </c>
      <c r="G590" s="27">
        <f t="shared" si="35"/>
        <v>-6.872318053005777E-2</v>
      </c>
    </row>
    <row r="591" spans="1:7" ht="15">
      <c r="A591" s="25">
        <f>Returns!A581</f>
        <v>45785</v>
      </c>
      <c r="B591" s="18">
        <f>B590*(1+Returns!G581)</f>
        <v>125.17385769281528</v>
      </c>
      <c r="C591" s="18">
        <f t="shared" si="32"/>
        <v>131.46049985699199</v>
      </c>
      <c r="D591" s="27">
        <f t="shared" si="33"/>
        <v>-4.782152944052076E-2</v>
      </c>
      <c r="E591" s="18">
        <f>E590*(1+Returns!H581)</f>
        <v>133.39122692118357</v>
      </c>
      <c r="F591" s="18">
        <f t="shared" si="34"/>
        <v>144.06442609680636</v>
      </c>
      <c r="G591" s="27">
        <f t="shared" si="35"/>
        <v>-7.4086292256845931E-2</v>
      </c>
    </row>
    <row r="592" spans="1:7" ht="15">
      <c r="A592" s="25">
        <f>Returns!A582</f>
        <v>45786</v>
      </c>
      <c r="B592" s="18">
        <f>B591*(1+Returns!G582)</f>
        <v>123.16231871212179</v>
      </c>
      <c r="C592" s="18">
        <f t="shared" ref="C592:C655" si="36">MAX(C591,B592)</f>
        <v>131.46049985699199</v>
      </c>
      <c r="D592" s="27">
        <f t="shared" ref="D592:D655" si="37">B592/C592-1</f>
        <v>-6.3123000094304271E-2</v>
      </c>
      <c r="E592" s="18">
        <f>E591*(1+Returns!H582)</f>
        <v>131.93057835415183</v>
      </c>
      <c r="F592" s="18">
        <f t="shared" ref="F592:F655" si="38">MAX(F591,E592)</f>
        <v>144.06442609680636</v>
      </c>
      <c r="G592" s="27">
        <f t="shared" ref="G592:G655" si="39">E592/F592-1</f>
        <v>-8.4225148924002902E-2</v>
      </c>
    </row>
    <row r="593" spans="1:7" ht="15">
      <c r="A593" s="25">
        <f>Returns!A583</f>
        <v>45789</v>
      </c>
      <c r="B593" s="18">
        <f>B592*(1+Returns!G583)</f>
        <v>129.13214377485204</v>
      </c>
      <c r="C593" s="18">
        <f t="shared" si="36"/>
        <v>131.46049985699199</v>
      </c>
      <c r="D593" s="27">
        <f t="shared" si="37"/>
        <v>-1.7711450090885261E-2</v>
      </c>
      <c r="E593" s="18">
        <f>E592*(1+Returns!H583)</f>
        <v>136.96809327028339</v>
      </c>
      <c r="F593" s="18">
        <f t="shared" si="38"/>
        <v>144.06442609680636</v>
      </c>
      <c r="G593" s="27">
        <f t="shared" si="39"/>
        <v>-4.9258050851182844E-2</v>
      </c>
    </row>
    <row r="594" spans="1:7" ht="15">
      <c r="A594" s="25">
        <f>Returns!A584</f>
        <v>45790</v>
      </c>
      <c r="B594" s="18">
        <f>B593*(1+Returns!G584)</f>
        <v>126.40862190456012</v>
      </c>
      <c r="C594" s="18">
        <f t="shared" si="36"/>
        <v>131.46049985699199</v>
      </c>
      <c r="D594" s="27">
        <f t="shared" si="37"/>
        <v>-3.8428866145553187E-2</v>
      </c>
      <c r="E594" s="18">
        <f>E593*(1+Returns!H584)</f>
        <v>135.06480668757851</v>
      </c>
      <c r="F594" s="18">
        <f t="shared" si="38"/>
        <v>144.06442609680636</v>
      </c>
      <c r="G594" s="27">
        <f t="shared" si="39"/>
        <v>-6.2469407979874325E-2</v>
      </c>
    </row>
    <row r="595" spans="1:7" ht="15">
      <c r="A595" s="25">
        <f>Returns!A585</f>
        <v>45791</v>
      </c>
      <c r="B595" s="18">
        <f>B594*(1+Returns!G585)</f>
        <v>126.87734902754266</v>
      </c>
      <c r="C595" s="18">
        <f t="shared" si="36"/>
        <v>131.46049985699199</v>
      </c>
      <c r="D595" s="27">
        <f t="shared" si="37"/>
        <v>-3.4863330311653007E-2</v>
      </c>
      <c r="E595" s="18">
        <f>E594*(1+Returns!H585)</f>
        <v>135.55141764159487</v>
      </c>
      <c r="F595" s="18">
        <f t="shared" si="38"/>
        <v>144.06442609680636</v>
      </c>
      <c r="G595" s="27">
        <f t="shared" si="39"/>
        <v>-5.9091676452388331E-2</v>
      </c>
    </row>
    <row r="596" spans="1:7" ht="15">
      <c r="A596" s="25">
        <f>Returns!A586</f>
        <v>45792</v>
      </c>
      <c r="B596" s="18">
        <f>B595*(1+Returns!G586)</f>
        <v>128.72368596119767</v>
      </c>
      <c r="C596" s="18">
        <f t="shared" si="36"/>
        <v>131.46049985699199</v>
      </c>
      <c r="D596" s="27">
        <f t="shared" si="37"/>
        <v>-2.0818526468190268E-2</v>
      </c>
      <c r="E596" s="18">
        <f>E595*(1+Returns!H586)</f>
        <v>137.72314629432714</v>
      </c>
      <c r="F596" s="18">
        <f t="shared" si="38"/>
        <v>144.06442609680636</v>
      </c>
      <c r="G596" s="27">
        <f t="shared" si="39"/>
        <v>-4.4016971949883743E-2</v>
      </c>
    </row>
    <row r="597" spans="1:7" ht="15">
      <c r="A597" s="25">
        <f>Returns!A587</f>
        <v>45793</v>
      </c>
      <c r="B597" s="18">
        <f>B596*(1+Returns!G587)</f>
        <v>128.41965416467792</v>
      </c>
      <c r="C597" s="18">
        <f t="shared" si="36"/>
        <v>131.46049985699199</v>
      </c>
      <c r="D597" s="27">
        <f t="shared" si="37"/>
        <v>-2.313125003801153E-2</v>
      </c>
      <c r="E597" s="18">
        <f>E596*(1+Returns!H587)</f>
        <v>137.49070257314111</v>
      </c>
      <c r="F597" s="18">
        <f t="shared" si="38"/>
        <v>144.06442609680636</v>
      </c>
      <c r="G597" s="27">
        <f t="shared" si="39"/>
        <v>-4.5630442585790965E-2</v>
      </c>
    </row>
    <row r="598" spans="1:7" ht="15">
      <c r="A598" s="25">
        <f>Returns!A588</f>
        <v>45796</v>
      </c>
      <c r="B598" s="18">
        <f>B597*(1+Returns!G588)</f>
        <v>127.4047088687513</v>
      </c>
      <c r="C598" s="18">
        <f t="shared" si="36"/>
        <v>131.46049985699199</v>
      </c>
      <c r="D598" s="27">
        <f t="shared" si="37"/>
        <v>-3.0851784320406028E-2</v>
      </c>
      <c r="E598" s="18">
        <f>E597*(1+Returns!H588)</f>
        <v>137.08212024049533</v>
      </c>
      <c r="F598" s="18">
        <f t="shared" si="38"/>
        <v>144.06442609680636</v>
      </c>
      <c r="G598" s="27">
        <f t="shared" si="39"/>
        <v>-4.8466551011136949E-2</v>
      </c>
    </row>
    <row r="599" spans="1:7" ht="15">
      <c r="A599" s="25">
        <f>Returns!A589</f>
        <v>45797</v>
      </c>
      <c r="B599" s="18">
        <f>B598*(1+Returns!G589)</f>
        <v>126.37447831741613</v>
      </c>
      <c r="C599" s="18">
        <f t="shared" si="36"/>
        <v>131.46049985699199</v>
      </c>
      <c r="D599" s="27">
        <f t="shared" si="37"/>
        <v>-3.8688591212635237E-2</v>
      </c>
      <c r="E599" s="18">
        <f>E598*(1+Returns!H589)</f>
        <v>135.64483732803359</v>
      </c>
      <c r="F599" s="18">
        <f t="shared" si="38"/>
        <v>144.06442609680636</v>
      </c>
      <c r="G599" s="27">
        <f t="shared" si="39"/>
        <v>-5.844321875210956E-2</v>
      </c>
    </row>
    <row r="600" spans="1:7" ht="15">
      <c r="A600" s="25">
        <f>Returns!A590</f>
        <v>45798</v>
      </c>
      <c r="B600" s="18">
        <f>B599*(1+Returns!G590)</f>
        <v>127.05314703649771</v>
      </c>
      <c r="C600" s="18">
        <f t="shared" si="36"/>
        <v>131.46049985699199</v>
      </c>
      <c r="D600" s="27">
        <f t="shared" si="37"/>
        <v>-3.3526061632876636E-2</v>
      </c>
      <c r="E600" s="18">
        <f>E599*(1+Returns!H590)</f>
        <v>136.35674385167712</v>
      </c>
      <c r="F600" s="18">
        <f t="shared" si="38"/>
        <v>144.06442609680636</v>
      </c>
      <c r="G600" s="27">
        <f t="shared" si="39"/>
        <v>-5.3501634330948122E-2</v>
      </c>
    </row>
    <row r="601" spans="1:7" ht="15">
      <c r="A601" s="25">
        <f>Returns!A591</f>
        <v>45799</v>
      </c>
      <c r="B601" s="18">
        <f>B600*(1+Returns!G591)</f>
        <v>125.85819694003709</v>
      </c>
      <c r="C601" s="18">
        <f t="shared" si="36"/>
        <v>131.46049985699199</v>
      </c>
      <c r="D601" s="27">
        <f t="shared" si="37"/>
        <v>-4.2615865016862875E-2</v>
      </c>
      <c r="E601" s="18">
        <f>E600*(1+Returns!H591)</f>
        <v>135.23708143333079</v>
      </c>
      <c r="F601" s="18">
        <f t="shared" si="38"/>
        <v>144.06442609680636</v>
      </c>
      <c r="G601" s="27">
        <f t="shared" si="39"/>
        <v>-6.1273590591641947E-2</v>
      </c>
    </row>
    <row r="602" spans="1:7" ht="15">
      <c r="A602" s="25">
        <f>Returns!A592</f>
        <v>45800</v>
      </c>
      <c r="B602" s="18">
        <f>B601*(1+Returns!G592)</f>
        <v>127.05523229110082</v>
      </c>
      <c r="C602" s="18">
        <f t="shared" si="36"/>
        <v>131.46049985699199</v>
      </c>
      <c r="D602" s="27">
        <f t="shared" si="37"/>
        <v>-3.3510199418710473E-2</v>
      </c>
      <c r="E602" s="18">
        <f>E601*(1+Returns!H592)</f>
        <v>136.57491273566606</v>
      </c>
      <c r="F602" s="18">
        <f t="shared" si="38"/>
        <v>144.06442609680636</v>
      </c>
      <c r="G602" s="27">
        <f t="shared" si="39"/>
        <v>-5.1987250177275568E-2</v>
      </c>
    </row>
    <row r="603" spans="1:7" ht="15">
      <c r="A603" s="25">
        <f>Returns!A593</f>
        <v>45803</v>
      </c>
      <c r="B603" s="18">
        <f>B602*(1+Returns!G593)</f>
        <v>127.83905231448168</v>
      </c>
      <c r="C603" s="18">
        <f t="shared" si="36"/>
        <v>131.46049985699199</v>
      </c>
      <c r="D603" s="27">
        <f t="shared" si="37"/>
        <v>-2.7547799882473134E-2</v>
      </c>
      <c r="E603" s="18">
        <f>E602*(1+Returns!H593)</f>
        <v>137.38821353525015</v>
      </c>
      <c r="F603" s="18">
        <f t="shared" si="38"/>
        <v>144.06442609680636</v>
      </c>
      <c r="G603" s="27">
        <f t="shared" si="39"/>
        <v>-4.6341853727789983E-2</v>
      </c>
    </row>
    <row r="604" spans="1:7" ht="15">
      <c r="A604" s="25">
        <f>Returns!A594</f>
        <v>45804</v>
      </c>
      <c r="B604" s="18">
        <f>B603*(1+Returns!G594)</f>
        <v>126.73558887389507</v>
      </c>
      <c r="C604" s="18">
        <f t="shared" si="36"/>
        <v>131.46049985699199</v>
      </c>
      <c r="D604" s="27">
        <f t="shared" si="37"/>
        <v>-3.5941678209324257E-2</v>
      </c>
      <c r="E604" s="18">
        <f>E603*(1+Returns!H594)</f>
        <v>136.42680861650618</v>
      </c>
      <c r="F604" s="18">
        <f t="shared" si="38"/>
        <v>144.06442609680636</v>
      </c>
      <c r="G604" s="27">
        <f t="shared" si="39"/>
        <v>-5.3015291055738878E-2</v>
      </c>
    </row>
    <row r="605" spans="1:7" ht="15">
      <c r="A605" s="25">
        <f>Returns!A595</f>
        <v>45805</v>
      </c>
      <c r="B605" s="18">
        <f>B604*(1+Returns!G595)</f>
        <v>126.59516043511651</v>
      </c>
      <c r="C605" s="18">
        <f t="shared" si="36"/>
        <v>131.46049985699199</v>
      </c>
      <c r="D605" s="27">
        <f t="shared" si="37"/>
        <v>-3.7009895954816741E-2</v>
      </c>
      <c r="E605" s="18">
        <f>E604*(1+Returns!H595)</f>
        <v>136.02153203563236</v>
      </c>
      <c r="F605" s="18">
        <f t="shared" si="38"/>
        <v>144.06442609680636</v>
      </c>
      <c r="G605" s="27">
        <f t="shared" si="39"/>
        <v>-5.5828453137830469E-2</v>
      </c>
    </row>
    <row r="606" spans="1:7" ht="15">
      <c r="A606" s="25">
        <f>Returns!A596</f>
        <v>45806</v>
      </c>
      <c r="B606" s="18">
        <f>B605*(1+Returns!G596)</f>
        <v>126.97561934713839</v>
      </c>
      <c r="C606" s="18">
        <f t="shared" si="36"/>
        <v>131.46049985699199</v>
      </c>
      <c r="D606" s="27">
        <f t="shared" si="37"/>
        <v>-3.4115802957789043E-2</v>
      </c>
      <c r="E606" s="18">
        <f>E605*(1+Returns!H596)</f>
        <v>136.46747580307746</v>
      </c>
      <c r="F606" s="18">
        <f t="shared" si="38"/>
        <v>144.06442609680636</v>
      </c>
      <c r="G606" s="27">
        <f t="shared" si="39"/>
        <v>-5.2733006333041565E-2</v>
      </c>
    </row>
    <row r="607" spans="1:7" ht="15">
      <c r="A607" s="25">
        <f>Returns!A597</f>
        <v>45807</v>
      </c>
      <c r="B607" s="18">
        <f>B606*(1+Returns!G597)</f>
        <v>126.92879047551897</v>
      </c>
      <c r="C607" s="18">
        <f t="shared" si="36"/>
        <v>131.46049985699199</v>
      </c>
      <c r="D607" s="27">
        <f t="shared" si="37"/>
        <v>-3.4472023051812517E-2</v>
      </c>
      <c r="E607" s="18">
        <f>E606*(1+Returns!H597)</f>
        <v>136.01191530320486</v>
      </c>
      <c r="F607" s="18">
        <f t="shared" si="38"/>
        <v>144.06442609680636</v>
      </c>
      <c r="G607" s="27">
        <f t="shared" si="39"/>
        <v>-5.5895206136388542E-2</v>
      </c>
    </row>
    <row r="608" spans="1:7" ht="15">
      <c r="A608" s="25">
        <f>Returns!A598</f>
        <v>45810</v>
      </c>
      <c r="B608" s="18">
        <f>B607*(1+Returns!G598)</f>
        <v>126.41292833363372</v>
      </c>
      <c r="C608" s="18">
        <f t="shared" si="36"/>
        <v>131.46049985699199</v>
      </c>
      <c r="D608" s="27">
        <f t="shared" si="37"/>
        <v>-3.839610779549163E-2</v>
      </c>
      <c r="E608" s="18">
        <f>E607*(1+Returns!H598)</f>
        <v>135.82452854935221</v>
      </c>
      <c r="F608" s="18">
        <f t="shared" si="38"/>
        <v>144.06442609680636</v>
      </c>
      <c r="G608" s="27">
        <f t="shared" si="39"/>
        <v>-5.7195921093783575E-2</v>
      </c>
    </row>
    <row r="609" spans="1:7" ht="15">
      <c r="A609" s="25">
        <f>Returns!A599</f>
        <v>45811</v>
      </c>
      <c r="B609" s="18">
        <f>B608*(1+Returns!G599)</f>
        <v>125.48356901780619</v>
      </c>
      <c r="C609" s="18">
        <f t="shared" si="36"/>
        <v>131.46049985699199</v>
      </c>
      <c r="D609" s="27">
        <f t="shared" si="37"/>
        <v>-4.5465602562653751E-2</v>
      </c>
      <c r="E609" s="18">
        <f>E608*(1+Returns!H599)</f>
        <v>134.86780320129841</v>
      </c>
      <c r="F609" s="18">
        <f t="shared" si="38"/>
        <v>144.06442609680636</v>
      </c>
      <c r="G609" s="27">
        <f t="shared" si="39"/>
        <v>-6.3836875935826987E-2</v>
      </c>
    </row>
    <row r="610" spans="1:7" ht="15">
      <c r="A610" s="25">
        <f>Returns!A600</f>
        <v>45812</v>
      </c>
      <c r="B610" s="18">
        <f>B609*(1+Returns!G600)</f>
        <v>126.20799761046737</v>
      </c>
      <c r="C610" s="18">
        <f t="shared" si="36"/>
        <v>131.46049985699199</v>
      </c>
      <c r="D610" s="27">
        <f t="shared" si="37"/>
        <v>-3.9954984594144261E-2</v>
      </c>
      <c r="E610" s="18">
        <f>E609*(1+Returns!H600)</f>
        <v>135.29478182789595</v>
      </c>
      <c r="F610" s="18">
        <f t="shared" si="38"/>
        <v>144.06442609680636</v>
      </c>
      <c r="G610" s="27">
        <f t="shared" si="39"/>
        <v>-6.0873072600292844E-2</v>
      </c>
    </row>
    <row r="611" spans="1:7" ht="15">
      <c r="A611" s="25">
        <f>Returns!A601</f>
        <v>45813</v>
      </c>
      <c r="B611" s="18">
        <f>B610*(1+Returns!G601)</f>
        <v>127.04297391487043</v>
      </c>
      <c r="C611" s="18">
        <f t="shared" si="36"/>
        <v>131.46049985699199</v>
      </c>
      <c r="D611" s="27">
        <f t="shared" si="37"/>
        <v>-3.3603447019653232E-2</v>
      </c>
      <c r="E611" s="18">
        <f>E610*(1+Returns!H601)</f>
        <v>136.01302079811563</v>
      </c>
      <c r="F611" s="18">
        <f t="shared" si="38"/>
        <v>144.06442609680636</v>
      </c>
      <c r="G611" s="27">
        <f t="shared" si="39"/>
        <v>-5.5887532521598726E-2</v>
      </c>
    </row>
    <row r="612" spans="1:7" ht="15">
      <c r="A612" s="25">
        <f>Returns!A602</f>
        <v>45814</v>
      </c>
      <c r="B612" s="18">
        <f>B611*(1+Returns!G602)</f>
        <v>127.82065603022144</v>
      </c>
      <c r="C612" s="18">
        <f t="shared" si="36"/>
        <v>131.46049985699199</v>
      </c>
      <c r="D612" s="27">
        <f t="shared" si="37"/>
        <v>-2.7687737614949803E-2</v>
      </c>
      <c r="E612" s="18">
        <f>E611*(1+Returns!H602)</f>
        <v>137.39865670562071</v>
      </c>
      <c r="F612" s="18">
        <f t="shared" si="38"/>
        <v>144.06442609680636</v>
      </c>
      <c r="G612" s="27">
        <f t="shared" si="39"/>
        <v>-4.6269364143417868E-2</v>
      </c>
    </row>
    <row r="613" spans="1:7" ht="15">
      <c r="A613" s="25">
        <f>Returns!A603</f>
        <v>45817</v>
      </c>
      <c r="B613" s="18">
        <f>B612*(1+Returns!G603)</f>
        <v>128.01051616500442</v>
      </c>
      <c r="C613" s="18">
        <f t="shared" si="36"/>
        <v>131.46049985699199</v>
      </c>
      <c r="D613" s="27">
        <f t="shared" si="37"/>
        <v>-2.6243500486766713E-2</v>
      </c>
      <c r="E613" s="18">
        <f>E612*(1+Returns!H603)</f>
        <v>137.94899997788994</v>
      </c>
      <c r="F613" s="18">
        <f t="shared" si="38"/>
        <v>144.06442609680636</v>
      </c>
      <c r="G613" s="27">
        <f t="shared" si="39"/>
        <v>-4.2449244998255531E-2</v>
      </c>
    </row>
    <row r="614" spans="1:7" ht="15">
      <c r="A614" s="25">
        <f>Returns!A604</f>
        <v>45818</v>
      </c>
      <c r="B614" s="18">
        <f>B613*(1+Returns!G604)</f>
        <v>127.99255622163969</v>
      </c>
      <c r="C614" s="18">
        <f t="shared" si="36"/>
        <v>131.46049985699199</v>
      </c>
      <c r="D614" s="27">
        <f t="shared" si="37"/>
        <v>-2.6380119040509298E-2</v>
      </c>
      <c r="E614" s="18">
        <f>E613*(1+Returns!H604)</f>
        <v>137.95477431053058</v>
      </c>
      <c r="F614" s="18">
        <f t="shared" si="38"/>
        <v>144.06442609680636</v>
      </c>
      <c r="G614" s="27">
        <f t="shared" si="39"/>
        <v>-4.2409163398674843E-2</v>
      </c>
    </row>
    <row r="615" spans="1:7" ht="15">
      <c r="A615" s="25">
        <f>Returns!A605</f>
        <v>45819</v>
      </c>
      <c r="B615" s="18">
        <f>B614*(1+Returns!G605)</f>
        <v>128.57935186701062</v>
      </c>
      <c r="C615" s="18">
        <f t="shared" si="36"/>
        <v>131.46049985699199</v>
      </c>
      <c r="D615" s="27">
        <f t="shared" si="37"/>
        <v>-2.1916453939514913E-2</v>
      </c>
      <c r="E615" s="18">
        <f>E614*(1+Returns!H605)</f>
        <v>138.15892594836959</v>
      </c>
      <c r="F615" s="18">
        <f t="shared" si="38"/>
        <v>144.06442609680636</v>
      </c>
      <c r="G615" s="27">
        <f t="shared" si="39"/>
        <v>-4.0992077700489959E-2</v>
      </c>
    </row>
    <row r="616" spans="1:7" ht="15">
      <c r="A616" s="25">
        <f>Returns!A606</f>
        <v>45820</v>
      </c>
      <c r="B616" s="18">
        <f>B615*(1+Returns!G606)</f>
        <v>127.6785671086491</v>
      </c>
      <c r="C616" s="18">
        <f t="shared" si="36"/>
        <v>131.46049985699199</v>
      </c>
      <c r="D616" s="27">
        <f t="shared" si="37"/>
        <v>-2.8768586400150786E-2</v>
      </c>
      <c r="E616" s="18">
        <f>E615*(1+Returns!H606)</f>
        <v>136.7675157082239</v>
      </c>
      <c r="F616" s="18">
        <f t="shared" si="38"/>
        <v>144.06442609680636</v>
      </c>
      <c r="G616" s="27">
        <f t="shared" si="39"/>
        <v>-5.0650327678251283E-2</v>
      </c>
    </row>
    <row r="617" spans="1:7" ht="15">
      <c r="A617" s="25">
        <f>Returns!A607</f>
        <v>45821</v>
      </c>
      <c r="B617" s="18">
        <f>B616*(1+Returns!G607)</f>
        <v>126.8361147025508</v>
      </c>
      <c r="C617" s="18">
        <f t="shared" si="36"/>
        <v>131.46049985699199</v>
      </c>
      <c r="D617" s="27">
        <f t="shared" si="37"/>
        <v>-3.5176993541571666E-2</v>
      </c>
      <c r="E617" s="18">
        <f>E616*(1+Returns!H607)</f>
        <v>135.83551910069798</v>
      </c>
      <c r="F617" s="18">
        <f t="shared" si="38"/>
        <v>144.06442609680636</v>
      </c>
      <c r="G617" s="27">
        <f t="shared" si="39"/>
        <v>-5.7119631952573968E-2</v>
      </c>
    </row>
    <row r="618" spans="1:7" ht="15">
      <c r="A618" s="25">
        <f>Returns!A608</f>
        <v>45824</v>
      </c>
      <c r="B618" s="18">
        <f>B617*(1+Returns!G608)</f>
        <v>128.12681442423602</v>
      </c>
      <c r="C618" s="18">
        <f t="shared" si="36"/>
        <v>131.46049985699199</v>
      </c>
      <c r="D618" s="27">
        <f t="shared" si="37"/>
        <v>-2.5358837341882046E-2</v>
      </c>
      <c r="E618" s="18">
        <f>E617*(1+Returns!H608)</f>
        <v>137.08789457313605</v>
      </c>
      <c r="F618" s="18">
        <f t="shared" si="38"/>
        <v>144.06442609680636</v>
      </c>
      <c r="G618" s="27">
        <f t="shared" si="39"/>
        <v>-4.8426469411555595E-2</v>
      </c>
    </row>
    <row r="619" spans="1:7" ht="15">
      <c r="A619" s="25">
        <f>Returns!A609</f>
        <v>45825</v>
      </c>
      <c r="B619" s="18">
        <f>B618*(1+Returns!G609)</f>
        <v>128.16376070181147</v>
      </c>
      <c r="C619" s="18">
        <f t="shared" si="36"/>
        <v>131.46049985699199</v>
      </c>
      <c r="D619" s="27">
        <f t="shared" si="37"/>
        <v>-2.5077792635558538E-2</v>
      </c>
      <c r="E619" s="18">
        <f>E618*(1+Returns!H609)</f>
        <v>136.57628655458433</v>
      </c>
      <c r="F619" s="18">
        <f t="shared" si="38"/>
        <v>144.06442609680636</v>
      </c>
      <c r="G619" s="27">
        <f t="shared" si="39"/>
        <v>-5.1977714034624034E-2</v>
      </c>
    </row>
    <row r="620" spans="1:7" ht="15">
      <c r="A620" s="25">
        <f>Returns!A610</f>
        <v>45826</v>
      </c>
      <c r="B620" s="18">
        <f>B619*(1+Returns!G610)</f>
        <v>127.51934536138111</v>
      </c>
      <c r="C620" s="18">
        <f t="shared" si="36"/>
        <v>131.46049985699199</v>
      </c>
      <c r="D620" s="27">
        <f t="shared" si="37"/>
        <v>-2.997976198096175E-2</v>
      </c>
      <c r="E620" s="18">
        <f>E619*(1+Returns!H610)</f>
        <v>136.3490590521034</v>
      </c>
      <c r="F620" s="18">
        <f t="shared" si="38"/>
        <v>144.06442609680636</v>
      </c>
      <c r="G620" s="27">
        <f t="shared" si="39"/>
        <v>-5.355497712890267E-2</v>
      </c>
    </row>
    <row r="621" spans="1:7" ht="15">
      <c r="A621" s="25">
        <f>Returns!A611</f>
        <v>45827</v>
      </c>
      <c r="B621" s="18">
        <f>B620*(1+Returns!G611)</f>
        <v>127.2238388564101</v>
      </c>
      <c r="C621" s="18">
        <f t="shared" si="36"/>
        <v>131.46049985699199</v>
      </c>
      <c r="D621" s="27">
        <f t="shared" si="37"/>
        <v>-3.2227634956437101E-2</v>
      </c>
      <c r="E621" s="18">
        <f>E620*(1+Returns!H611)</f>
        <v>136.2457435762694</v>
      </c>
      <c r="F621" s="18">
        <f t="shared" si="38"/>
        <v>144.06442609680636</v>
      </c>
      <c r="G621" s="27">
        <f t="shared" si="39"/>
        <v>-5.427212485671562E-2</v>
      </c>
    </row>
    <row r="622" spans="1:7" ht="15">
      <c r="A622" s="25">
        <f>Returns!A612</f>
        <v>45828</v>
      </c>
      <c r="B622" s="18">
        <f>B621*(1+Returns!G612)</f>
        <v>128.79073899457552</v>
      </c>
      <c r="C622" s="18">
        <f t="shared" si="36"/>
        <v>131.46049985699199</v>
      </c>
      <c r="D622" s="27">
        <f t="shared" si="37"/>
        <v>-2.030846425596089E-2</v>
      </c>
      <c r="E622" s="18">
        <f>E621*(1+Returns!H612)</f>
        <v>137.99956295385644</v>
      </c>
      <c r="F622" s="18">
        <f t="shared" si="38"/>
        <v>144.06442609680636</v>
      </c>
      <c r="G622" s="27">
        <f t="shared" si="39"/>
        <v>-4.2098270248024594E-2</v>
      </c>
    </row>
    <row r="623" spans="1:7" ht="15">
      <c r="A623" s="25">
        <f>Returns!A613</f>
        <v>45831</v>
      </c>
      <c r="B623" s="18">
        <f>B622*(1+Returns!G613)</f>
        <v>127.44374775907194</v>
      </c>
      <c r="C623" s="18">
        <f t="shared" si="36"/>
        <v>131.46049985699199</v>
      </c>
      <c r="D623" s="27">
        <f t="shared" si="37"/>
        <v>-3.0554821427650425E-2</v>
      </c>
      <c r="E623" s="18">
        <f>E622*(1+Returns!H613)</f>
        <v>137.22747672181887</v>
      </c>
      <c r="F623" s="18">
        <f t="shared" si="38"/>
        <v>144.06442609680636</v>
      </c>
      <c r="G623" s="27">
        <f t="shared" si="39"/>
        <v>-4.7457582417975153E-2</v>
      </c>
    </row>
    <row r="624" spans="1:7" ht="15">
      <c r="A624" s="25">
        <f>Returns!A614</f>
        <v>45832</v>
      </c>
      <c r="B624" s="18">
        <f>B623*(1+Returns!G614)</f>
        <v>127.51777196561498</v>
      </c>
      <c r="C624" s="18">
        <f t="shared" si="36"/>
        <v>131.46049985699199</v>
      </c>
      <c r="D624" s="27">
        <f t="shared" si="37"/>
        <v>-2.999173056291482E-2</v>
      </c>
      <c r="E624" s="18">
        <f>E623*(1+Returns!H614)</f>
        <v>137.62560515113384</v>
      </c>
      <c r="F624" s="18">
        <f t="shared" si="38"/>
        <v>144.06442609680636</v>
      </c>
      <c r="G624" s="27">
        <f t="shared" si="39"/>
        <v>-4.469403807811545E-2</v>
      </c>
    </row>
    <row r="625" spans="1:7" ht="15">
      <c r="A625" s="25">
        <f>Returns!A615</f>
        <v>45833</v>
      </c>
      <c r="B625" s="18">
        <f>B624*(1+Returns!G615)</f>
        <v>129.02888356581136</v>
      </c>
      <c r="C625" s="18">
        <f t="shared" si="36"/>
        <v>131.46049985699199</v>
      </c>
      <c r="D625" s="27">
        <f t="shared" si="37"/>
        <v>-1.8496934773759688E-2</v>
      </c>
      <c r="E625" s="18">
        <f>E624*(1+Returns!H615)</f>
        <v>138.72686054256815</v>
      </c>
      <c r="F625" s="18">
        <f t="shared" si="38"/>
        <v>144.06442609680636</v>
      </c>
      <c r="G625" s="27">
        <f t="shared" si="39"/>
        <v>-3.7049851228724173E-2</v>
      </c>
    </row>
    <row r="626" spans="1:7" ht="15">
      <c r="A626" s="25">
        <f>Returns!A616</f>
        <v>45834</v>
      </c>
      <c r="B626" s="18">
        <f>B625*(1+Returns!G616)</f>
        <v>130.49334251243494</v>
      </c>
      <c r="C626" s="18">
        <f t="shared" si="36"/>
        <v>131.46049985699199</v>
      </c>
      <c r="D626" s="27">
        <f t="shared" si="37"/>
        <v>-7.357018614786659E-3</v>
      </c>
      <c r="E626" s="18">
        <f>E625*(1+Returns!H616)</f>
        <v>140.39879816603744</v>
      </c>
      <c r="F626" s="18">
        <f t="shared" si="38"/>
        <v>144.06442609680636</v>
      </c>
      <c r="G626" s="27">
        <f t="shared" si="39"/>
        <v>-2.5444365622265042E-2</v>
      </c>
    </row>
    <row r="627" spans="1:7" ht="15">
      <c r="A627" s="25">
        <f>Returns!A617</f>
        <v>45835</v>
      </c>
      <c r="B627" s="18">
        <f>B626*(1+Returns!G617)</f>
        <v>131.39018877403842</v>
      </c>
      <c r="C627" s="18">
        <f t="shared" si="36"/>
        <v>131.46049985699199</v>
      </c>
      <c r="D627" s="27">
        <f t="shared" si="37"/>
        <v>-5.348456991267625E-4</v>
      </c>
      <c r="E627" s="18">
        <f>E626*(1+Returns!H617)</f>
        <v>140.886782938972</v>
      </c>
      <c r="F627" s="18">
        <f t="shared" si="38"/>
        <v>144.06442609680636</v>
      </c>
      <c r="G627" s="27">
        <f t="shared" si="39"/>
        <v>-2.2057097952127958E-2</v>
      </c>
    </row>
    <row r="628" spans="1:7" ht="15">
      <c r="A628" s="25">
        <f>Returns!A618</f>
        <v>45838</v>
      </c>
      <c r="B628" s="18">
        <f>B627*(1+Returns!G618)</f>
        <v>130.71349698417413</v>
      </c>
      <c r="C628" s="18">
        <f t="shared" si="36"/>
        <v>131.46049985699199</v>
      </c>
      <c r="D628" s="27">
        <f t="shared" si="37"/>
        <v>-5.682337079430555E-3</v>
      </c>
      <c r="E628" s="18">
        <f>E627*(1+Returns!H618)</f>
        <v>140.22322840147351</v>
      </c>
      <c r="F628" s="18">
        <f t="shared" si="38"/>
        <v>144.06442609680636</v>
      </c>
      <c r="G628" s="27">
        <f t="shared" si="39"/>
        <v>-2.6663054852637202E-2</v>
      </c>
    </row>
    <row r="629" spans="1:7" ht="15">
      <c r="A629" s="25">
        <f>Returns!A619</f>
        <v>45839</v>
      </c>
      <c r="B629" s="18">
        <f>B628*(1+Returns!G619)</f>
        <v>131.12211004233154</v>
      </c>
      <c r="C629" s="18">
        <f t="shared" si="36"/>
        <v>131.46049985699199</v>
      </c>
      <c r="D629" s="27">
        <f t="shared" si="37"/>
        <v>-2.5740797808357918E-3</v>
      </c>
      <c r="E629" s="18">
        <f>E628*(1+Returns!H619)</f>
        <v>140.35923647437693</v>
      </c>
      <c r="F629" s="18">
        <f t="shared" si="38"/>
        <v>144.06442609680636</v>
      </c>
      <c r="G629" s="27">
        <f t="shared" si="39"/>
        <v>-2.5718976730172538E-2</v>
      </c>
    </row>
    <row r="630" spans="1:7" ht="15">
      <c r="A630" s="25">
        <f>Returns!A620</f>
        <v>45840</v>
      </c>
      <c r="B630" s="18">
        <f>B629*(1+Returns!G620)</f>
        <v>130.42966575099624</v>
      </c>
      <c r="C630" s="18">
        <f t="shared" si="36"/>
        <v>131.46049985699199</v>
      </c>
      <c r="D630" s="27">
        <f t="shared" si="37"/>
        <v>-7.841398040606351E-3</v>
      </c>
      <c r="E630" s="18">
        <f>E629*(1+Returns!H620)</f>
        <v>139.87345195830358</v>
      </c>
      <c r="F630" s="18">
        <f t="shared" si="38"/>
        <v>144.06442609680636</v>
      </c>
      <c r="G630" s="27">
        <f t="shared" si="39"/>
        <v>-2.9090971671844823E-2</v>
      </c>
    </row>
    <row r="631" spans="1:7" ht="15">
      <c r="A631" s="25">
        <f>Returns!A621</f>
        <v>45841</v>
      </c>
      <c r="B631" s="18">
        <f>B630*(1+Returns!G621)</f>
        <v>130.32838384088183</v>
      </c>
      <c r="C631" s="18">
        <f t="shared" si="36"/>
        <v>131.46049985699199</v>
      </c>
      <c r="D631" s="27">
        <f t="shared" si="37"/>
        <v>-8.6118341048583291E-3</v>
      </c>
      <c r="E631" s="18">
        <f>E630*(1+Returns!H621)</f>
        <v>139.60913134503082</v>
      </c>
      <c r="F631" s="18">
        <f t="shared" si="38"/>
        <v>144.06442609680636</v>
      </c>
      <c r="G631" s="27">
        <f t="shared" si="39"/>
        <v>-3.092571061770466E-2</v>
      </c>
    </row>
    <row r="632" spans="1:7" ht="15">
      <c r="A632" s="25">
        <f>Returns!A622</f>
        <v>45842</v>
      </c>
      <c r="B632" s="18">
        <f>B631*(1+Returns!G622)</f>
        <v>131.21141736356739</v>
      </c>
      <c r="C632" s="18">
        <f t="shared" si="36"/>
        <v>131.46049985699199</v>
      </c>
      <c r="D632" s="27">
        <f t="shared" si="37"/>
        <v>-1.894732590364101E-3</v>
      </c>
      <c r="E632" s="18">
        <f>E631*(1+Returns!H622)</f>
        <v>139.9152139068253</v>
      </c>
      <c r="F632" s="18">
        <f t="shared" si="38"/>
        <v>144.06442609680636</v>
      </c>
      <c r="G632" s="27">
        <f t="shared" si="39"/>
        <v>-2.8801087835472527E-2</v>
      </c>
    </row>
    <row r="633" spans="1:7" ht="15">
      <c r="A633" s="25">
        <f>Returns!A623</f>
        <v>45845</v>
      </c>
      <c r="B633" s="18">
        <f>B632*(1+Returns!G623)</f>
        <v>131.16171325018101</v>
      </c>
      <c r="C633" s="18">
        <f t="shared" si="36"/>
        <v>131.46049985699199</v>
      </c>
      <c r="D633" s="27">
        <f t="shared" si="37"/>
        <v>-2.2728242105880536E-3</v>
      </c>
      <c r="E633" s="18">
        <f>E632*(1+Returns!H623)</f>
        <v>139.91686678271128</v>
      </c>
      <c r="F633" s="18">
        <f t="shared" si="38"/>
        <v>144.06442609680636</v>
      </c>
      <c r="G633" s="27">
        <f t="shared" si="39"/>
        <v>-2.8789614663845331E-2</v>
      </c>
    </row>
    <row r="634" spans="1:7" ht="15">
      <c r="A634" s="25">
        <f>Returns!A624</f>
        <v>45846</v>
      </c>
      <c r="B634" s="18">
        <f>B633*(1+Returns!G624)</f>
        <v>131.49526044459591</v>
      </c>
      <c r="C634" s="18">
        <f t="shared" si="36"/>
        <v>131.49526044459591</v>
      </c>
      <c r="D634" s="27">
        <f t="shared" si="37"/>
        <v>0</v>
      </c>
      <c r="E634" s="18">
        <f>E633*(1+Returns!H624)</f>
        <v>140.25317336070651</v>
      </c>
      <c r="F634" s="18">
        <f t="shared" si="38"/>
        <v>144.06442609680636</v>
      </c>
      <c r="G634" s="27">
        <f t="shared" si="39"/>
        <v>-2.6455196743287668E-2</v>
      </c>
    </row>
    <row r="635" spans="1:7" ht="15">
      <c r="A635" s="25">
        <f>Returns!A625</f>
        <v>45847</v>
      </c>
      <c r="B635" s="18">
        <f>B634*(1+Returns!G625)</f>
        <v>130.88728144817284</v>
      </c>
      <c r="C635" s="18">
        <f t="shared" si="36"/>
        <v>131.49526044459591</v>
      </c>
      <c r="D635" s="27">
        <f t="shared" si="37"/>
        <v>-4.6235810657163645E-3</v>
      </c>
      <c r="E635" s="18">
        <f>E634*(1+Returns!H625)</f>
        <v>139.99819042289352</v>
      </c>
      <c r="F635" s="18">
        <f t="shared" si="38"/>
        <v>144.06442609680636</v>
      </c>
      <c r="G635" s="27">
        <f t="shared" si="39"/>
        <v>-2.8225119719565428E-2</v>
      </c>
    </row>
    <row r="636" spans="1:7" ht="15">
      <c r="A636" s="25">
        <f>Returns!A626</f>
        <v>45848</v>
      </c>
      <c r="B636" s="18">
        <f>B635*(1+Returns!G626)</f>
        <v>130.43116729247788</v>
      </c>
      <c r="C636" s="18">
        <f t="shared" si="36"/>
        <v>131.49526044459591</v>
      </c>
      <c r="D636" s="27">
        <f t="shared" si="37"/>
        <v>-8.0922547970189163E-3</v>
      </c>
      <c r="E636" s="18">
        <f>E635*(1+Returns!H626)</f>
        <v>139.33408850441978</v>
      </c>
      <c r="F636" s="18">
        <f t="shared" si="38"/>
        <v>144.06442609680636</v>
      </c>
      <c r="G636" s="27">
        <f t="shared" si="39"/>
        <v>-3.2834876176912386E-2</v>
      </c>
    </row>
    <row r="637" spans="1:7" ht="15">
      <c r="A637" s="25">
        <f>Returns!A627</f>
        <v>45849</v>
      </c>
      <c r="B637" s="18">
        <f>B636*(1+Returns!G627)</f>
        <v>128.41461318788382</v>
      </c>
      <c r="C637" s="18">
        <f t="shared" si="36"/>
        <v>131.49526044459591</v>
      </c>
      <c r="D637" s="27">
        <f t="shared" si="37"/>
        <v>-2.3427819727465327E-2</v>
      </c>
      <c r="E637" s="18">
        <f>E636*(1+Returns!H627)</f>
        <v>138.20535673462118</v>
      </c>
      <c r="F637" s="18">
        <f t="shared" si="38"/>
        <v>144.06442609680636</v>
      </c>
      <c r="G637" s="27">
        <f t="shared" si="39"/>
        <v>-4.066978587932657E-2</v>
      </c>
    </row>
    <row r="638" spans="1:7" ht="15">
      <c r="A638" s="25">
        <f>Returns!A628</f>
        <v>45852</v>
      </c>
      <c r="B638" s="18">
        <f>B637*(1+Returns!G628)</f>
        <v>127.53366493999513</v>
      </c>
      <c r="C638" s="18">
        <f t="shared" si="36"/>
        <v>131.49526044459591</v>
      </c>
      <c r="D638" s="27">
        <f t="shared" si="37"/>
        <v>-3.0127287411016224E-2</v>
      </c>
      <c r="E638" s="18">
        <f>E637*(1+Returns!H628)</f>
        <v>137.8341573026953</v>
      </c>
      <c r="F638" s="18">
        <f t="shared" si="38"/>
        <v>144.06442609680636</v>
      </c>
      <c r="G638" s="27">
        <f t="shared" si="39"/>
        <v>-4.3246406923000746E-2</v>
      </c>
    </row>
    <row r="639" spans="1:7" ht="15">
      <c r="A639" s="25">
        <f>Returns!A629</f>
        <v>45853</v>
      </c>
      <c r="B639" s="18">
        <f>B638*(1+Returns!G629)</f>
        <v>128.29670609588109</v>
      </c>
      <c r="C639" s="18">
        <f t="shared" si="36"/>
        <v>131.49526044459591</v>
      </c>
      <c r="D639" s="27">
        <f t="shared" si="37"/>
        <v>-2.4324483923604978E-2</v>
      </c>
      <c r="E639" s="18">
        <f>E638*(1+Returns!H629)</f>
        <v>138.45787109156552</v>
      </c>
      <c r="F639" s="18">
        <f t="shared" si="38"/>
        <v>144.06442609680636</v>
      </c>
      <c r="G639" s="27">
        <f t="shared" si="39"/>
        <v>-3.8916998159374994E-2</v>
      </c>
    </row>
    <row r="640" spans="1:7" ht="15">
      <c r="A640" s="25">
        <f>Returns!A630</f>
        <v>45854</v>
      </c>
      <c r="B640" s="18">
        <f>B639*(1+Returns!G630)</f>
        <v>128.46044323703944</v>
      </c>
      <c r="C640" s="18">
        <f t="shared" si="36"/>
        <v>131.49526044459591</v>
      </c>
      <c r="D640" s="27">
        <f t="shared" si="37"/>
        <v>-2.3079289681586346E-2</v>
      </c>
      <c r="E640" s="18">
        <f>E639*(1+Returns!H630)</f>
        <v>138.54716932124958</v>
      </c>
      <c r="F640" s="18">
        <f t="shared" si="38"/>
        <v>144.06442609680636</v>
      </c>
      <c r="G640" s="27">
        <f t="shared" si="39"/>
        <v>-3.8297148887049826E-2</v>
      </c>
    </row>
    <row r="641" spans="1:7" ht="15">
      <c r="A641" s="25">
        <f>Returns!A631</f>
        <v>45855</v>
      </c>
      <c r="B641" s="18">
        <f>B640*(1+Returns!G631)</f>
        <v>127.52399082510182</v>
      </c>
      <c r="C641" s="18">
        <f t="shared" si="36"/>
        <v>131.49526044459591</v>
      </c>
      <c r="D641" s="27">
        <f t="shared" si="37"/>
        <v>-3.0200857476284093E-2</v>
      </c>
      <c r="E641" s="18">
        <f>E640*(1+Returns!H631)</f>
        <v>137.99433600219109</v>
      </c>
      <c r="F641" s="18">
        <f t="shared" si="38"/>
        <v>144.06442609680636</v>
      </c>
      <c r="G641" s="27">
        <f t="shared" si="39"/>
        <v>-4.2134552290767235E-2</v>
      </c>
    </row>
    <row r="642" spans="1:7" ht="15">
      <c r="A642" s="25">
        <f>Returns!A632</f>
        <v>45856</v>
      </c>
      <c r="B642" s="18">
        <f>B641*(1+Returns!G632)</f>
        <v>127.01575674869872</v>
      </c>
      <c r="C642" s="18">
        <f t="shared" si="36"/>
        <v>131.49526044459591</v>
      </c>
      <c r="D642" s="27">
        <f t="shared" si="37"/>
        <v>-3.4065894700323285E-2</v>
      </c>
      <c r="E642" s="18">
        <f>E641*(1+Returns!H632)</f>
        <v>137.2082432569639</v>
      </c>
      <c r="F642" s="18">
        <f t="shared" si="38"/>
        <v>144.06442609680636</v>
      </c>
      <c r="G642" s="27">
        <f t="shared" si="39"/>
        <v>-4.7591088415091076E-2</v>
      </c>
    </row>
    <row r="643" spans="1:7" ht="15">
      <c r="A643" s="25">
        <f>Returns!A633</f>
        <v>45859</v>
      </c>
      <c r="B643" s="18">
        <f>B642*(1+Returns!G633)</f>
        <v>126.95564377548179</v>
      </c>
      <c r="C643" s="18">
        <f t="shared" si="36"/>
        <v>131.49526044459591</v>
      </c>
      <c r="D643" s="27">
        <f t="shared" si="37"/>
        <v>-3.4523044053187291E-2</v>
      </c>
      <c r="E643" s="18">
        <f>E642*(1+Returns!H633)</f>
        <v>137.88030903197915</v>
      </c>
      <c r="F643" s="18">
        <f t="shared" si="38"/>
        <v>144.06442609680636</v>
      </c>
      <c r="G643" s="27">
        <f t="shared" si="39"/>
        <v>-4.2926052130813241E-2</v>
      </c>
    </row>
    <row r="644" spans="1:7" ht="15">
      <c r="A644" s="25">
        <f>Returns!A634</f>
        <v>45860</v>
      </c>
      <c r="B644" s="18">
        <f>B643*(1+Returns!G634)</f>
        <v>126.66085461548096</v>
      </c>
      <c r="C644" s="18">
        <f t="shared" si="36"/>
        <v>131.49526044459591</v>
      </c>
      <c r="D644" s="27">
        <f t="shared" si="37"/>
        <v>-3.6764867515144295E-2</v>
      </c>
      <c r="E644" s="18">
        <f>E643*(1+Returns!H634)</f>
        <v>137.71655625670394</v>
      </c>
      <c r="F644" s="18">
        <f t="shared" si="38"/>
        <v>144.06442609680636</v>
      </c>
      <c r="G644" s="27">
        <f t="shared" si="39"/>
        <v>-4.4062715634162641E-2</v>
      </c>
    </row>
    <row r="645" spans="1:7" ht="15">
      <c r="A645" s="25">
        <f>Returns!A635</f>
        <v>45861</v>
      </c>
      <c r="B645" s="18">
        <f>B644*(1+Returns!G635)</f>
        <v>127.58996329319429</v>
      </c>
      <c r="C645" s="18">
        <f t="shared" si="36"/>
        <v>131.49526044459591</v>
      </c>
      <c r="D645" s="27">
        <f t="shared" si="37"/>
        <v>-2.9699147620967481E-2</v>
      </c>
      <c r="E645" s="18">
        <f>E644*(1+Returns!H635)</f>
        <v>138.59030508868952</v>
      </c>
      <c r="F645" s="18">
        <f t="shared" si="38"/>
        <v>144.06442609680636</v>
      </c>
      <c r="G645" s="27">
        <f t="shared" si="39"/>
        <v>-3.7997728908026329E-2</v>
      </c>
    </row>
    <row r="646" spans="1:7" ht="15">
      <c r="A646" s="25">
        <f>Returns!A636</f>
        <v>45862</v>
      </c>
      <c r="B646" s="18">
        <f>B645*(1+Returns!G636)</f>
        <v>126.36103722152448</v>
      </c>
      <c r="C646" s="18">
        <f t="shared" si="36"/>
        <v>131.49526044459591</v>
      </c>
      <c r="D646" s="27">
        <f t="shared" si="37"/>
        <v>-3.9044929875892254E-2</v>
      </c>
      <c r="E646" s="18">
        <f>E645*(1+Returns!H636)</f>
        <v>137.72314629432725</v>
      </c>
      <c r="F646" s="18">
        <f t="shared" si="38"/>
        <v>144.06442609680636</v>
      </c>
      <c r="G646" s="27">
        <f t="shared" si="39"/>
        <v>-4.4016971949882966E-2</v>
      </c>
    </row>
    <row r="647" spans="1:7" ht="15">
      <c r="A647" s="25">
        <f>Returns!A637</f>
        <v>45863</v>
      </c>
      <c r="B647" s="18">
        <f>B646*(1+Returns!G637)</f>
        <v>125.4087838840863</v>
      </c>
      <c r="C647" s="18">
        <f t="shared" si="36"/>
        <v>131.49526044459591</v>
      </c>
      <c r="D647" s="27">
        <f t="shared" si="37"/>
        <v>-4.6286661130832796E-2</v>
      </c>
      <c r="E647" s="18">
        <f>E646*(1+Returns!H637)</f>
        <v>136.48616188695732</v>
      </c>
      <c r="F647" s="18">
        <f t="shared" si="38"/>
        <v>144.06442609680636</v>
      </c>
      <c r="G647" s="27">
        <f t="shared" si="39"/>
        <v>-5.2603299892762578E-2</v>
      </c>
    </row>
    <row r="648" spans="1:7" ht="15">
      <c r="A648" s="25">
        <f>Returns!A638</f>
        <v>45866</v>
      </c>
      <c r="B648" s="18">
        <f>B647*(1+Returns!G638)</f>
        <v>125.07313029646322</v>
      </c>
      <c r="C648" s="18">
        <f t="shared" si="36"/>
        <v>131.49526044459591</v>
      </c>
      <c r="D648" s="27">
        <f t="shared" si="37"/>
        <v>-4.8839251897132785E-2</v>
      </c>
      <c r="E648" s="18">
        <f>E647*(1+Returns!H638)</f>
        <v>135.62835150101509</v>
      </c>
      <c r="F648" s="18">
        <f t="shared" si="38"/>
        <v>144.06442609680636</v>
      </c>
      <c r="G648" s="27">
        <f t="shared" si="39"/>
        <v>-5.8557652463922749E-2</v>
      </c>
    </row>
    <row r="649" spans="1:7" ht="15">
      <c r="A649" s="25">
        <f>Returns!A639</f>
        <v>45867</v>
      </c>
      <c r="B649" s="18">
        <f>B648*(1+Returns!G639)</f>
        <v>125.69635616877564</v>
      </c>
      <c r="C649" s="18">
        <f t="shared" si="36"/>
        <v>131.49526044459591</v>
      </c>
      <c r="D649" s="27">
        <f t="shared" si="37"/>
        <v>-4.4099720828064237E-2</v>
      </c>
      <c r="E649" s="18">
        <f>E648*(1+Returns!H639)</f>
        <v>136.3987848571667</v>
      </c>
      <c r="F649" s="18">
        <f t="shared" si="38"/>
        <v>144.06442609680636</v>
      </c>
      <c r="G649" s="27">
        <f t="shared" si="39"/>
        <v>-5.3209813465599165E-2</v>
      </c>
    </row>
    <row r="650" spans="1:7" ht="15">
      <c r="A650" s="25">
        <f>Returns!A640</f>
        <v>45868</v>
      </c>
      <c r="B650" s="18">
        <f>B649*(1+Returns!G640)</f>
        <v>125.60448496376461</v>
      </c>
      <c r="C650" s="18">
        <f t="shared" si="36"/>
        <v>131.49526044459591</v>
      </c>
      <c r="D650" s="27">
        <f t="shared" si="37"/>
        <v>-4.4798386351828423E-2</v>
      </c>
      <c r="E650" s="18">
        <f>E649*(1+Returns!H640)</f>
        <v>136.58535590603665</v>
      </c>
      <c r="F650" s="18">
        <f t="shared" si="38"/>
        <v>144.06442609680636</v>
      </c>
      <c r="G650" s="27">
        <f t="shared" si="39"/>
        <v>-5.1914760592903231E-2</v>
      </c>
    </row>
    <row r="651" spans="1:7" ht="15">
      <c r="A651" s="25">
        <f>Returns!A641</f>
        <v>45869</v>
      </c>
      <c r="B651" s="18">
        <f>B650*(1+Returns!G641)</f>
        <v>124.76858148526469</v>
      </c>
      <c r="C651" s="18">
        <f t="shared" si="36"/>
        <v>131.49526044459591</v>
      </c>
      <c r="D651" s="27">
        <f t="shared" si="37"/>
        <v>-5.1155295913995591E-2</v>
      </c>
      <c r="E651" s="18">
        <f>E650*(1+Returns!H641)</f>
        <v>136.10890906542303</v>
      </c>
      <c r="F651" s="18">
        <f t="shared" si="38"/>
        <v>144.06442609680636</v>
      </c>
      <c r="G651" s="27">
        <f t="shared" si="39"/>
        <v>-5.522193956499355E-2</v>
      </c>
    </row>
    <row r="652" spans="1:7" ht="15">
      <c r="A652" s="25">
        <f>Returns!A642</f>
        <v>45870</v>
      </c>
      <c r="B652" s="18">
        <f>B651*(1+Returns!G642)</f>
        <v>123.86417310672753</v>
      </c>
      <c r="C652" s="18">
        <f t="shared" si="36"/>
        <v>131.49526044459591</v>
      </c>
      <c r="D652" s="27">
        <f t="shared" si="37"/>
        <v>-5.8033174063210069E-2</v>
      </c>
      <c r="E652" s="18">
        <f>E651*(1+Returns!H642)</f>
        <v>134.99336810383136</v>
      </c>
      <c r="F652" s="18">
        <f t="shared" si="38"/>
        <v>144.06442609680636</v>
      </c>
      <c r="G652" s="27">
        <f t="shared" si="39"/>
        <v>-6.2965287397733882E-2</v>
      </c>
    </row>
    <row r="653" spans="1:7" ht="15">
      <c r="A653" s="25">
        <f>Returns!A643</f>
        <v>45873</v>
      </c>
      <c r="B653" s="18">
        <f>B652*(1+Returns!G643)</f>
        <v>124.56955810281809</v>
      </c>
      <c r="C653" s="18">
        <f t="shared" si="36"/>
        <v>131.49526044459591</v>
      </c>
      <c r="D653" s="27">
        <f t="shared" si="37"/>
        <v>-5.2668836263462859E-2</v>
      </c>
      <c r="E653" s="18">
        <f>E652*(1+Returns!H643)</f>
        <v>135.85832664133244</v>
      </c>
      <c r="F653" s="18">
        <f t="shared" si="38"/>
        <v>144.06442609680636</v>
      </c>
      <c r="G653" s="27">
        <f t="shared" si="39"/>
        <v>-5.6961317084341823E-2</v>
      </c>
    </row>
    <row r="654" spans="1:7" ht="15">
      <c r="A654" s="25">
        <f>Returns!A644</f>
        <v>45874</v>
      </c>
      <c r="B654" s="18">
        <f>B653*(1+Returns!G644)</f>
        <v>123.32746409925777</v>
      </c>
      <c r="C654" s="18">
        <f t="shared" si="36"/>
        <v>131.49526044459591</v>
      </c>
      <c r="D654" s="27">
        <f t="shared" si="37"/>
        <v>-6.2114758491843558E-2</v>
      </c>
      <c r="E654" s="18">
        <f>E653*(1+Returns!H644)</f>
        <v>135.45607675526281</v>
      </c>
      <c r="F654" s="18">
        <f t="shared" si="38"/>
        <v>144.06442609680636</v>
      </c>
      <c r="G654" s="27">
        <f t="shared" si="39"/>
        <v>-5.9753469852155128E-2</v>
      </c>
    </row>
    <row r="655" spans="1:7" ht="15">
      <c r="A655" s="25">
        <f>Returns!A645</f>
        <v>45875</v>
      </c>
      <c r="B655" s="18">
        <f>B654*(1+Returns!G645)</f>
        <v>122.90828027100972</v>
      </c>
      <c r="C655" s="18">
        <f t="shared" si="36"/>
        <v>131.49526044459591</v>
      </c>
      <c r="D655" s="27">
        <f t="shared" si="37"/>
        <v>-6.5302583108721501E-2</v>
      </c>
      <c r="E655" s="18">
        <f>E654*(1+Returns!H645)</f>
        <v>135.04199914694416</v>
      </c>
      <c r="F655" s="18">
        <f t="shared" si="38"/>
        <v>144.06442609680636</v>
      </c>
      <c r="G655" s="27">
        <f t="shared" si="39"/>
        <v>-6.2627722848105694E-2</v>
      </c>
    </row>
    <row r="656" spans="1:7" ht="15">
      <c r="A656" s="25">
        <f>Returns!A646</f>
        <v>45876</v>
      </c>
      <c r="B656" s="18">
        <f>B655*(1+Returns!G646)</f>
        <v>123.06918667991128</v>
      </c>
      <c r="C656" s="18">
        <f t="shared" ref="C656:C719" si="40">MAX(C655,B656)</f>
        <v>131.49526044459591</v>
      </c>
      <c r="D656" s="27">
        <f t="shared" ref="D656:D719" si="41">B656/C656-1</f>
        <v>-6.40789161236337E-2</v>
      </c>
      <c r="E656" s="18">
        <f>E655*(1+Returns!H646)</f>
        <v>135.16262688773975</v>
      </c>
      <c r="F656" s="18">
        <f t="shared" ref="F656:F719" si="42">MAX(F655,E656)</f>
        <v>144.06442609680636</v>
      </c>
      <c r="G656" s="27">
        <f t="shared" ref="G656:G719" si="43">E656/F656-1</f>
        <v>-6.179040482266529E-2</v>
      </c>
    </row>
    <row r="657" spans="1:7" ht="15">
      <c r="A657" s="25">
        <f>Returns!A647</f>
        <v>45877</v>
      </c>
      <c r="B657" s="18">
        <f>B656*(1+Returns!G647)</f>
        <v>121.94003913640542</v>
      </c>
      <c r="C657" s="18">
        <f t="shared" si="40"/>
        <v>131.49526044459591</v>
      </c>
      <c r="D657" s="27">
        <f t="shared" si="41"/>
        <v>-7.2665898952430141E-2</v>
      </c>
      <c r="E657" s="18">
        <f>E656*(1+Returns!H647)</f>
        <v>133.88305409390512</v>
      </c>
      <c r="F657" s="18">
        <f t="shared" si="42"/>
        <v>144.06442609680636</v>
      </c>
      <c r="G657" s="27">
        <f t="shared" si="43"/>
        <v>-7.0672353187730796E-2</v>
      </c>
    </row>
    <row r="658" spans="1:7" ht="15">
      <c r="A658" s="25">
        <f>Returns!A648</f>
        <v>45880</v>
      </c>
      <c r="B658" s="18">
        <f>B657*(1+Returns!G648)</f>
        <v>122.79507398575527</v>
      </c>
      <c r="C658" s="18">
        <f t="shared" si="40"/>
        <v>131.49526044459591</v>
      </c>
      <c r="D658" s="27">
        <f t="shared" si="41"/>
        <v>-6.6163498436556778E-2</v>
      </c>
      <c r="E658" s="18">
        <f>E657*(1+Returns!H648)</f>
        <v>135.10163147436302</v>
      </c>
      <c r="F658" s="18">
        <f t="shared" si="42"/>
        <v>144.06442609680636</v>
      </c>
      <c r="G658" s="27">
        <f t="shared" si="43"/>
        <v>-6.2213794656153731E-2</v>
      </c>
    </row>
    <row r="659" spans="1:7" ht="15">
      <c r="A659" s="25">
        <f>Returns!A649</f>
        <v>45881</v>
      </c>
      <c r="B659" s="18">
        <f>B658*(1+Returns!G649)</f>
        <v>122.12827732387338</v>
      </c>
      <c r="C659" s="18">
        <f t="shared" si="40"/>
        <v>131.49526044459591</v>
      </c>
      <c r="D659" s="27">
        <f t="shared" si="41"/>
        <v>-7.1234378250988106E-2</v>
      </c>
      <c r="E659" s="18">
        <f>E658*(1+Returns!H649)</f>
        <v>134.56501565831567</v>
      </c>
      <c r="F659" s="18">
        <f t="shared" si="42"/>
        <v>144.06442609680636</v>
      </c>
      <c r="G659" s="27">
        <f t="shared" si="43"/>
        <v>-6.5938626875918782E-2</v>
      </c>
    </row>
    <row r="660" spans="1:7" ht="15">
      <c r="A660" s="25">
        <f>Returns!A650</f>
        <v>45882</v>
      </c>
      <c r="B660" s="18">
        <f>B659*(1+Returns!G650)</f>
        <v>122.36126550764133</v>
      </c>
      <c r="C660" s="18">
        <f t="shared" si="40"/>
        <v>131.49526044459591</v>
      </c>
      <c r="D660" s="27">
        <f t="shared" si="41"/>
        <v>-6.9462541129405087E-2</v>
      </c>
      <c r="E660" s="18">
        <f>E659*(1+Returns!H650)</f>
        <v>135.29011299016614</v>
      </c>
      <c r="F660" s="18">
        <f t="shared" si="42"/>
        <v>144.06442609680636</v>
      </c>
      <c r="G660" s="27">
        <f t="shared" si="43"/>
        <v>-6.0905480585083382E-2</v>
      </c>
    </row>
    <row r="661" spans="1:7" ht="15">
      <c r="A661" s="25">
        <f>Returns!A651</f>
        <v>45883</v>
      </c>
      <c r="B661" s="18">
        <f>B660*(1+Returns!G651)</f>
        <v>122.69819089862759</v>
      </c>
      <c r="C661" s="18">
        <f t="shared" si="40"/>
        <v>131.49526044459591</v>
      </c>
      <c r="D661" s="27">
        <f t="shared" si="41"/>
        <v>-6.6900278506044519E-2</v>
      </c>
      <c r="E661" s="18">
        <f>E660*(1+Returns!H651)</f>
        <v>135.35578797423307</v>
      </c>
      <c r="F661" s="18">
        <f t="shared" si="42"/>
        <v>144.06442609680636</v>
      </c>
      <c r="G661" s="27">
        <f t="shared" si="43"/>
        <v>-6.0449608265689347E-2</v>
      </c>
    </row>
    <row r="662" spans="1:7" ht="15">
      <c r="A662" s="25">
        <f>Returns!A652</f>
        <v>45887</v>
      </c>
      <c r="B662" s="18">
        <f>B661*(1+Returns!G652)</f>
        <v>122.91987501498423</v>
      </c>
      <c r="C662" s="18">
        <f t="shared" si="40"/>
        <v>131.49526044459591</v>
      </c>
      <c r="D662" s="27">
        <f t="shared" si="41"/>
        <v>-6.5214406972674333E-2</v>
      </c>
      <c r="E662" s="18">
        <f>E661*(1+Returns!H652)</f>
        <v>136.70569385690422</v>
      </c>
      <c r="F662" s="18">
        <f t="shared" si="42"/>
        <v>144.06442609680636</v>
      </c>
      <c r="G662" s="27">
        <f t="shared" si="43"/>
        <v>-5.107945409755299E-2</v>
      </c>
    </row>
    <row r="663" spans="1:7" ht="15">
      <c r="A663" s="25">
        <f>Returns!A653</f>
        <v>45888</v>
      </c>
      <c r="B663" s="18">
        <f>B662*(1+Returns!G653)</f>
        <v>123.69880872417589</v>
      </c>
      <c r="C663" s="18">
        <f t="shared" si="40"/>
        <v>131.49526044459591</v>
      </c>
      <c r="D663" s="27">
        <f t="shared" si="41"/>
        <v>-5.9290743210512642E-2</v>
      </c>
      <c r="E663" s="18">
        <f>E662*(1+Returns!H653)</f>
        <v>137.27556038395656</v>
      </c>
      <c r="F663" s="18">
        <f t="shared" si="42"/>
        <v>144.06442609680636</v>
      </c>
      <c r="G663" s="27">
        <f t="shared" si="43"/>
        <v>-4.71238174251839E-2</v>
      </c>
    </row>
    <row r="664" spans="1:7" ht="15">
      <c r="A664" s="25">
        <f>Returns!A654</f>
        <v>45889</v>
      </c>
      <c r="B664" s="18">
        <f>B663*(1+Returns!G654)</f>
        <v>124.82553973231133</v>
      </c>
      <c r="C664" s="18">
        <f t="shared" si="40"/>
        <v>131.49526044459591</v>
      </c>
      <c r="D664" s="27">
        <f t="shared" si="41"/>
        <v>-5.0722137738909656E-2</v>
      </c>
      <c r="E664" s="18">
        <f>E663*(1+Returns!H654)</f>
        <v>137.65968230008193</v>
      </c>
      <c r="F664" s="18">
        <f t="shared" si="42"/>
        <v>144.06442609680636</v>
      </c>
      <c r="G664" s="27">
        <f t="shared" si="43"/>
        <v>-4.4457497039697147E-2</v>
      </c>
    </row>
    <row r="665" spans="1:7" ht="15">
      <c r="A665" s="25">
        <f>Returns!A655</f>
        <v>45890</v>
      </c>
      <c r="B665" s="18">
        <f>B664*(1+Returns!G655)</f>
        <v>125.3695227829285</v>
      </c>
      <c r="C665" s="18">
        <f t="shared" si="40"/>
        <v>131.49526044459591</v>
      </c>
      <c r="D665" s="27">
        <f t="shared" si="41"/>
        <v>-4.6585235399023595E-2</v>
      </c>
      <c r="E665" s="18">
        <f>E664*(1+Returns!H655)</f>
        <v>137.84212115923694</v>
      </c>
      <c r="F665" s="18">
        <f t="shared" si="42"/>
        <v>144.06442609680636</v>
      </c>
      <c r="G665" s="27">
        <f t="shared" si="43"/>
        <v>-4.3191127096069093E-2</v>
      </c>
    </row>
    <row r="666" spans="1:7" ht="15">
      <c r="A666" s="25">
        <f>Returns!A656</f>
        <v>45891</v>
      </c>
      <c r="B666" s="18">
        <f>B665*(1+Returns!G656)</f>
        <v>123.97819559693893</v>
      </c>
      <c r="C666" s="18">
        <f t="shared" si="40"/>
        <v>131.49526044459591</v>
      </c>
      <c r="D666" s="27">
        <f t="shared" si="41"/>
        <v>-5.7166051629854886E-2</v>
      </c>
      <c r="E666" s="18">
        <f>E665*(1+Returns!H656)</f>
        <v>136.66805336513718</v>
      </c>
      <c r="F666" s="18">
        <f t="shared" si="42"/>
        <v>144.06442609680636</v>
      </c>
      <c r="G666" s="27">
        <f t="shared" si="43"/>
        <v>-5.1340729505971572E-2</v>
      </c>
    </row>
    <row r="667" spans="1:7" ht="15">
      <c r="A667" s="25">
        <f>Returns!A657</f>
        <v>45894</v>
      </c>
      <c r="B667" s="18">
        <f>B666*(1+Returns!G657)</f>
        <v>125.26436067566517</v>
      </c>
      <c r="C667" s="18">
        <f t="shared" si="40"/>
        <v>131.49526044459591</v>
      </c>
      <c r="D667" s="27">
        <f t="shared" si="41"/>
        <v>-4.7384976065780404E-2</v>
      </c>
      <c r="E667" s="18">
        <f>E666*(1+Returns!H657)</f>
        <v>137.20466918118453</v>
      </c>
      <c r="F667" s="18">
        <f t="shared" si="42"/>
        <v>144.06442609680636</v>
      </c>
      <c r="G667" s="27">
        <f t="shared" si="43"/>
        <v>-4.7615897286206632E-2</v>
      </c>
    </row>
    <row r="668" spans="1:7" ht="15">
      <c r="A668" s="25">
        <f>Returns!A658</f>
        <v>45895</v>
      </c>
      <c r="B668" s="18">
        <f>B667*(1+Returns!G658)</f>
        <v>124.25857294764123</v>
      </c>
      <c r="C668" s="18">
        <f t="shared" si="40"/>
        <v>131.49526044459591</v>
      </c>
      <c r="D668" s="27">
        <f t="shared" si="41"/>
        <v>-5.5033827626082332E-2</v>
      </c>
      <c r="E668" s="18">
        <f>E667*(1+Returns!H658)</f>
        <v>135.79953148481698</v>
      </c>
      <c r="F668" s="18">
        <f t="shared" si="42"/>
        <v>144.06442609680636</v>
      </c>
      <c r="G668" s="27">
        <f t="shared" si="43"/>
        <v>-5.7369434189365021E-2</v>
      </c>
    </row>
    <row r="669" spans="1:7" ht="15">
      <c r="A669" s="25">
        <f>Returns!A659</f>
        <v>45897</v>
      </c>
      <c r="B669" s="18">
        <f>B668*(1+Returns!G659)</f>
        <v>122.69358953426354</v>
      </c>
      <c r="C669" s="18">
        <f t="shared" si="40"/>
        <v>131.49526044459591</v>
      </c>
      <c r="D669" s="27">
        <f t="shared" si="41"/>
        <v>-6.6935271131242535E-2</v>
      </c>
      <c r="E669" s="18">
        <f>E668*(1+Returns!H659)</f>
        <v>134.63920187989939</v>
      </c>
      <c r="F669" s="18">
        <f t="shared" si="42"/>
        <v>144.06442609680636</v>
      </c>
      <c r="G669" s="27">
        <f t="shared" si="43"/>
        <v>-6.5423675172755935E-2</v>
      </c>
    </row>
    <row r="670" spans="1:7" ht="15">
      <c r="A670" s="25">
        <f>Returns!A660</f>
        <v>45898</v>
      </c>
      <c r="B670" s="18">
        <f>B669*(1+Returns!G660)</f>
        <v>121.39715560531874</v>
      </c>
      <c r="C670" s="18">
        <f t="shared" si="40"/>
        <v>131.49526044459591</v>
      </c>
      <c r="D670" s="27">
        <f t="shared" si="41"/>
        <v>-7.679443962569199E-2</v>
      </c>
      <c r="E670" s="18">
        <f>E669*(1+Returns!H660)</f>
        <v>134.23227242313959</v>
      </c>
      <c r="F670" s="18">
        <f t="shared" si="42"/>
        <v>144.06442609680636</v>
      </c>
      <c r="G670" s="27">
        <f t="shared" si="43"/>
        <v>-6.8248310426474723E-2</v>
      </c>
    </row>
    <row r="671" spans="1:7" ht="15">
      <c r="A671" s="25">
        <f>Returns!A661</f>
        <v>45901</v>
      </c>
      <c r="B671" s="18">
        <f>B670*(1+Returns!G661)</f>
        <v>122.05227548082054</v>
      </c>
      <c r="C671" s="18">
        <f t="shared" si="40"/>
        <v>131.49526044459591</v>
      </c>
      <c r="D671" s="27">
        <f t="shared" si="41"/>
        <v>-7.1812359866415654E-2</v>
      </c>
      <c r="E671" s="18">
        <f>E670*(1+Returns!H661)</f>
        <v>135.32144250127769</v>
      </c>
      <c r="F671" s="18">
        <f t="shared" si="42"/>
        <v>144.06442609680636</v>
      </c>
      <c r="G671" s="27">
        <f t="shared" si="43"/>
        <v>-6.0688011831968036E-2</v>
      </c>
    </row>
    <row r="672" spans="1:7" ht="15">
      <c r="A672" s="25">
        <f>Returns!A662</f>
        <v>45902</v>
      </c>
      <c r="B672" s="18">
        <f>B671*(1+Returns!G662)</f>
        <v>121.90528616702196</v>
      </c>
      <c r="C672" s="18">
        <f t="shared" si="40"/>
        <v>131.49526044459591</v>
      </c>
      <c r="D672" s="27">
        <f t="shared" si="41"/>
        <v>-7.2930189614055285E-2</v>
      </c>
      <c r="E672" s="18">
        <f>E671*(1+Returns!H662)</f>
        <v>135.07167578216976</v>
      </c>
      <c r="F672" s="18">
        <f t="shared" si="42"/>
        <v>144.06442609680636</v>
      </c>
      <c r="G672" s="27">
        <f t="shared" si="43"/>
        <v>-6.2421727266617322E-2</v>
      </c>
    </row>
    <row r="673" spans="1:7" ht="15">
      <c r="A673" s="25">
        <f>Returns!A663</f>
        <v>45903</v>
      </c>
      <c r="B673" s="18">
        <f>B672*(1+Returns!G663)</f>
        <v>122.05026954379278</v>
      </c>
      <c r="C673" s="18">
        <f t="shared" si="40"/>
        <v>131.49526044459591</v>
      </c>
      <c r="D673" s="27">
        <f t="shared" si="41"/>
        <v>-7.1827614690209152E-2</v>
      </c>
      <c r="E673" s="18">
        <f>E672*(1+Returns!H663)</f>
        <v>135.81601731183554</v>
      </c>
      <c r="F673" s="18">
        <f t="shared" si="42"/>
        <v>144.06442609680636</v>
      </c>
      <c r="G673" s="27">
        <f t="shared" si="43"/>
        <v>-5.7255000477551388E-2</v>
      </c>
    </row>
    <row r="674" spans="1:7" ht="15">
      <c r="A674" s="25">
        <f>Returns!A664</f>
        <v>45904</v>
      </c>
      <c r="B674" s="18">
        <f>B673*(1+Returns!G664)</f>
        <v>121.86993286548389</v>
      </c>
      <c r="C674" s="18">
        <f t="shared" si="40"/>
        <v>131.49526044459591</v>
      </c>
      <c r="D674" s="27">
        <f t="shared" si="41"/>
        <v>-7.3199045703761678E-2</v>
      </c>
      <c r="E674" s="18">
        <f>E673*(1+Returns!H664)</f>
        <v>135.92180136853821</v>
      </c>
      <c r="F674" s="18">
        <f t="shared" si="42"/>
        <v>144.06442609680636</v>
      </c>
      <c r="G674" s="27">
        <f t="shared" si="43"/>
        <v>-5.6520717493412143E-2</v>
      </c>
    </row>
    <row r="675" spans="1:7" ht="15">
      <c r="A675" s="25">
        <f>Returns!A665</f>
        <v>45905</v>
      </c>
      <c r="B675" s="18">
        <f>B674*(1+Returns!G665)</f>
        <v>121.65174585469723</v>
      </c>
      <c r="C675" s="18">
        <f t="shared" si="40"/>
        <v>131.49526044459591</v>
      </c>
      <c r="D675" s="27">
        <f t="shared" si="41"/>
        <v>-7.4858322319884318E-2</v>
      </c>
      <c r="E675" s="18">
        <f>E674*(1+Returns!H665)</f>
        <v>135.95861542236227</v>
      </c>
      <c r="F675" s="18">
        <f t="shared" si="42"/>
        <v>144.06442609680636</v>
      </c>
      <c r="G675" s="27">
        <f t="shared" si="43"/>
        <v>-5.6265178670807048E-2</v>
      </c>
    </row>
    <row r="676" spans="1:7" ht="15">
      <c r="A676" s="25">
        <f>Returns!A666</f>
        <v>45908</v>
      </c>
      <c r="B676" s="18">
        <f>B675*(1+Returns!G666)</f>
        <v>121.42828619608342</v>
      </c>
      <c r="C676" s="18">
        <f t="shared" si="40"/>
        <v>131.49526044459591</v>
      </c>
      <c r="D676" s="27">
        <f t="shared" si="41"/>
        <v>-7.6557696562410404E-2</v>
      </c>
      <c r="E676" s="18">
        <f>E675*(1+Returns!H666)</f>
        <v>136.13529068183695</v>
      </c>
      <c r="F676" s="18">
        <f t="shared" si="42"/>
        <v>144.06442609680636</v>
      </c>
      <c r="G676" s="27">
        <f t="shared" si="43"/>
        <v>-5.5038815825645293E-2</v>
      </c>
    </row>
    <row r="677" spans="1:7" ht="15">
      <c r="A677" s="25">
        <f>Returns!A667</f>
        <v>45909</v>
      </c>
      <c r="B677" s="18">
        <f>B676*(1+Returns!G667)</f>
        <v>122.51604940175609</v>
      </c>
      <c r="C677" s="18">
        <f t="shared" si="40"/>
        <v>131.49526044459591</v>
      </c>
      <c r="D677" s="27">
        <f t="shared" si="41"/>
        <v>-6.8285434870278938E-2</v>
      </c>
      <c r="E677" s="18">
        <f>E676*(1+Returns!H667)</f>
        <v>136.65981045162783</v>
      </c>
      <c r="F677" s="18">
        <f t="shared" si="42"/>
        <v>144.06442609680636</v>
      </c>
      <c r="G677" s="27">
        <f t="shared" si="43"/>
        <v>-5.1397946361878888E-2</v>
      </c>
    </row>
    <row r="678" spans="1:7" ht="15">
      <c r="A678" s="25">
        <f>Returns!A668</f>
        <v>45910</v>
      </c>
      <c r="B678" s="18">
        <f>B677*(1+Returns!G668)</f>
        <v>123.39295373733606</v>
      </c>
      <c r="C678" s="18">
        <f t="shared" si="40"/>
        <v>131.49526044459591</v>
      </c>
      <c r="D678" s="27">
        <f t="shared" si="41"/>
        <v>-6.1616720480002996E-2</v>
      </c>
      <c r="E678" s="18">
        <f>E677*(1+Returns!H668)</f>
        <v>137.23406675944227</v>
      </c>
      <c r="F678" s="18">
        <f t="shared" si="42"/>
        <v>144.06442609680636</v>
      </c>
      <c r="G678" s="27">
        <f t="shared" si="43"/>
        <v>-4.7411838733694922E-2</v>
      </c>
    </row>
    <row r="679" spans="1:7" ht="15">
      <c r="A679" s="25">
        <f>Returns!A669</f>
        <v>45911</v>
      </c>
      <c r="B679" s="18">
        <f>B678*(1+Returns!G669)</f>
        <v>123.40056722457483</v>
      </c>
      <c r="C679" s="18">
        <f t="shared" si="40"/>
        <v>131.49526044459591</v>
      </c>
      <c r="D679" s="27">
        <f t="shared" si="41"/>
        <v>-6.1558821151821652E-2</v>
      </c>
      <c r="E679" s="18">
        <f>E678*(1+Returns!H669)</f>
        <v>137.41211583783516</v>
      </c>
      <c r="F679" s="18">
        <f t="shared" si="42"/>
        <v>144.06442609680636</v>
      </c>
      <c r="G679" s="27">
        <f t="shared" si="43"/>
        <v>-4.6175939745881966E-2</v>
      </c>
    </row>
    <row r="680" spans="1:7" ht="15">
      <c r="A680" s="25">
        <f>Returns!A670</f>
        <v>45912</v>
      </c>
      <c r="B680" s="18">
        <f>B679*(1+Returns!G670)</f>
        <v>124.12580841846805</v>
      </c>
      <c r="C680" s="18">
        <f t="shared" si="40"/>
        <v>131.49526044459591</v>
      </c>
      <c r="D680" s="27">
        <f t="shared" si="41"/>
        <v>-5.6043480207660368E-2</v>
      </c>
      <c r="E680" s="18">
        <f>E679*(1+Returns!H670)</f>
        <v>138.00835324834105</v>
      </c>
      <c r="F680" s="18">
        <f t="shared" si="42"/>
        <v>144.06442609680636</v>
      </c>
      <c r="G680" s="27">
        <f t="shared" si="43"/>
        <v>-4.2037253835279453E-2</v>
      </c>
    </row>
    <row r="681" spans="1:7" ht="15">
      <c r="A681" s="25">
        <f>Returns!A671</f>
        <v>45915</v>
      </c>
      <c r="B681" s="18">
        <f>B680*(1+Returns!G671)</f>
        <v>123.85551012518225</v>
      </c>
      <c r="C681" s="18">
        <f t="shared" si="40"/>
        <v>131.49526044459591</v>
      </c>
      <c r="D681" s="27">
        <f t="shared" si="41"/>
        <v>-5.8099054624349722E-2</v>
      </c>
      <c r="E681" s="18">
        <f>E680*(1+Returns!H671)</f>
        <v>137.76216060501258</v>
      </c>
      <c r="F681" s="18">
        <f t="shared" si="42"/>
        <v>144.06442609680636</v>
      </c>
      <c r="G681" s="27">
        <f t="shared" si="43"/>
        <v>-4.3746160398812628E-2</v>
      </c>
    </row>
    <row r="682" spans="1:7" ht="15">
      <c r="A682" s="25">
        <f>Returns!A672</f>
        <v>45916</v>
      </c>
      <c r="B682" s="18">
        <f>B681*(1+Returns!G672)</f>
        <v>124.3154463186457</v>
      </c>
      <c r="C682" s="18">
        <f t="shared" si="40"/>
        <v>131.49526044459591</v>
      </c>
      <c r="D682" s="27">
        <f t="shared" si="41"/>
        <v>-5.4601314919447974E-2</v>
      </c>
      <c r="E682" s="18">
        <f>E681*(1+Returns!H672)</f>
        <v>138.69581008842445</v>
      </c>
      <c r="F682" s="18">
        <f t="shared" si="42"/>
        <v>144.06442609680636</v>
      </c>
      <c r="G682" s="27">
        <f t="shared" si="43"/>
        <v>-3.7265382952862858E-2</v>
      </c>
    </row>
    <row r="683" spans="1:7" ht="15">
      <c r="A683" s="25">
        <f>Returns!A673</f>
        <v>45917</v>
      </c>
      <c r="B683" s="18">
        <f>B682*(1+Returns!G673)</f>
        <v>124.81184797052485</v>
      </c>
      <c r="C683" s="18">
        <f t="shared" si="40"/>
        <v>131.49526044459591</v>
      </c>
      <c r="D683" s="27">
        <f t="shared" si="41"/>
        <v>-5.0826261353252633E-2</v>
      </c>
      <c r="E683" s="18">
        <f>E682*(1+Returns!H673)</f>
        <v>139.19670661259818</v>
      </c>
      <c r="F683" s="18">
        <f t="shared" si="42"/>
        <v>144.06442609680636</v>
      </c>
      <c r="G683" s="27">
        <f t="shared" si="43"/>
        <v>-3.3788490442027919E-2</v>
      </c>
    </row>
    <row r="684" spans="1:7" ht="15">
      <c r="A684" s="25">
        <f>Returns!A674</f>
        <v>45918</v>
      </c>
      <c r="B684" s="18">
        <f>B683*(1+Returns!G674)</f>
        <v>125.46156669198531</v>
      </c>
      <c r="C684" s="18">
        <f t="shared" si="40"/>
        <v>131.49526044459591</v>
      </c>
      <c r="D684" s="27">
        <f t="shared" si="41"/>
        <v>-4.5885256489170856E-2</v>
      </c>
      <c r="E684" s="18">
        <f>E683*(1+Returns!H674)</f>
        <v>139.70968845006809</v>
      </c>
      <c r="F684" s="18">
        <f t="shared" si="42"/>
        <v>144.06442609680636</v>
      </c>
      <c r="G684" s="27">
        <f t="shared" si="43"/>
        <v>-3.0227709676308501E-2</v>
      </c>
    </row>
    <row r="685" spans="1:7" ht="15">
      <c r="A685" s="25">
        <f>Returns!A675</f>
        <v>45919</v>
      </c>
      <c r="B685" s="18">
        <f>B684*(1+Returns!G675)</f>
        <v>124.64977889927758</v>
      </c>
      <c r="C685" s="18">
        <f t="shared" si="40"/>
        <v>131.49526044459591</v>
      </c>
      <c r="D685" s="27">
        <f t="shared" si="41"/>
        <v>-5.2058770195771431E-2</v>
      </c>
      <c r="E685" s="18">
        <f>E684*(1+Returns!H675)</f>
        <v>139.17912602362912</v>
      </c>
      <c r="F685" s="18">
        <f t="shared" si="42"/>
        <v>144.06442609680636</v>
      </c>
      <c r="G685" s="27">
        <f t="shared" si="43"/>
        <v>-3.3910523267516979E-2</v>
      </c>
    </row>
    <row r="686" spans="1:7" ht="15">
      <c r="A686" s="25">
        <f>Returns!A676</f>
        <v>45922</v>
      </c>
      <c r="B686" s="18">
        <f>B685*(1+Returns!G676)</f>
        <v>122.93691132993902</v>
      </c>
      <c r="C686" s="18">
        <f t="shared" si="40"/>
        <v>131.49526044459591</v>
      </c>
      <c r="D686" s="27">
        <f t="shared" si="41"/>
        <v>-6.5084848577206755E-2</v>
      </c>
      <c r="E686" s="18">
        <f>E685*(1+Returns!H676)</f>
        <v>138.49385870744663</v>
      </c>
      <c r="F686" s="18">
        <f t="shared" si="42"/>
        <v>144.06442609680636</v>
      </c>
      <c r="G686" s="27">
        <f t="shared" si="43"/>
        <v>-3.8667195922583275E-2</v>
      </c>
    </row>
    <row r="687" spans="1:7" ht="15">
      <c r="A687" s="25">
        <f>Returns!A677</f>
        <v>45923</v>
      </c>
      <c r="B687" s="18">
        <f>B686*(1+Returns!G677)</f>
        <v>122.48558558057788</v>
      </c>
      <c r="C687" s="18">
        <f t="shared" si="40"/>
        <v>131.49526044459591</v>
      </c>
      <c r="D687" s="27">
        <f t="shared" si="41"/>
        <v>-6.8517107259650323E-2</v>
      </c>
      <c r="E687" s="18">
        <f>E686*(1+Returns!H677)</f>
        <v>138.31334104818507</v>
      </c>
      <c r="F687" s="18">
        <f t="shared" si="42"/>
        <v>144.06442609680636</v>
      </c>
      <c r="G687" s="27">
        <f t="shared" si="43"/>
        <v>-3.9920230166722526E-2</v>
      </c>
    </row>
    <row r="688" spans="1:7" ht="15">
      <c r="A688" s="25">
        <f>Returns!A678</f>
        <v>45924</v>
      </c>
      <c r="B688" s="18">
        <f>B687*(1+Returns!G678)</f>
        <v>121.73460053790504</v>
      </c>
      <c r="C688" s="18">
        <f t="shared" si="40"/>
        <v>131.49526044459591</v>
      </c>
      <c r="D688" s="27">
        <f t="shared" si="41"/>
        <v>-7.4228225973235196E-2</v>
      </c>
      <c r="E688" s="18">
        <f>E687*(1+Returns!H678)</f>
        <v>137.69457515401248</v>
      </c>
      <c r="F688" s="18">
        <f t="shared" si="42"/>
        <v>144.06442609680636</v>
      </c>
      <c r="G688" s="27">
        <f t="shared" si="43"/>
        <v>-4.4215293916581189E-2</v>
      </c>
    </row>
    <row r="689" spans="1:7" ht="15">
      <c r="A689" s="25">
        <f>Returns!A679</f>
        <v>45925</v>
      </c>
      <c r="B689" s="18">
        <f>B688*(1+Returns!G679)</f>
        <v>120.62645127829474</v>
      </c>
      <c r="C689" s="18">
        <f t="shared" si="40"/>
        <v>131.49526044459591</v>
      </c>
      <c r="D689" s="27">
        <f t="shared" si="41"/>
        <v>-8.2655520279231842E-2</v>
      </c>
      <c r="E689" s="18">
        <f>E688*(1+Returns!H679)</f>
        <v>136.78208033534906</v>
      </c>
      <c r="F689" s="18">
        <f t="shared" si="42"/>
        <v>144.06442609680636</v>
      </c>
      <c r="G689" s="27">
        <f t="shared" si="43"/>
        <v>-5.054922966592601E-2</v>
      </c>
    </row>
    <row r="690" spans="1:7" ht="15">
      <c r="A690" s="25">
        <f>Returns!A680</f>
        <v>45926</v>
      </c>
      <c r="B690" s="18">
        <f>B689*(1+Returns!G680)</f>
        <v>119.46219727595209</v>
      </c>
      <c r="C690" s="18">
        <f t="shared" si="40"/>
        <v>131.49526044459591</v>
      </c>
      <c r="D690" s="27">
        <f t="shared" si="41"/>
        <v>-9.1509481999268116E-2</v>
      </c>
      <c r="E690" s="18">
        <f>E689*(1+Returns!H680)</f>
        <v>135.48436883860984</v>
      </c>
      <c r="F690" s="18">
        <f t="shared" si="42"/>
        <v>144.06442609680636</v>
      </c>
      <c r="G690" s="27">
        <f t="shared" si="43"/>
        <v>-5.955708491443279E-2</v>
      </c>
    </row>
    <row r="691" spans="1:7" ht="15">
      <c r="A691" s="25">
        <f>Returns!A681</f>
        <v>45929</v>
      </c>
      <c r="B691" s="18">
        <f>B690*(1+Returns!G681)</f>
        <v>119.25994074781788</v>
      </c>
      <c r="C691" s="18">
        <f t="shared" si="40"/>
        <v>131.49526044459591</v>
      </c>
      <c r="D691" s="27">
        <f t="shared" si="41"/>
        <v>-9.3047609894147065E-2</v>
      </c>
      <c r="E691" s="18">
        <f>E690*(1+Returns!H681)</f>
        <v>135.37556882006328</v>
      </c>
      <c r="F691" s="18">
        <f t="shared" si="42"/>
        <v>144.06442609680636</v>
      </c>
      <c r="G691" s="27">
        <f t="shared" si="43"/>
        <v>-6.0312302711735821E-2</v>
      </c>
    </row>
    <row r="692" spans="1:7" ht="15">
      <c r="A692" s="25">
        <f>Returns!A682</f>
        <v>45930</v>
      </c>
      <c r="B692" s="18">
        <f>B691*(1+Returns!G682)</f>
        <v>119.02603934115196</v>
      </c>
      <c r="C692" s="18">
        <f t="shared" si="40"/>
        <v>131.49526044459591</v>
      </c>
      <c r="D692" s="27">
        <f t="shared" si="41"/>
        <v>-9.4826391926861375E-2</v>
      </c>
      <c r="E692" s="18">
        <f>E691*(1+Returns!H682)</f>
        <v>135.24477696586496</v>
      </c>
      <c r="F692" s="18">
        <f t="shared" si="42"/>
        <v>144.06442609680636</v>
      </c>
      <c r="G692" s="27">
        <f t="shared" si="43"/>
        <v>-6.12201732925719E-2</v>
      </c>
    </row>
    <row r="693" spans="1:7" ht="15">
      <c r="A693" s="25">
        <f>Returns!A683</f>
        <v>45931</v>
      </c>
      <c r="B693" s="18">
        <f>B692*(1+Returns!G683)</f>
        <v>120.15449006409776</v>
      </c>
      <c r="C693" s="18">
        <f t="shared" si="40"/>
        <v>131.49526044459591</v>
      </c>
      <c r="D693" s="27">
        <f t="shared" si="41"/>
        <v>-8.6244708304726081E-2</v>
      </c>
      <c r="E693" s="18">
        <f>E692*(1+Returns!H683)</f>
        <v>136.48231948717043</v>
      </c>
      <c r="F693" s="18">
        <f t="shared" si="42"/>
        <v>144.06442609680636</v>
      </c>
      <c r="G693" s="27">
        <f t="shared" si="43"/>
        <v>-5.2629971291740074E-2</v>
      </c>
    </row>
    <row r="694" spans="1:7" ht="15">
      <c r="A694" s="25">
        <f>Returns!A684</f>
        <v>45933</v>
      </c>
      <c r="B694" s="18">
        <f>B693*(1+Returns!G684)</f>
        <v>119.85428003727519</v>
      </c>
      <c r="C694" s="18">
        <f t="shared" si="40"/>
        <v>131.49526044459591</v>
      </c>
      <c r="D694" s="27">
        <f t="shared" si="41"/>
        <v>-8.8527756574355965E-2</v>
      </c>
      <c r="E694" s="18">
        <f>E693*(1+Returns!H684)</f>
        <v>136.80076641922884</v>
      </c>
      <c r="F694" s="18">
        <f t="shared" si="42"/>
        <v>144.06442609680636</v>
      </c>
      <c r="G694" s="27">
        <f t="shared" si="43"/>
        <v>-5.0419523225647578E-2</v>
      </c>
    </row>
    <row r="695" spans="1:7" ht="15">
      <c r="A695" s="25">
        <f>Returns!A685</f>
        <v>45936</v>
      </c>
      <c r="B695" s="18">
        <f>B694*(1+Returns!G685)</f>
        <v>121.42309145111543</v>
      </c>
      <c r="C695" s="18">
        <f t="shared" si="40"/>
        <v>131.49526044459591</v>
      </c>
      <c r="D695" s="27">
        <f t="shared" si="41"/>
        <v>-7.6597201750281285E-2</v>
      </c>
      <c r="E695" s="18">
        <f>E694*(1+Returns!H685)</f>
        <v>137.80860212422442</v>
      </c>
      <c r="F695" s="18">
        <f t="shared" si="42"/>
        <v>144.06442609680636</v>
      </c>
      <c r="G695" s="27">
        <f t="shared" si="43"/>
        <v>-4.3423794076535183E-2</v>
      </c>
    </row>
    <row r="696" spans="1:7" ht="15">
      <c r="A696" s="25">
        <f>Returns!A686</f>
        <v>45937</v>
      </c>
      <c r="B696" s="18">
        <f>B695*(1+Returns!G686)</f>
        <v>121.75323965538227</v>
      </c>
      <c r="C696" s="18">
        <f t="shared" si="40"/>
        <v>131.49526044459591</v>
      </c>
      <c r="D696" s="27">
        <f t="shared" si="41"/>
        <v>-7.4086478526108834E-2</v>
      </c>
      <c r="E696" s="18">
        <f>E695*(1+Returns!H686)</f>
        <v>137.97703447018981</v>
      </c>
      <c r="F696" s="18">
        <f t="shared" si="42"/>
        <v>144.06442609680636</v>
      </c>
      <c r="G696" s="27">
        <f t="shared" si="43"/>
        <v>-4.22546480872803E-2</v>
      </c>
    </row>
    <row r="697" spans="1:7" ht="15">
      <c r="A697" s="25">
        <f>Returns!A687</f>
        <v>45938</v>
      </c>
      <c r="B697" s="18">
        <f>B696*(1+Returns!G687)</f>
        <v>122.07386551854319</v>
      </c>
      <c r="C697" s="18">
        <f t="shared" si="40"/>
        <v>131.49526044459591</v>
      </c>
      <c r="D697" s="27">
        <f t="shared" si="41"/>
        <v>-7.1648171152315587E-2</v>
      </c>
      <c r="E697" s="18">
        <f>E696*(1+Returns!H687)</f>
        <v>137.63550094052917</v>
      </c>
      <c r="F697" s="18">
        <f t="shared" si="42"/>
        <v>144.06442609680636</v>
      </c>
      <c r="G697" s="27">
        <f t="shared" si="43"/>
        <v>-4.4625348050581048E-2</v>
      </c>
    </row>
    <row r="698" spans="1:7" ht="15">
      <c r="A698" s="25">
        <f>Returns!A688</f>
        <v>45939</v>
      </c>
      <c r="B698" s="18">
        <f>B697*(1+Returns!G688)</f>
        <v>122.78832337413107</v>
      </c>
      <c r="C698" s="18">
        <f t="shared" si="40"/>
        <v>131.49526044459591</v>
      </c>
      <c r="D698" s="27">
        <f t="shared" si="41"/>
        <v>-6.6214835736482014E-2</v>
      </c>
      <c r="E698" s="18">
        <f>E697*(1+Returns!H688)</f>
        <v>138.38093723214541</v>
      </c>
      <c r="F698" s="18">
        <f t="shared" si="42"/>
        <v>144.06442609680636</v>
      </c>
      <c r="G698" s="27">
        <f t="shared" si="43"/>
        <v>-3.9451022147839798E-2</v>
      </c>
    </row>
    <row r="699" spans="1:7" ht="15">
      <c r="A699" s="25">
        <f>Returns!A689</f>
        <v>45940</v>
      </c>
      <c r="B699" s="18">
        <f>B698*(1+Returns!G689)</f>
        <v>122.84990767846779</v>
      </c>
      <c r="C699" s="18">
        <f t="shared" si="40"/>
        <v>131.49526044459591</v>
      </c>
      <c r="D699" s="27">
        <f t="shared" si="41"/>
        <v>-6.5746497150524719E-2</v>
      </c>
      <c r="E699" s="18">
        <f>E698*(1+Returns!H689)</f>
        <v>138.94996658829444</v>
      </c>
      <c r="F699" s="18">
        <f t="shared" si="42"/>
        <v>144.06442609680636</v>
      </c>
      <c r="G699" s="27">
        <f t="shared" si="43"/>
        <v>-3.5501196562398918E-2</v>
      </c>
    </row>
    <row r="700" spans="1:7" ht="15">
      <c r="A700" s="25">
        <f>Returns!A690</f>
        <v>45943</v>
      </c>
      <c r="B700" s="18">
        <f>B699*(1+Returns!G690)</f>
        <v>122.13170003636266</v>
      </c>
      <c r="C700" s="18">
        <f t="shared" si="40"/>
        <v>131.49526044459591</v>
      </c>
      <c r="D700" s="27">
        <f t="shared" si="41"/>
        <v>-7.1208349080980615E-2</v>
      </c>
      <c r="E700" s="18">
        <f>E699*(1+Returns!H690)</f>
        <v>138.63124059926824</v>
      </c>
      <c r="F700" s="18">
        <f t="shared" si="42"/>
        <v>144.06442609680636</v>
      </c>
      <c r="G700" s="27">
        <f t="shared" si="43"/>
        <v>-3.7713581657467632E-2</v>
      </c>
    </row>
    <row r="701" spans="1:7" ht="15">
      <c r="A701" s="25">
        <f>Returns!A691</f>
        <v>45944</v>
      </c>
      <c r="B701" s="18">
        <f>B700*(1+Returns!G691)</f>
        <v>121.79735740223599</v>
      </c>
      <c r="C701" s="18">
        <f t="shared" si="40"/>
        <v>131.49526044459591</v>
      </c>
      <c r="D701" s="27">
        <f t="shared" si="41"/>
        <v>-7.3750970259844673E-2</v>
      </c>
      <c r="E701" s="18">
        <f>E700*(1+Returns!H691)</f>
        <v>138.18145443203628</v>
      </c>
      <c r="F701" s="18">
        <f t="shared" si="42"/>
        <v>144.06442609680636</v>
      </c>
      <c r="G701" s="27">
        <f t="shared" si="43"/>
        <v>-4.083569986123381E-2</v>
      </c>
    </row>
    <row r="702" spans="1:7" ht="15">
      <c r="A702" s="25">
        <f>Returns!A692</f>
        <v>45945</v>
      </c>
      <c r="B702" s="18">
        <f>B701*(1+Returns!G692)</f>
        <v>121.96423259351792</v>
      </c>
      <c r="C702" s="18">
        <f t="shared" si="40"/>
        <v>131.49526044459591</v>
      </c>
      <c r="D702" s="27">
        <f t="shared" si="41"/>
        <v>-7.2481911658662357E-2</v>
      </c>
      <c r="E702" s="18">
        <f>E701*(1+Returns!H692)</f>
        <v>139.15989255877409</v>
      </c>
      <c r="F702" s="18">
        <f t="shared" si="42"/>
        <v>144.06442609680636</v>
      </c>
      <c r="G702" s="27">
        <f t="shared" si="43"/>
        <v>-3.4044029264633235E-2</v>
      </c>
    </row>
    <row r="703" spans="1:7" ht="15">
      <c r="A703" s="25">
        <f>Returns!A693</f>
        <v>45946</v>
      </c>
      <c r="B703" s="18">
        <f>B702*(1+Returns!G693)</f>
        <v>123.21719742805712</v>
      </c>
      <c r="C703" s="18">
        <f t="shared" si="40"/>
        <v>131.49526044459591</v>
      </c>
      <c r="D703" s="27">
        <f t="shared" si="41"/>
        <v>-6.2953318534447633E-2</v>
      </c>
      <c r="E703" s="18">
        <f>E702*(1+Returns!H693)</f>
        <v>140.5982809661466</v>
      </c>
      <c r="F703" s="18">
        <f t="shared" si="42"/>
        <v>144.06442609680636</v>
      </c>
      <c r="G703" s="27">
        <f t="shared" si="43"/>
        <v>-2.4059687908870919E-2</v>
      </c>
    </row>
    <row r="704" spans="1:7" ht="15">
      <c r="A704" s="25">
        <f>Returns!A694</f>
        <v>45947</v>
      </c>
      <c r="B704" s="18">
        <f>B703*(1+Returns!G694)</f>
        <v>123.67811733274706</v>
      </c>
      <c r="C704" s="18">
        <f t="shared" si="40"/>
        <v>131.49526044459591</v>
      </c>
      <c r="D704" s="27">
        <f t="shared" si="41"/>
        <v>-5.9448097866177552E-2</v>
      </c>
      <c r="E704" s="18">
        <f>E703*(1+Returns!H694)</f>
        <v>141.28271111142581</v>
      </c>
      <c r="F704" s="18">
        <f t="shared" si="42"/>
        <v>144.06442609680636</v>
      </c>
      <c r="G704" s="27">
        <f t="shared" si="43"/>
        <v>-1.930882634073261E-2</v>
      </c>
    </row>
    <row r="705" spans="1:7" ht="15">
      <c r="A705" s="25">
        <f>Returns!A695</f>
        <v>45950</v>
      </c>
      <c r="B705" s="18">
        <f>B704*(1+Returns!G695)</f>
        <v>124.88119022271543</v>
      </c>
      <c r="C705" s="18">
        <f t="shared" si="40"/>
        <v>131.49526044459591</v>
      </c>
      <c r="D705" s="27">
        <f t="shared" si="41"/>
        <v>-5.0298924839707437E-2</v>
      </c>
      <c r="E705" s="18">
        <f>E704*(1+Returns!H695)</f>
        <v>142.0152356518029</v>
      </c>
      <c r="F705" s="18">
        <f t="shared" si="42"/>
        <v>144.06442609680636</v>
      </c>
      <c r="G705" s="27">
        <f t="shared" si="43"/>
        <v>-1.4224125278689326E-2</v>
      </c>
    </row>
    <row r="706" spans="1:7" ht="15">
      <c r="A706" s="25">
        <f>Returns!A696</f>
        <v>45951</v>
      </c>
      <c r="B706" s="18">
        <f>B705*(1+Returns!G696)</f>
        <v>124.96021407301686</v>
      </c>
      <c r="C706" s="18">
        <f t="shared" si="40"/>
        <v>131.49526044459591</v>
      </c>
      <c r="D706" s="27">
        <f t="shared" si="41"/>
        <v>-4.9697961352246023E-2</v>
      </c>
      <c r="E706" s="18">
        <f>E705*(1+Returns!H696)</f>
        <v>142.15508612449318</v>
      </c>
      <c r="F706" s="18">
        <f t="shared" si="42"/>
        <v>144.06442609680636</v>
      </c>
      <c r="G706" s="27">
        <f t="shared" si="43"/>
        <v>-1.3253375757247388E-2</v>
      </c>
    </row>
    <row r="707" spans="1:7" ht="15">
      <c r="A707" s="25">
        <f>Returns!A697</f>
        <v>45953</v>
      </c>
      <c r="B707" s="18">
        <f>B706*(1+Returns!G697)</f>
        <v>125.65483659404195</v>
      </c>
      <c r="C707" s="18">
        <f t="shared" si="40"/>
        <v>131.49526044459591</v>
      </c>
      <c r="D707" s="27">
        <f t="shared" si="41"/>
        <v>-4.4415470419291392E-2</v>
      </c>
      <c r="E707" s="18">
        <f>E706*(1+Returns!H697)</f>
        <v>142.28038270301863</v>
      </c>
      <c r="F707" s="18">
        <f t="shared" si="42"/>
        <v>144.06442609680636</v>
      </c>
      <c r="G707" s="27">
        <f t="shared" si="43"/>
        <v>-1.2383649747016001E-2</v>
      </c>
    </row>
    <row r="708" spans="1:7" ht="15">
      <c r="A708" s="25">
        <f>Returns!A698</f>
        <v>45954</v>
      </c>
      <c r="B708" s="18">
        <f>B707*(1+Returns!G698)</f>
        <v>125.36022577872164</v>
      </c>
      <c r="C708" s="18">
        <f t="shared" si="40"/>
        <v>131.49526044459591</v>
      </c>
      <c r="D708" s="27">
        <f t="shared" si="41"/>
        <v>-4.6655937599052844E-2</v>
      </c>
      <c r="E708" s="18">
        <f>E707*(1+Returns!H698)</f>
        <v>141.75146241950534</v>
      </c>
      <c r="F708" s="18">
        <f t="shared" si="42"/>
        <v>144.06442609680636</v>
      </c>
      <c r="G708" s="27">
        <f t="shared" si="43"/>
        <v>-1.6055064667711783E-2</v>
      </c>
    </row>
    <row r="709" spans="1:7" ht="15">
      <c r="A709" s="25">
        <f>Returns!A699</f>
        <v>45957</v>
      </c>
      <c r="B709" s="18">
        <f>B708*(1+Returns!G699)</f>
        <v>126.52277384828527</v>
      </c>
      <c r="C709" s="18">
        <f t="shared" si="40"/>
        <v>131.49526044459591</v>
      </c>
      <c r="D709" s="27">
        <f t="shared" si="41"/>
        <v>-3.7814949219449279E-2</v>
      </c>
      <c r="E709" s="18">
        <f>E708*(1+Returns!H699)</f>
        <v>142.69060717859008</v>
      </c>
      <c r="F709" s="18">
        <f t="shared" si="42"/>
        <v>144.06442609680636</v>
      </c>
      <c r="G709" s="27">
        <f t="shared" si="43"/>
        <v>-9.536142651157431E-3</v>
      </c>
    </row>
    <row r="710" spans="1:7" ht="15">
      <c r="A710" s="25">
        <f>Returns!A700</f>
        <v>45958</v>
      </c>
      <c r="B710" s="18">
        <f>B709*(1+Returns!G700)</f>
        <v>126.12590252831771</v>
      </c>
      <c r="C710" s="18">
        <f t="shared" si="40"/>
        <v>131.49526044459591</v>
      </c>
      <c r="D710" s="27">
        <f t="shared" si="41"/>
        <v>-4.0833090851517984E-2</v>
      </c>
      <c r="E710" s="18">
        <f>E709*(1+Returns!H700)</f>
        <v>142.5265646133868</v>
      </c>
      <c r="F710" s="18">
        <f t="shared" si="42"/>
        <v>144.06442609680636</v>
      </c>
      <c r="G710" s="27">
        <f t="shared" si="43"/>
        <v>-1.0674817684597437E-2</v>
      </c>
    </row>
    <row r="711" spans="1:7" ht="15">
      <c r="A711" s="25">
        <f>Returns!A701</f>
        <v>45959</v>
      </c>
      <c r="B711" s="18">
        <f>B710*(1+Returns!G701)</f>
        <v>126.85535018429415</v>
      </c>
      <c r="C711" s="18">
        <f t="shared" si="40"/>
        <v>131.49526044459591</v>
      </c>
      <c r="D711" s="27">
        <f t="shared" si="41"/>
        <v>-3.5285760449569437E-2</v>
      </c>
      <c r="E711" s="18">
        <f>E710*(1+Returns!H701)</f>
        <v>143.17336499985922</v>
      </c>
      <c r="F711" s="18">
        <f t="shared" si="42"/>
        <v>144.06442609680636</v>
      </c>
      <c r="G711" s="27">
        <f t="shared" si="43"/>
        <v>-6.1851570237636544E-3</v>
      </c>
    </row>
    <row r="712" spans="1:7" ht="15">
      <c r="A712" s="25">
        <f>Returns!A702</f>
        <v>45960</v>
      </c>
      <c r="B712" s="18">
        <f>B711*(1+Returns!G702)</f>
        <v>125.71386076146786</v>
      </c>
      <c r="C712" s="18">
        <f t="shared" si="40"/>
        <v>131.49526044459591</v>
      </c>
      <c r="D712" s="27">
        <f t="shared" si="41"/>
        <v>-4.3966601256810955E-2</v>
      </c>
      <c r="E712" s="18">
        <f>E711*(1+Returns!H702)</f>
        <v>142.20591742446715</v>
      </c>
      <c r="F712" s="18">
        <f t="shared" si="42"/>
        <v>144.06442609680636</v>
      </c>
      <c r="G712" s="27">
        <f t="shared" si="43"/>
        <v>-1.2900538479154844E-2</v>
      </c>
    </row>
    <row r="713" spans="1:7" ht="15">
      <c r="A713" s="25">
        <f>Returns!A703</f>
        <v>45961</v>
      </c>
      <c r="B713" s="18">
        <f>B712*(1+Returns!G703)</f>
        <v>125.1340744137717</v>
      </c>
      <c r="C713" s="18">
        <f t="shared" si="40"/>
        <v>131.49526044459591</v>
      </c>
      <c r="D713" s="27">
        <f t="shared" si="41"/>
        <v>-4.8375781829067765E-2</v>
      </c>
      <c r="E713" s="18">
        <f>E712*(1+Returns!H703)</f>
        <v>141.35002823841836</v>
      </c>
      <c r="F713" s="18">
        <f t="shared" si="42"/>
        <v>144.06442609680636</v>
      </c>
      <c r="G713" s="27">
        <f t="shared" si="43"/>
        <v>-1.8841555350826211E-2</v>
      </c>
    </row>
    <row r="714" spans="1:7" ht="15">
      <c r="A714" s="25">
        <f>Returns!A704</f>
        <v>45964</v>
      </c>
      <c r="B714" s="18">
        <f>B713*(1+Returns!G704)</f>
        <v>124.98649845378343</v>
      </c>
      <c r="C714" s="18">
        <f t="shared" si="40"/>
        <v>131.49526044459591</v>
      </c>
      <c r="D714" s="27">
        <f t="shared" si="41"/>
        <v>-4.9498072925258652E-2</v>
      </c>
      <c r="E714" s="18">
        <f>E713*(1+Returns!H704)</f>
        <v>141.57670835992406</v>
      </c>
      <c r="F714" s="18">
        <f t="shared" si="42"/>
        <v>144.06442609680636</v>
      </c>
      <c r="G714" s="27">
        <f t="shared" si="43"/>
        <v>-1.7268091813385178E-2</v>
      </c>
    </row>
    <row r="715" spans="1:7" ht="15">
      <c r="A715" s="25">
        <f>Returns!A705</f>
        <v>45965</v>
      </c>
      <c r="B715" s="18">
        <f>B714*(1+Returns!G705)</f>
        <v>123.93461753720428</v>
      </c>
      <c r="C715" s="18">
        <f t="shared" si="40"/>
        <v>131.49526044459591</v>
      </c>
      <c r="D715" s="27">
        <f t="shared" si="41"/>
        <v>-5.749745566363762E-2</v>
      </c>
      <c r="E715" s="18">
        <f>E714*(1+Returns!H705)</f>
        <v>140.66614547411439</v>
      </c>
      <c r="F715" s="18">
        <f t="shared" si="42"/>
        <v>144.06442609680636</v>
      </c>
      <c r="G715" s="27">
        <f t="shared" si="43"/>
        <v>-2.3588617362126918E-2</v>
      </c>
    </row>
    <row r="716" spans="1:7" ht="15">
      <c r="A716" s="25">
        <f>Returns!A706</f>
        <v>45967</v>
      </c>
      <c r="B716" s="18">
        <f>B715*(1+Returns!G706)</f>
        <v>124.32645936820653</v>
      </c>
      <c r="C716" s="18">
        <f t="shared" si="40"/>
        <v>131.49526044459591</v>
      </c>
      <c r="D716" s="27">
        <f t="shared" si="41"/>
        <v>-5.4517562474503678E-2</v>
      </c>
      <c r="E716" s="18">
        <f>E715*(1+Returns!H706)</f>
        <v>140.18282953890971</v>
      </c>
      <c r="F716" s="18">
        <f t="shared" si="42"/>
        <v>144.06442609680636</v>
      </c>
      <c r="G716" s="27">
        <f t="shared" si="43"/>
        <v>-2.6943477047472797E-2</v>
      </c>
    </row>
    <row r="717" spans="1:7" ht="15">
      <c r="A717" s="25">
        <f>Returns!A707</f>
        <v>45968</v>
      </c>
      <c r="B717" s="18">
        <f>B716*(1+Returns!G707)</f>
        <v>124.166131719185</v>
      </c>
      <c r="C717" s="18">
        <f t="shared" si="40"/>
        <v>131.49526044459591</v>
      </c>
      <c r="D717" s="27">
        <f t="shared" si="41"/>
        <v>-5.5736828085138135E-2</v>
      </c>
      <c r="E717" s="18">
        <f>E716*(1+Returns!H707)</f>
        <v>140.08722032857008</v>
      </c>
      <c r="F717" s="18">
        <f t="shared" si="42"/>
        <v>144.06442609680636</v>
      </c>
      <c r="G717" s="27">
        <f t="shared" si="43"/>
        <v>-2.7607132975101867E-2</v>
      </c>
    </row>
    <row r="718" spans="1:7" ht="15">
      <c r="A718" s="25">
        <f>Returns!A708</f>
        <v>45971</v>
      </c>
      <c r="B718" s="18">
        <f>B717*(1+Returns!G708)</f>
        <v>125.28240310960729</v>
      </c>
      <c r="C718" s="18">
        <f t="shared" si="40"/>
        <v>131.49526044459591</v>
      </c>
      <c r="D718" s="27">
        <f t="shared" si="41"/>
        <v>-4.7247766299579608E-2</v>
      </c>
      <c r="E718" s="18">
        <f>E717*(1+Returns!H708)</f>
        <v>140.53810125775252</v>
      </c>
      <c r="F718" s="18">
        <f t="shared" si="42"/>
        <v>144.06442609680636</v>
      </c>
      <c r="G718" s="27">
        <f t="shared" si="43"/>
        <v>-2.4477415657660484E-2</v>
      </c>
    </row>
    <row r="719" spans="1:7" ht="15">
      <c r="A719" s="25">
        <f>Returns!A709</f>
        <v>45972</v>
      </c>
      <c r="B719" s="18">
        <f>B718*(1+Returns!G709)</f>
        <v>126.13043829572847</v>
      </c>
      <c r="C719" s="18">
        <f t="shared" si="40"/>
        <v>131.49526044459591</v>
      </c>
      <c r="D719" s="27">
        <f t="shared" si="41"/>
        <v>-4.079859708044653E-2</v>
      </c>
      <c r="E719" s="18">
        <f>E718*(1+Returns!H709)</f>
        <v>141.20082935730801</v>
      </c>
      <c r="F719" s="18">
        <f t="shared" si="42"/>
        <v>144.06442609680636</v>
      </c>
      <c r="G719" s="27">
        <f t="shared" si="43"/>
        <v>-1.9877195342964837E-2</v>
      </c>
    </row>
    <row r="720" spans="1:7" ht="15">
      <c r="A720" s="25">
        <f>Returns!A710</f>
        <v>45973</v>
      </c>
      <c r="B720" s="18">
        <f>B719*(1+Returns!G710)</f>
        <v>127.41764760178299</v>
      </c>
      <c r="C720" s="18">
        <f t="shared" ref="C720:C783" si="44">MAX(C719,B720)</f>
        <v>131.49526044459591</v>
      </c>
      <c r="D720" s="27">
        <f t="shared" ref="D720:D783" si="45">B720/C720-1</f>
        <v>-3.1009580337923892E-2</v>
      </c>
      <c r="E720" s="18">
        <f>E719*(1+Returns!H710)</f>
        <v>142.19465854911397</v>
      </c>
      <c r="F720" s="18">
        <f t="shared" ref="F720:F783" si="46">MAX(F719,E720)</f>
        <v>144.06442609680636</v>
      </c>
      <c r="G720" s="27">
        <f t="shared" ref="G720:G783" si="47">E720/F720-1</f>
        <v>-1.2978690148225613E-2</v>
      </c>
    </row>
    <row r="721" spans="1:7" ht="15">
      <c r="A721" s="25">
        <f>Returns!A711</f>
        <v>45974</v>
      </c>
      <c r="B721" s="18">
        <f>B720*(1+Returns!G711)</f>
        <v>127.35869021219798</v>
      </c>
      <c r="C721" s="18">
        <f t="shared" si="44"/>
        <v>131.49526044459591</v>
      </c>
      <c r="D721" s="27">
        <f t="shared" si="45"/>
        <v>-3.1457941665820166E-2</v>
      </c>
      <c r="E721" s="18">
        <f>E720*(1+Returns!H711)</f>
        <v>142.213065576026</v>
      </c>
      <c r="F721" s="18">
        <f t="shared" si="46"/>
        <v>144.06442609680636</v>
      </c>
      <c r="G721" s="27">
        <f t="shared" si="47"/>
        <v>-1.2850920736922955E-2</v>
      </c>
    </row>
    <row r="722" spans="1:7" ht="15">
      <c r="A722" s="25">
        <f>Returns!A712</f>
        <v>45975</v>
      </c>
      <c r="B722" s="18">
        <f>B721*(1+Returns!G712)</f>
        <v>126.96387984398103</v>
      </c>
      <c r="C722" s="18">
        <f t="shared" si="44"/>
        <v>131.49526044459591</v>
      </c>
      <c r="D722" s="27">
        <f t="shared" si="45"/>
        <v>-3.4460410096104788E-2</v>
      </c>
      <c r="E722" s="18">
        <f>E721*(1+Returns!H712)</f>
        <v>142.38287174090959</v>
      </c>
      <c r="F722" s="18">
        <f t="shared" si="46"/>
        <v>144.06442609680636</v>
      </c>
      <c r="G722" s="27">
        <f t="shared" si="47"/>
        <v>-1.1672238605016982E-2</v>
      </c>
    </row>
    <row r="723" spans="1:7" ht="15">
      <c r="A723" s="25">
        <f>Returns!A713</f>
        <v>45978</v>
      </c>
      <c r="B723" s="18">
        <f>B722*(1+Returns!G713)</f>
        <v>127.28724727967997</v>
      </c>
      <c r="C723" s="18">
        <f t="shared" si="44"/>
        <v>131.49526044459591</v>
      </c>
      <c r="D723" s="27">
        <f t="shared" si="45"/>
        <v>-3.2001253510493988E-2</v>
      </c>
      <c r="E723" s="18">
        <f>E722*(1+Returns!H713)</f>
        <v>142.95107465911562</v>
      </c>
      <c r="F723" s="18">
        <f t="shared" si="46"/>
        <v>144.06442609680636</v>
      </c>
      <c r="G723" s="27">
        <f t="shared" si="47"/>
        <v>-7.7281496053898113E-3</v>
      </c>
    </row>
    <row r="724" spans="1:7" ht="15">
      <c r="A724" s="25">
        <f>Returns!A714</f>
        <v>45979</v>
      </c>
      <c r="B724" s="18">
        <f>B723*(1+Returns!G714)</f>
        <v>126.7094430063318</v>
      </c>
      <c r="C724" s="18">
        <f t="shared" si="44"/>
        <v>131.49526044459591</v>
      </c>
      <c r="D724" s="27">
        <f t="shared" si="45"/>
        <v>-3.6395360730743342E-2</v>
      </c>
      <c r="E724" s="18">
        <f>E723*(1+Returns!H714)</f>
        <v>142.38287174090959</v>
      </c>
      <c r="F724" s="18">
        <f t="shared" si="46"/>
        <v>144.06442609680636</v>
      </c>
      <c r="G724" s="27">
        <f t="shared" si="47"/>
        <v>-1.1672238605016982E-2</v>
      </c>
    </row>
    <row r="725" spans="1:7" ht="15">
      <c r="A725" s="25">
        <f>Returns!A715</f>
        <v>45980</v>
      </c>
      <c r="B725" s="18">
        <f>B724*(1+Returns!G715)</f>
        <v>128.09878379358025</v>
      </c>
      <c r="C725" s="18">
        <f t="shared" si="44"/>
        <v>131.49526044459591</v>
      </c>
      <c r="D725" s="27">
        <f t="shared" si="45"/>
        <v>-2.5829650738223631E-2</v>
      </c>
      <c r="E725" s="18">
        <f>E724*(1+Returns!H715)</f>
        <v>143.16649590526814</v>
      </c>
      <c r="F725" s="18">
        <f t="shared" si="46"/>
        <v>144.06442609680636</v>
      </c>
      <c r="G725" s="27">
        <f t="shared" si="47"/>
        <v>-6.2328377370194366E-3</v>
      </c>
    </row>
    <row r="726" spans="1:7" ht="15">
      <c r="A726" s="25">
        <f>Returns!A716</f>
        <v>45981</v>
      </c>
      <c r="B726" s="18">
        <f>B725*(1+Returns!G716)</f>
        <v>129.11201229222655</v>
      </c>
      <c r="C726" s="18">
        <f t="shared" si="44"/>
        <v>131.49526044459591</v>
      </c>
      <c r="D726" s="27">
        <f t="shared" si="45"/>
        <v>-1.8124213331426664E-2</v>
      </c>
      <c r="E726" s="18">
        <f>E725*(1+Returns!H716)</f>
        <v>143.93308686163286</v>
      </c>
      <c r="F726" s="18">
        <f t="shared" si="46"/>
        <v>144.06442609680636</v>
      </c>
      <c r="G726" s="27">
        <f t="shared" si="47"/>
        <v>-9.1167013767323724E-4</v>
      </c>
    </row>
    <row r="727" spans="1:7" ht="15">
      <c r="A727" s="25">
        <f>Returns!A717</f>
        <v>45982</v>
      </c>
      <c r="B727" s="18">
        <f>B726*(1+Returns!G717)</f>
        <v>128.68008878401713</v>
      </c>
      <c r="C727" s="18">
        <f t="shared" si="44"/>
        <v>131.49526044459591</v>
      </c>
      <c r="D727" s="27">
        <f t="shared" si="45"/>
        <v>-2.1408921135715908E-2</v>
      </c>
      <c r="E727" s="18">
        <f>E726*(1+Returns!H717)</f>
        <v>143.25167267819756</v>
      </c>
      <c r="F727" s="18">
        <f t="shared" si="46"/>
        <v>144.06442609680636</v>
      </c>
      <c r="G727" s="27">
        <f t="shared" si="47"/>
        <v>-5.6415968926475379E-3</v>
      </c>
    </row>
    <row r="728" spans="1:7" ht="15">
      <c r="A728" s="25">
        <f>Returns!A718</f>
        <v>45985</v>
      </c>
      <c r="B728" s="18">
        <f>B727*(1+Returns!G718)</f>
        <v>128.43817190821784</v>
      </c>
      <c r="C728" s="18">
        <f t="shared" si="44"/>
        <v>131.49526044459591</v>
      </c>
      <c r="D728" s="27">
        <f t="shared" si="45"/>
        <v>-2.3248659503329772E-2</v>
      </c>
      <c r="E728" s="18">
        <f>E727*(1+Returns!H718)</f>
        <v>142.6546088297487</v>
      </c>
      <c r="F728" s="18">
        <f t="shared" si="46"/>
        <v>144.06442609680636</v>
      </c>
      <c r="G728" s="27">
        <f t="shared" si="47"/>
        <v>-9.7860193890635383E-3</v>
      </c>
    </row>
    <row r="729" spans="1:7" ht="15">
      <c r="A729" s="25">
        <f>Returns!A719</f>
        <v>45986</v>
      </c>
      <c r="B729" s="18">
        <f>B728*(1+Returns!G719)</f>
        <v>127.67143562819702</v>
      </c>
      <c r="C729" s="18">
        <f t="shared" si="44"/>
        <v>131.49526044459591</v>
      </c>
      <c r="D729" s="27">
        <f t="shared" si="45"/>
        <v>-2.9079563806864495E-2</v>
      </c>
      <c r="E729" s="18">
        <f>E728*(1+Returns!H719)</f>
        <v>142.24411603016978</v>
      </c>
      <c r="F729" s="18">
        <f t="shared" si="46"/>
        <v>144.06442609680636</v>
      </c>
      <c r="G729" s="27">
        <f t="shared" si="47"/>
        <v>-1.2635389012783715E-2</v>
      </c>
    </row>
    <row r="730" spans="1:7" ht="15">
      <c r="A730" s="25">
        <f>Returns!A720</f>
        <v>45987</v>
      </c>
      <c r="B730" s="18">
        <f>B729*(1+Returns!G720)</f>
        <v>129.69406154125244</v>
      </c>
      <c r="C730" s="18">
        <f t="shared" si="44"/>
        <v>131.49526044459591</v>
      </c>
      <c r="D730" s="27">
        <f t="shared" si="45"/>
        <v>-1.3697823763788031E-2</v>
      </c>
      <c r="E730" s="18">
        <f>E729*(1+Returns!H720)</f>
        <v>144.00535188332313</v>
      </c>
      <c r="F730" s="18">
        <f t="shared" si="46"/>
        <v>144.06442609680636</v>
      </c>
      <c r="G730" s="27">
        <f t="shared" si="47"/>
        <v>-4.1005413399930468E-4</v>
      </c>
    </row>
    <row r="731" spans="1:7" ht="15">
      <c r="A731" s="25">
        <f>Returns!A721</f>
        <v>45988</v>
      </c>
      <c r="B731" s="18">
        <f>B730*(1+Returns!G721)</f>
        <v>129.87449262304162</v>
      </c>
      <c r="C731" s="18">
        <f t="shared" si="44"/>
        <v>131.49526044459591</v>
      </c>
      <c r="D731" s="27">
        <f t="shared" si="45"/>
        <v>-1.2325674827171396E-2</v>
      </c>
      <c r="E731" s="18">
        <f>E730*(1+Returns!H721)</f>
        <v>144.06167845896999</v>
      </c>
      <c r="F731" s="18">
        <f t="shared" si="46"/>
        <v>144.06442609680636</v>
      </c>
      <c r="G731" s="27">
        <f t="shared" si="47"/>
        <v>-1.907228530184657E-5</v>
      </c>
    </row>
    <row r="732" spans="1:7" ht="15">
      <c r="A732" s="25">
        <f>Returns!A722</f>
        <v>45989</v>
      </c>
      <c r="B732" s="18">
        <f>B731*(1+Returns!G722)</f>
        <v>129.78005480676833</v>
      </c>
      <c r="C732" s="18">
        <f t="shared" si="44"/>
        <v>131.49526044459591</v>
      </c>
      <c r="D732" s="27">
        <f t="shared" si="45"/>
        <v>-1.3043859010798853E-2</v>
      </c>
      <c r="E732" s="18">
        <f>E731*(1+Returns!H722)</f>
        <v>143.99242939912364</v>
      </c>
      <c r="F732" s="18">
        <f t="shared" si="46"/>
        <v>144.06442609680636</v>
      </c>
      <c r="G732" s="27">
        <f t="shared" si="47"/>
        <v>-4.9975347581188156E-4</v>
      </c>
    </row>
    <row r="733" spans="1:7" ht="15">
      <c r="A733" s="25">
        <f>Returns!A723</f>
        <v>45992</v>
      </c>
      <c r="B733" s="18">
        <f>B732*(1+Returns!G723)</f>
        <v>129.6069420780666</v>
      </c>
      <c r="C733" s="18">
        <f t="shared" si="44"/>
        <v>131.49526044459591</v>
      </c>
      <c r="D733" s="27">
        <f t="shared" si="45"/>
        <v>-1.4360353066298903E-2</v>
      </c>
      <c r="E733" s="18">
        <f>E732*(1+Returns!H723)</f>
        <v>143.84296219400582</v>
      </c>
      <c r="F733" s="18">
        <f t="shared" si="46"/>
        <v>144.06442609680636</v>
      </c>
      <c r="G733" s="27">
        <f t="shared" si="47"/>
        <v>-1.5372559958120036E-3</v>
      </c>
    </row>
    <row r="734" spans="1:7" ht="15">
      <c r="A734" s="25">
        <f>Returns!A724</f>
        <v>45993</v>
      </c>
      <c r="B734" s="18">
        <f>B733*(1+Returns!G724)</f>
        <v>128.54217375363214</v>
      </c>
      <c r="C734" s="18">
        <f t="shared" si="44"/>
        <v>131.49526044459591</v>
      </c>
      <c r="D734" s="27">
        <f t="shared" si="45"/>
        <v>-2.2457742438618311E-2</v>
      </c>
      <c r="E734" s="18">
        <f>E733*(1+Returns!H724)</f>
        <v>143.05411107798187</v>
      </c>
      <c r="F734" s="18">
        <f t="shared" si="46"/>
        <v>144.06442609680636</v>
      </c>
      <c r="G734" s="27">
        <f t="shared" si="47"/>
        <v>-7.0129389065527459E-3</v>
      </c>
    </row>
    <row r="735" spans="1:7" ht="15">
      <c r="A735" s="25">
        <f>Returns!A725</f>
        <v>45994</v>
      </c>
      <c r="B735" s="18">
        <f>B734*(1+Returns!G725)</f>
        <v>129.57532752090441</v>
      </c>
      <c r="C735" s="18">
        <f t="shared" si="44"/>
        <v>131.49526044459591</v>
      </c>
      <c r="D735" s="27">
        <f t="shared" si="45"/>
        <v>-1.4600776615066313E-2</v>
      </c>
      <c r="E735" s="18">
        <f>E734*(1+Returns!H725)</f>
        <v>142.80023363507962</v>
      </c>
      <c r="F735" s="18">
        <f t="shared" si="46"/>
        <v>144.06442609680636</v>
      </c>
      <c r="G735" s="27">
        <f t="shared" si="47"/>
        <v>-8.7751882680409121E-3</v>
      </c>
    </row>
    <row r="736" spans="1:7" ht="15">
      <c r="A736" s="25">
        <f>Returns!A726</f>
        <v>45995</v>
      </c>
      <c r="B736" s="18">
        <f>B735*(1+Returns!G726)</f>
        <v>129.96770858911924</v>
      </c>
      <c r="C736" s="18">
        <f t="shared" si="44"/>
        <v>131.49526044459591</v>
      </c>
      <c r="D736" s="27">
        <f t="shared" si="45"/>
        <v>-1.1616782614916277E-2</v>
      </c>
      <c r="E736" s="18">
        <f>E735*(1+Returns!H726)</f>
        <v>143.06263304845896</v>
      </c>
      <c r="F736" s="18">
        <f t="shared" si="46"/>
        <v>144.06442609680636</v>
      </c>
      <c r="G736" s="27">
        <f t="shared" si="47"/>
        <v>-6.9537850216695452E-3</v>
      </c>
    </row>
    <row r="737" spans="1:7" ht="15">
      <c r="A737" s="25">
        <f>Returns!A727</f>
        <v>45996</v>
      </c>
      <c r="B737" s="18">
        <f>B736*(1+Returns!G727)</f>
        <v>130.65321927708817</v>
      </c>
      <c r="C737" s="18">
        <f t="shared" si="44"/>
        <v>131.49526044459591</v>
      </c>
      <c r="D737" s="27">
        <f t="shared" si="45"/>
        <v>-6.4035856856037299E-3</v>
      </c>
      <c r="E737" s="18">
        <f>E736*(1+Returns!H727)</f>
        <v>143.90175735052139</v>
      </c>
      <c r="F737" s="18">
        <f t="shared" si="46"/>
        <v>144.06442609680636</v>
      </c>
      <c r="G737" s="27">
        <f t="shared" si="47"/>
        <v>-1.1291388907880284E-3</v>
      </c>
    </row>
    <row r="738" spans="1:7" ht="15">
      <c r="A738" s="25">
        <f>Returns!A728</f>
        <v>45999</v>
      </c>
      <c r="B738" s="18">
        <f>B737*(1+Returns!G728)</f>
        <v>130.57758173465177</v>
      </c>
      <c r="C738" s="18">
        <f t="shared" si="44"/>
        <v>131.49526044459591</v>
      </c>
      <c r="D738" s="27">
        <f t="shared" si="45"/>
        <v>-6.9787968542850409E-3</v>
      </c>
      <c r="E738" s="18">
        <f>E737*(1+Returns!H728)</f>
        <v>142.66038316238934</v>
      </c>
      <c r="F738" s="18">
        <f t="shared" si="46"/>
        <v>144.06442609680636</v>
      </c>
      <c r="G738" s="27">
        <f t="shared" si="47"/>
        <v>-9.7459377894828503E-3</v>
      </c>
    </row>
    <row r="739" spans="1:7" ht="15">
      <c r="A739" s="25">
        <f>Returns!A729</f>
        <v>46000</v>
      </c>
      <c r="B739" s="18">
        <f>B738*(1+Returns!G729)</f>
        <v>129.52059079270862</v>
      </c>
      <c r="C739" s="18">
        <f t="shared" si="44"/>
        <v>131.49526044459591</v>
      </c>
      <c r="D739" s="27">
        <f t="shared" si="45"/>
        <v>-1.5017040501769996E-2</v>
      </c>
      <c r="E739" s="18">
        <f>E738*(1+Returns!H729)</f>
        <v>141.99600218694786</v>
      </c>
      <c r="F739" s="18">
        <f t="shared" si="46"/>
        <v>144.06442609680636</v>
      </c>
      <c r="G739" s="27">
        <f t="shared" si="47"/>
        <v>-1.4357631275805582E-2</v>
      </c>
    </row>
    <row r="740" spans="1:7" ht="15">
      <c r="A740" s="25">
        <f>Returns!A730</f>
        <v>46001</v>
      </c>
      <c r="B740" s="18">
        <f>B739*(1+Returns!G730)</f>
        <v>128.95169408516631</v>
      </c>
      <c r="C740" s="18">
        <f t="shared" si="44"/>
        <v>131.49526044459591</v>
      </c>
      <c r="D740" s="27">
        <f t="shared" si="45"/>
        <v>-1.9343407137486168E-2</v>
      </c>
      <c r="E740" s="18">
        <f>E739*(1+Returns!H730)</f>
        <v>141.54731078166634</v>
      </c>
      <c r="F740" s="18">
        <f t="shared" si="46"/>
        <v>144.06442609680636</v>
      </c>
      <c r="G740" s="27">
        <f t="shared" si="47"/>
        <v>-1.7472150365896777E-2</v>
      </c>
    </row>
    <row r="741" spans="1:7" ht="15">
      <c r="A741" s="25">
        <f>Returns!A731</f>
        <v>46002</v>
      </c>
      <c r="B741" s="18">
        <f>B740*(1+Returns!G731)</f>
        <v>129.59545935584219</v>
      </c>
      <c r="C741" s="18">
        <f t="shared" si="44"/>
        <v>131.49526044459591</v>
      </c>
      <c r="D741" s="27">
        <f t="shared" si="45"/>
        <v>-1.4447677295214567E-2</v>
      </c>
      <c r="E741" s="18">
        <f>E740*(1+Returns!H731)</f>
        <v>142.3196760706717</v>
      </c>
      <c r="F741" s="18">
        <f t="shared" si="46"/>
        <v>144.06442609680636</v>
      </c>
      <c r="G741" s="27">
        <f t="shared" si="47"/>
        <v>-1.211090116696989E-2</v>
      </c>
    </row>
    <row r="742" spans="1:7" ht="15">
      <c r="A742" s="25">
        <f>Returns!A732</f>
        <v>46003</v>
      </c>
      <c r="B742" s="18">
        <f>B741*(1+Returns!G732)</f>
        <v>130.19591816304055</v>
      </c>
      <c r="C742" s="18">
        <f t="shared" si="44"/>
        <v>131.49526044459591</v>
      </c>
      <c r="D742" s="27">
        <f t="shared" si="45"/>
        <v>-9.8812860415059545E-3</v>
      </c>
      <c r="E742" s="18">
        <f>E741*(1+Returns!H732)</f>
        <v>143.13516639415667</v>
      </c>
      <c r="F742" s="18">
        <f t="shared" si="46"/>
        <v>144.06442609680636</v>
      </c>
      <c r="G742" s="27">
        <f t="shared" si="47"/>
        <v>-6.4503064901342277E-3</v>
      </c>
    </row>
    <row r="743" spans="1:7" ht="15">
      <c r="A743" s="25">
        <f>Returns!A733</f>
        <v>46006</v>
      </c>
      <c r="B743" s="18">
        <f>B742*(1+Returns!G733)</f>
        <v>130.18622118691226</v>
      </c>
      <c r="C743" s="18">
        <f t="shared" si="44"/>
        <v>131.49526044459591</v>
      </c>
      <c r="D743" s="27">
        <f t="shared" si="45"/>
        <v>-9.955029962735451E-3</v>
      </c>
      <c r="E743" s="18">
        <f>E742*(1+Returns!H733)</f>
        <v>143.02719281355311</v>
      </c>
      <c r="F743" s="18">
        <f t="shared" si="46"/>
        <v>144.06442609680636</v>
      </c>
      <c r="G743" s="27">
        <f t="shared" si="47"/>
        <v>-7.1997877016235501E-3</v>
      </c>
    </row>
    <row r="744" spans="1:7" ht="15">
      <c r="A744" s="25">
        <f>Returns!A734</f>
        <v>46007</v>
      </c>
      <c r="B744" s="18">
        <f>B743*(1+Returns!G734)</f>
        <v>129.47689746706834</v>
      </c>
      <c r="C744" s="18">
        <f t="shared" si="44"/>
        <v>131.49526044459591</v>
      </c>
      <c r="D744" s="27">
        <f t="shared" si="45"/>
        <v>-1.5349321113957481E-2</v>
      </c>
      <c r="E744" s="18">
        <f>E743*(1+Returns!H734)</f>
        <v>142.10837628127385</v>
      </c>
      <c r="F744" s="18">
        <f t="shared" si="46"/>
        <v>144.06442609680636</v>
      </c>
      <c r="G744" s="27">
        <f t="shared" si="47"/>
        <v>-1.3577604607386662E-2</v>
      </c>
    </row>
    <row r="745" spans="1:7" ht="15">
      <c r="A745" s="25">
        <f>Returns!A735</f>
        <v>46008</v>
      </c>
      <c r="B745" s="18">
        <f>B744*(1+Returns!G735)</f>
        <v>129.20585702010166</v>
      </c>
      <c r="C745" s="18">
        <f t="shared" si="44"/>
        <v>131.49526044459591</v>
      </c>
      <c r="D745" s="27">
        <f t="shared" si="45"/>
        <v>-1.7410539488294852E-2</v>
      </c>
      <c r="E745" s="18">
        <f>E744*(1+Returns!H735)</f>
        <v>141.88005401684248</v>
      </c>
      <c r="F745" s="18">
        <f t="shared" si="46"/>
        <v>144.06442609680636</v>
      </c>
      <c r="G745" s="27">
        <f t="shared" si="47"/>
        <v>-1.5162466815340392E-2</v>
      </c>
    </row>
    <row r="746" spans="1:7" ht="15">
      <c r="A746" s="25">
        <f>Returns!A736</f>
        <v>46009</v>
      </c>
      <c r="B746" s="18">
        <f>B745*(1+Returns!G736)</f>
        <v>129.93372236973303</v>
      </c>
      <c r="C746" s="18">
        <f t="shared" si="44"/>
        <v>131.49526044459591</v>
      </c>
      <c r="D746" s="27">
        <f t="shared" si="45"/>
        <v>-1.1875242267920472E-2</v>
      </c>
      <c r="E746" s="18">
        <f>E745*(1+Returns!H736)</f>
        <v>141.86356818982389</v>
      </c>
      <c r="F746" s="18">
        <f t="shared" si="46"/>
        <v>144.06442609680636</v>
      </c>
      <c r="G746" s="27">
        <f t="shared" si="47"/>
        <v>-1.5276900527154136E-2</v>
      </c>
    </row>
    <row r="747" spans="1:7" ht="15">
      <c r="A747" s="25">
        <f>Returns!A737</f>
        <v>46010</v>
      </c>
      <c r="B747" s="18">
        <f>B746*(1+Returns!G737)</f>
        <v>130.67469674558961</v>
      </c>
      <c r="C747" s="18">
        <f t="shared" si="44"/>
        <v>131.49526044459591</v>
      </c>
      <c r="D747" s="27">
        <f t="shared" si="45"/>
        <v>-6.2402530420633262E-3</v>
      </c>
      <c r="E747" s="18">
        <f>E746*(1+Returns!H737)</f>
        <v>142.69252837848359</v>
      </c>
      <c r="F747" s="18">
        <f t="shared" si="46"/>
        <v>144.06442609680636</v>
      </c>
      <c r="G747" s="27">
        <f t="shared" si="47"/>
        <v>-9.5228069516682945E-3</v>
      </c>
    </row>
    <row r="748" spans="1:7" ht="15">
      <c r="A748" s="25">
        <f>Returns!A738</f>
        <v>46013</v>
      </c>
      <c r="B748" s="18">
        <f>B747*(1+Returns!G738)</f>
        <v>132.12152366475473</v>
      </c>
      <c r="C748" s="18">
        <f t="shared" si="44"/>
        <v>132.12152366475473</v>
      </c>
      <c r="D748" s="27">
        <f t="shared" si="45"/>
        <v>0</v>
      </c>
      <c r="E748" s="18">
        <f>E747*(1+Returns!H738)</f>
        <v>143.82455516709385</v>
      </c>
      <c r="F748" s="18">
        <f t="shared" si="46"/>
        <v>144.06442609680636</v>
      </c>
      <c r="G748" s="27">
        <f t="shared" si="47"/>
        <v>-1.6650254071142179E-3</v>
      </c>
    </row>
    <row r="749" spans="1:7" ht="15">
      <c r="A749" s="25">
        <f>Returns!A739</f>
        <v>46014</v>
      </c>
      <c r="B749" s="18">
        <f>B748*(1+Returns!G739)</f>
        <v>131.87270471465871</v>
      </c>
      <c r="C749" s="18">
        <f t="shared" si="44"/>
        <v>132.12152366475473</v>
      </c>
      <c r="D749" s="27">
        <f t="shared" si="45"/>
        <v>-1.8832582549334065E-3</v>
      </c>
      <c r="E749" s="18">
        <f>E748*(1+Returns!H739)</f>
        <v>143.85065772653994</v>
      </c>
      <c r="F749" s="18">
        <f t="shared" si="46"/>
        <v>144.06442609680636</v>
      </c>
      <c r="G749" s="27">
        <f t="shared" si="47"/>
        <v>-1.4838386967424011E-3</v>
      </c>
    </row>
    <row r="750" spans="1:7" ht="15">
      <c r="A750" s="25">
        <f>Returns!A740</f>
        <v>46015</v>
      </c>
      <c r="B750" s="18">
        <f>B749*(1+Returns!G740)</f>
        <v>131.59736218696435</v>
      </c>
      <c r="C750" s="18">
        <f t="shared" si="44"/>
        <v>132.12152366475473</v>
      </c>
      <c r="D750" s="27">
        <f t="shared" si="45"/>
        <v>-3.9672678852871179E-3</v>
      </c>
      <c r="E750" s="18">
        <f>E749*(1+Returns!H740)</f>
        <v>143.65804402102188</v>
      </c>
      <c r="F750" s="18">
        <f t="shared" si="46"/>
        <v>144.06442609680636</v>
      </c>
      <c r="G750" s="27">
        <f t="shared" si="47"/>
        <v>-2.8208356968805193E-3</v>
      </c>
    </row>
    <row r="751" spans="1:7" ht="15">
      <c r="A751" s="25">
        <f>Returns!A741</f>
        <v>46017</v>
      </c>
      <c r="B751" s="18">
        <f>B750*(1+Returns!G741)</f>
        <v>130.91786420945064</v>
      </c>
      <c r="C751" s="18">
        <f t="shared" si="44"/>
        <v>132.12152366475473</v>
      </c>
      <c r="D751" s="27">
        <f t="shared" si="45"/>
        <v>-9.1102450374267452E-3</v>
      </c>
      <c r="E751" s="18">
        <f>E750*(1+Returns!H741)</f>
        <v>143.10962194864609</v>
      </c>
      <c r="F751" s="18">
        <f t="shared" si="46"/>
        <v>144.06442609680636</v>
      </c>
      <c r="G751" s="27">
        <f t="shared" si="47"/>
        <v>-6.6276191425540532E-3</v>
      </c>
    </row>
    <row r="752" spans="1:7" ht="15">
      <c r="A752" s="25">
        <f>Returns!A742</f>
        <v>46020</v>
      </c>
      <c r="B752" s="18">
        <f>B751*(1+Returns!G742)</f>
        <v>130.15324945838884</v>
      </c>
      <c r="C752" s="18">
        <f t="shared" si="44"/>
        <v>132.12152366475473</v>
      </c>
      <c r="D752" s="27">
        <f t="shared" si="45"/>
        <v>-1.4897453130802485E-2</v>
      </c>
      <c r="E752" s="18">
        <f>E751*(1+Returns!H742)</f>
        <v>142.55898888644879</v>
      </c>
      <c r="F752" s="18">
        <f t="shared" si="46"/>
        <v>144.06442609680636</v>
      </c>
      <c r="G752" s="27">
        <f t="shared" si="47"/>
        <v>-1.0449749817806997E-2</v>
      </c>
    </row>
    <row r="753" spans="1:7" ht="15">
      <c r="A753" s="25">
        <f>Returns!A743</f>
        <v>46021</v>
      </c>
      <c r="B753" s="18">
        <f>B752*(1+Returns!G743)</f>
        <v>129.68144374811897</v>
      </c>
      <c r="C753" s="18">
        <f t="shared" si="44"/>
        <v>132.12152366475473</v>
      </c>
      <c r="D753" s="27">
        <f t="shared" si="45"/>
        <v>-1.8468451233027205E-2</v>
      </c>
      <c r="E753" s="18">
        <f>E752*(1+Returns!H743)</f>
        <v>142.54112924051196</v>
      </c>
      <c r="F753" s="18">
        <f t="shared" si="46"/>
        <v>144.06442609680636</v>
      </c>
      <c r="G753" s="27">
        <f t="shared" si="47"/>
        <v>-1.0573719672272164E-2</v>
      </c>
    </row>
    <row r="754" spans="1:7" ht="15">
      <c r="A754" s="25">
        <f>Returns!A744</f>
        <v>46022</v>
      </c>
      <c r="B754" s="18">
        <f>B753*(1+Returns!G744)</f>
        <v>129.94263977543704</v>
      </c>
      <c r="C754" s="18">
        <f t="shared" si="44"/>
        <v>132.12152366475473</v>
      </c>
      <c r="D754" s="27">
        <f t="shared" si="45"/>
        <v>-1.6491513486072029E-2</v>
      </c>
      <c r="E754" s="18">
        <f>E753*(1+Returns!H744)</f>
        <v>143.58935307511103</v>
      </c>
      <c r="F754" s="18">
        <f t="shared" si="46"/>
        <v>144.06442609680636</v>
      </c>
      <c r="G754" s="27">
        <f t="shared" si="47"/>
        <v>-3.2976428294385629E-3</v>
      </c>
    </row>
    <row r="755" spans="1:7" ht="15">
      <c r="A755" s="25"/>
      <c r="B755" s="18"/>
      <c r="C755" s="18">
        <f t="shared" si="44"/>
        <v>132.12152366475473</v>
      </c>
      <c r="D755" s="27">
        <f t="shared" si="45"/>
        <v>-1</v>
      </c>
      <c r="E755" s="18"/>
      <c r="F755" s="18">
        <f t="shared" si="46"/>
        <v>144.06442609680636</v>
      </c>
      <c r="G755" s="27">
        <f t="shared" si="47"/>
        <v>-1</v>
      </c>
    </row>
    <row r="756" spans="1:7" ht="15">
      <c r="A756" s="25"/>
      <c r="B756" s="18"/>
      <c r="C756" s="18">
        <f t="shared" si="44"/>
        <v>132.12152366475473</v>
      </c>
      <c r="D756" s="27">
        <f t="shared" si="45"/>
        <v>-1</v>
      </c>
      <c r="E756" s="18"/>
      <c r="F756" s="18">
        <f t="shared" si="46"/>
        <v>144.06442609680636</v>
      </c>
      <c r="G756" s="27">
        <f t="shared" si="47"/>
        <v>-1</v>
      </c>
    </row>
    <row r="757" spans="1:7" ht="15">
      <c r="A757" s="25"/>
      <c r="B757" s="18"/>
      <c r="C757" s="18">
        <f t="shared" si="44"/>
        <v>132.12152366475473</v>
      </c>
      <c r="D757" s="27">
        <f t="shared" si="45"/>
        <v>-1</v>
      </c>
      <c r="E757" s="18"/>
      <c r="F757" s="18">
        <f t="shared" si="46"/>
        <v>144.06442609680636</v>
      </c>
      <c r="G757" s="27">
        <f t="shared" si="47"/>
        <v>-1</v>
      </c>
    </row>
    <row r="758" spans="1:7" ht="15">
      <c r="A758" s="25"/>
      <c r="B758" s="18"/>
      <c r="C758" s="18">
        <f t="shared" si="44"/>
        <v>132.12152366475473</v>
      </c>
      <c r="D758" s="27">
        <f t="shared" si="45"/>
        <v>-1</v>
      </c>
      <c r="E758" s="18"/>
      <c r="F758" s="18">
        <f t="shared" si="46"/>
        <v>144.06442609680636</v>
      </c>
      <c r="G758" s="27">
        <f t="shared" si="47"/>
        <v>-1</v>
      </c>
    </row>
    <row r="759" spans="1:7" ht="15">
      <c r="A759" s="25"/>
      <c r="B759" s="18"/>
      <c r="C759" s="18">
        <f t="shared" si="44"/>
        <v>132.12152366475473</v>
      </c>
      <c r="D759" s="27">
        <f t="shared" si="45"/>
        <v>-1</v>
      </c>
      <c r="E759" s="18"/>
      <c r="F759" s="18">
        <f t="shared" si="46"/>
        <v>144.06442609680636</v>
      </c>
      <c r="G759" s="27">
        <f t="shared" si="47"/>
        <v>-1</v>
      </c>
    </row>
    <row r="760" spans="1:7" ht="15">
      <c r="A760" s="25"/>
      <c r="B760" s="18"/>
      <c r="C760" s="18">
        <f t="shared" si="44"/>
        <v>132.12152366475473</v>
      </c>
      <c r="D760" s="27">
        <f t="shared" si="45"/>
        <v>-1</v>
      </c>
      <c r="E760" s="18"/>
      <c r="F760" s="18">
        <f t="shared" si="46"/>
        <v>144.06442609680636</v>
      </c>
      <c r="G760" s="27">
        <f t="shared" si="47"/>
        <v>-1</v>
      </c>
    </row>
    <row r="761" spans="1:7" ht="15">
      <c r="A761" s="25"/>
      <c r="B761" s="18"/>
      <c r="C761" s="18">
        <f t="shared" si="44"/>
        <v>132.12152366475473</v>
      </c>
      <c r="D761" s="27">
        <f t="shared" si="45"/>
        <v>-1</v>
      </c>
      <c r="E761" s="18"/>
      <c r="F761" s="18">
        <f t="shared" si="46"/>
        <v>144.06442609680636</v>
      </c>
      <c r="G761" s="27">
        <f t="shared" si="47"/>
        <v>-1</v>
      </c>
    </row>
    <row r="762" spans="1:7" ht="15">
      <c r="A762" s="25"/>
      <c r="B762" s="18"/>
      <c r="C762" s="18">
        <f t="shared" si="44"/>
        <v>132.12152366475473</v>
      </c>
      <c r="D762" s="27">
        <f t="shared" si="45"/>
        <v>-1</v>
      </c>
      <c r="E762" s="18"/>
      <c r="F762" s="18">
        <f t="shared" si="46"/>
        <v>144.06442609680636</v>
      </c>
      <c r="G762" s="27">
        <f t="shared" si="47"/>
        <v>-1</v>
      </c>
    </row>
    <row r="763" spans="1:7" ht="15">
      <c r="A763" s="25"/>
      <c r="B763" s="18"/>
      <c r="C763" s="18">
        <f t="shared" si="44"/>
        <v>132.12152366475473</v>
      </c>
      <c r="D763" s="27">
        <f t="shared" si="45"/>
        <v>-1</v>
      </c>
      <c r="E763" s="18"/>
      <c r="F763" s="18">
        <f t="shared" si="46"/>
        <v>144.06442609680636</v>
      </c>
      <c r="G763" s="27">
        <f t="shared" si="47"/>
        <v>-1</v>
      </c>
    </row>
    <row r="764" spans="1:7" ht="15">
      <c r="A764" s="25"/>
      <c r="B764" s="18"/>
      <c r="C764" s="18">
        <f t="shared" si="44"/>
        <v>132.12152366475473</v>
      </c>
      <c r="D764" s="27">
        <f t="shared" si="45"/>
        <v>-1</v>
      </c>
      <c r="E764" s="18"/>
      <c r="F764" s="18">
        <f t="shared" si="46"/>
        <v>144.06442609680636</v>
      </c>
      <c r="G764" s="27">
        <f t="shared" si="47"/>
        <v>-1</v>
      </c>
    </row>
    <row r="765" spans="1:7" ht="15">
      <c r="A765" s="25"/>
      <c r="B765" s="18"/>
      <c r="C765" s="18">
        <f t="shared" si="44"/>
        <v>132.12152366475473</v>
      </c>
      <c r="D765" s="27">
        <f t="shared" si="45"/>
        <v>-1</v>
      </c>
      <c r="E765" s="18"/>
      <c r="F765" s="18">
        <f t="shared" si="46"/>
        <v>144.06442609680636</v>
      </c>
      <c r="G765" s="27">
        <f t="shared" si="47"/>
        <v>-1</v>
      </c>
    </row>
    <row r="766" spans="1:7" ht="15">
      <c r="A766" s="25"/>
      <c r="B766" s="18"/>
      <c r="C766" s="18">
        <f t="shared" si="44"/>
        <v>132.12152366475473</v>
      </c>
      <c r="D766" s="27">
        <f t="shared" si="45"/>
        <v>-1</v>
      </c>
      <c r="E766" s="18"/>
      <c r="F766" s="18">
        <f t="shared" si="46"/>
        <v>144.06442609680636</v>
      </c>
      <c r="G766" s="27">
        <f t="shared" si="47"/>
        <v>-1</v>
      </c>
    </row>
    <row r="767" spans="1:7" ht="15">
      <c r="A767" s="25"/>
      <c r="B767" s="18"/>
      <c r="C767" s="18">
        <f t="shared" si="44"/>
        <v>132.12152366475473</v>
      </c>
      <c r="D767" s="27">
        <f t="shared" si="45"/>
        <v>-1</v>
      </c>
      <c r="E767" s="18"/>
      <c r="F767" s="18">
        <f t="shared" si="46"/>
        <v>144.06442609680636</v>
      </c>
      <c r="G767" s="27">
        <f t="shared" si="47"/>
        <v>-1</v>
      </c>
    </row>
    <row r="768" spans="1:7" ht="15">
      <c r="A768" s="25"/>
      <c r="B768" s="18"/>
      <c r="C768" s="18">
        <f t="shared" si="44"/>
        <v>132.12152366475473</v>
      </c>
      <c r="D768" s="27">
        <f t="shared" si="45"/>
        <v>-1</v>
      </c>
      <c r="E768" s="18"/>
      <c r="F768" s="18">
        <f t="shared" si="46"/>
        <v>144.06442609680636</v>
      </c>
      <c r="G768" s="27">
        <f t="shared" si="47"/>
        <v>-1</v>
      </c>
    </row>
    <row r="769" spans="1:7" ht="15">
      <c r="A769" s="25"/>
      <c r="B769" s="18"/>
      <c r="C769" s="18">
        <f t="shared" si="44"/>
        <v>132.12152366475473</v>
      </c>
      <c r="D769" s="27">
        <f t="shared" si="45"/>
        <v>-1</v>
      </c>
      <c r="E769" s="18"/>
      <c r="F769" s="18">
        <f t="shared" si="46"/>
        <v>144.06442609680636</v>
      </c>
      <c r="G769" s="27">
        <f t="shared" si="47"/>
        <v>-1</v>
      </c>
    </row>
    <row r="770" spans="1:7" ht="15">
      <c r="A770" s="25"/>
      <c r="B770" s="18"/>
      <c r="C770" s="18">
        <f t="shared" si="44"/>
        <v>132.12152366475473</v>
      </c>
      <c r="D770" s="27">
        <f t="shared" si="45"/>
        <v>-1</v>
      </c>
      <c r="E770" s="18"/>
      <c r="F770" s="18">
        <f t="shared" si="46"/>
        <v>144.06442609680636</v>
      </c>
      <c r="G770" s="27">
        <f t="shared" si="47"/>
        <v>-1</v>
      </c>
    </row>
    <row r="771" spans="1:7" ht="15">
      <c r="A771" s="25"/>
      <c r="B771" s="18"/>
      <c r="C771" s="18">
        <f t="shared" si="44"/>
        <v>132.12152366475473</v>
      </c>
      <c r="D771" s="27">
        <f t="shared" si="45"/>
        <v>-1</v>
      </c>
      <c r="E771" s="18"/>
      <c r="F771" s="18">
        <f t="shared" si="46"/>
        <v>144.06442609680636</v>
      </c>
      <c r="G771" s="27">
        <f t="shared" si="47"/>
        <v>-1</v>
      </c>
    </row>
    <row r="772" spans="1:7" ht="15">
      <c r="A772" s="25"/>
      <c r="B772" s="18"/>
      <c r="C772" s="18">
        <f t="shared" si="44"/>
        <v>132.12152366475473</v>
      </c>
      <c r="D772" s="27">
        <f t="shared" si="45"/>
        <v>-1</v>
      </c>
      <c r="E772" s="18"/>
      <c r="F772" s="18">
        <f t="shared" si="46"/>
        <v>144.06442609680636</v>
      </c>
      <c r="G772" s="27">
        <f t="shared" si="47"/>
        <v>-1</v>
      </c>
    </row>
    <row r="773" spans="1:7" ht="15">
      <c r="A773" s="25"/>
      <c r="B773" s="18"/>
      <c r="C773" s="18">
        <f t="shared" si="44"/>
        <v>132.12152366475473</v>
      </c>
      <c r="D773" s="27">
        <f t="shared" si="45"/>
        <v>-1</v>
      </c>
      <c r="E773" s="18"/>
      <c r="F773" s="18">
        <f t="shared" si="46"/>
        <v>144.06442609680636</v>
      </c>
      <c r="G773" s="27">
        <f t="shared" si="47"/>
        <v>-1</v>
      </c>
    </row>
    <row r="774" spans="1:7" ht="15">
      <c r="A774" s="25"/>
      <c r="B774" s="18"/>
      <c r="C774" s="18">
        <f t="shared" si="44"/>
        <v>132.12152366475473</v>
      </c>
      <c r="D774" s="27">
        <f t="shared" si="45"/>
        <v>-1</v>
      </c>
      <c r="E774" s="18"/>
      <c r="F774" s="18">
        <f t="shared" si="46"/>
        <v>144.06442609680636</v>
      </c>
      <c r="G774" s="27">
        <f t="shared" si="47"/>
        <v>-1</v>
      </c>
    </row>
    <row r="775" spans="1:7" ht="15">
      <c r="A775" s="25"/>
      <c r="B775" s="18"/>
      <c r="C775" s="18">
        <f t="shared" si="44"/>
        <v>132.12152366475473</v>
      </c>
      <c r="D775" s="27">
        <f t="shared" si="45"/>
        <v>-1</v>
      </c>
      <c r="E775" s="18"/>
      <c r="F775" s="18">
        <f t="shared" si="46"/>
        <v>144.06442609680636</v>
      </c>
      <c r="G775" s="27">
        <f t="shared" si="47"/>
        <v>-1</v>
      </c>
    </row>
    <row r="776" spans="1:7" ht="15">
      <c r="A776" s="25"/>
      <c r="B776" s="18"/>
      <c r="C776" s="18">
        <f t="shared" si="44"/>
        <v>132.12152366475473</v>
      </c>
      <c r="D776" s="27">
        <f t="shared" si="45"/>
        <v>-1</v>
      </c>
      <c r="E776" s="18"/>
      <c r="F776" s="18">
        <f t="shared" si="46"/>
        <v>144.06442609680636</v>
      </c>
      <c r="G776" s="27">
        <f t="shared" si="47"/>
        <v>-1</v>
      </c>
    </row>
    <row r="777" spans="1:7" ht="15">
      <c r="A777" s="25"/>
      <c r="B777" s="18"/>
      <c r="C777" s="18">
        <f t="shared" si="44"/>
        <v>132.12152366475473</v>
      </c>
      <c r="D777" s="27">
        <f t="shared" si="45"/>
        <v>-1</v>
      </c>
      <c r="E777" s="18"/>
      <c r="F777" s="18">
        <f t="shared" si="46"/>
        <v>144.06442609680636</v>
      </c>
      <c r="G777" s="27">
        <f t="shared" si="47"/>
        <v>-1</v>
      </c>
    </row>
    <row r="778" spans="1:7" ht="15">
      <c r="A778" s="25"/>
      <c r="B778" s="18"/>
      <c r="C778" s="18">
        <f t="shared" si="44"/>
        <v>132.12152366475473</v>
      </c>
      <c r="D778" s="27">
        <f t="shared" si="45"/>
        <v>-1</v>
      </c>
      <c r="E778" s="18"/>
      <c r="F778" s="18">
        <f t="shared" si="46"/>
        <v>144.06442609680636</v>
      </c>
      <c r="G778" s="27">
        <f t="shared" si="47"/>
        <v>-1</v>
      </c>
    </row>
    <row r="779" spans="1:7" ht="15">
      <c r="A779" s="25"/>
      <c r="B779" s="18"/>
      <c r="C779" s="18">
        <f t="shared" si="44"/>
        <v>132.12152366475473</v>
      </c>
      <c r="D779" s="27">
        <f t="shared" si="45"/>
        <v>-1</v>
      </c>
      <c r="E779" s="18"/>
      <c r="F779" s="18">
        <f t="shared" si="46"/>
        <v>144.06442609680636</v>
      </c>
      <c r="G779" s="27">
        <f t="shared" si="47"/>
        <v>-1</v>
      </c>
    </row>
    <row r="780" spans="1:7" ht="15">
      <c r="A780" s="25"/>
      <c r="B780" s="18"/>
      <c r="C780" s="18">
        <f t="shared" si="44"/>
        <v>132.12152366475473</v>
      </c>
      <c r="D780" s="27">
        <f t="shared" si="45"/>
        <v>-1</v>
      </c>
      <c r="E780" s="18"/>
      <c r="F780" s="18">
        <f t="shared" si="46"/>
        <v>144.06442609680636</v>
      </c>
      <c r="G780" s="27">
        <f t="shared" si="47"/>
        <v>-1</v>
      </c>
    </row>
    <row r="781" spans="1:7" ht="15">
      <c r="A781" s="25"/>
      <c r="B781" s="18"/>
      <c r="C781" s="18">
        <f t="shared" si="44"/>
        <v>132.12152366475473</v>
      </c>
      <c r="D781" s="27">
        <f t="shared" si="45"/>
        <v>-1</v>
      </c>
      <c r="E781" s="18"/>
      <c r="F781" s="18">
        <f t="shared" si="46"/>
        <v>144.06442609680636</v>
      </c>
      <c r="G781" s="27">
        <f t="shared" si="47"/>
        <v>-1</v>
      </c>
    </row>
    <row r="782" spans="1:7" ht="15">
      <c r="A782" s="25"/>
      <c r="B782" s="18"/>
      <c r="C782" s="18">
        <f t="shared" si="44"/>
        <v>132.12152366475473</v>
      </c>
      <c r="D782" s="27">
        <f t="shared" si="45"/>
        <v>-1</v>
      </c>
      <c r="E782" s="18"/>
      <c r="F782" s="18">
        <f t="shared" si="46"/>
        <v>144.06442609680636</v>
      </c>
      <c r="G782" s="27">
        <f t="shared" si="47"/>
        <v>-1</v>
      </c>
    </row>
    <row r="783" spans="1:7" ht="15">
      <c r="A783" s="25"/>
      <c r="B783" s="18"/>
      <c r="C783" s="18">
        <f t="shared" si="44"/>
        <v>132.12152366475473</v>
      </c>
      <c r="D783" s="27">
        <f t="shared" si="45"/>
        <v>-1</v>
      </c>
      <c r="E783" s="18"/>
      <c r="F783" s="18">
        <f t="shared" si="46"/>
        <v>144.06442609680636</v>
      </c>
      <c r="G783" s="27">
        <f t="shared" si="47"/>
        <v>-1</v>
      </c>
    </row>
    <row r="784" spans="1:7" ht="15">
      <c r="A784" s="25"/>
      <c r="B784" s="18"/>
      <c r="C784" s="18">
        <f t="shared" ref="C784:C797" si="48">MAX(C783,B784)</f>
        <v>132.12152366475473</v>
      </c>
      <c r="D784" s="27">
        <f t="shared" ref="D784:D797" si="49">B784/C784-1</f>
        <v>-1</v>
      </c>
      <c r="E784" s="18"/>
      <c r="F784" s="18">
        <f t="shared" ref="F784:F797" si="50">MAX(F783,E784)</f>
        <v>144.06442609680636</v>
      </c>
      <c r="G784" s="27">
        <f t="shared" ref="G784:G797" si="51">E784/F784-1</f>
        <v>-1</v>
      </c>
    </row>
    <row r="785" spans="1:7" ht="15">
      <c r="A785" s="25"/>
      <c r="B785" s="18"/>
      <c r="C785" s="18">
        <f t="shared" si="48"/>
        <v>132.12152366475473</v>
      </c>
      <c r="D785" s="27">
        <f t="shared" si="49"/>
        <v>-1</v>
      </c>
      <c r="E785" s="18"/>
      <c r="F785" s="18">
        <f t="shared" si="50"/>
        <v>144.06442609680636</v>
      </c>
      <c r="G785" s="27">
        <f t="shared" si="51"/>
        <v>-1</v>
      </c>
    </row>
    <row r="786" spans="1:7" ht="15">
      <c r="A786" s="25"/>
      <c r="B786" s="18"/>
      <c r="C786" s="18">
        <f t="shared" si="48"/>
        <v>132.12152366475473</v>
      </c>
      <c r="D786" s="27">
        <f t="shared" si="49"/>
        <v>-1</v>
      </c>
      <c r="E786" s="18"/>
      <c r="F786" s="18">
        <f t="shared" si="50"/>
        <v>144.06442609680636</v>
      </c>
      <c r="G786" s="27">
        <f t="shared" si="51"/>
        <v>-1</v>
      </c>
    </row>
    <row r="787" spans="1:7" ht="15">
      <c r="A787" s="25"/>
      <c r="B787" s="18"/>
      <c r="C787" s="18">
        <f t="shared" si="48"/>
        <v>132.12152366475473</v>
      </c>
      <c r="D787" s="27">
        <f t="shared" si="49"/>
        <v>-1</v>
      </c>
      <c r="E787" s="18"/>
      <c r="F787" s="18">
        <f t="shared" si="50"/>
        <v>144.06442609680636</v>
      </c>
      <c r="G787" s="27">
        <f t="shared" si="51"/>
        <v>-1</v>
      </c>
    </row>
    <row r="788" spans="1:7" ht="15">
      <c r="A788" s="25"/>
      <c r="B788" s="18"/>
      <c r="C788" s="18">
        <f t="shared" si="48"/>
        <v>132.12152366475473</v>
      </c>
      <c r="D788" s="27">
        <f t="shared" si="49"/>
        <v>-1</v>
      </c>
      <c r="E788" s="18"/>
      <c r="F788" s="18">
        <f t="shared" si="50"/>
        <v>144.06442609680636</v>
      </c>
      <c r="G788" s="27">
        <f t="shared" si="51"/>
        <v>-1</v>
      </c>
    </row>
    <row r="789" spans="1:7" ht="15">
      <c r="A789" s="25"/>
      <c r="B789" s="18"/>
      <c r="C789" s="18">
        <f t="shared" si="48"/>
        <v>132.12152366475473</v>
      </c>
      <c r="D789" s="27">
        <f t="shared" si="49"/>
        <v>-1</v>
      </c>
      <c r="E789" s="18"/>
      <c r="F789" s="18">
        <f t="shared" si="50"/>
        <v>144.06442609680636</v>
      </c>
      <c r="G789" s="27">
        <f t="shared" si="51"/>
        <v>-1</v>
      </c>
    </row>
    <row r="790" spans="1:7" ht="15">
      <c r="A790" s="25"/>
      <c r="B790" s="18"/>
      <c r="C790" s="18">
        <f t="shared" si="48"/>
        <v>132.12152366475473</v>
      </c>
      <c r="D790" s="27">
        <f t="shared" si="49"/>
        <v>-1</v>
      </c>
      <c r="E790" s="18"/>
      <c r="F790" s="18">
        <f t="shared" si="50"/>
        <v>144.06442609680636</v>
      </c>
      <c r="G790" s="27">
        <f t="shared" si="51"/>
        <v>-1</v>
      </c>
    </row>
    <row r="791" spans="1:7" ht="15">
      <c r="A791" s="25"/>
      <c r="B791" s="18"/>
      <c r="C791" s="18">
        <f t="shared" si="48"/>
        <v>132.12152366475473</v>
      </c>
      <c r="D791" s="27">
        <f t="shared" si="49"/>
        <v>-1</v>
      </c>
      <c r="E791" s="18"/>
      <c r="F791" s="18">
        <f t="shared" si="50"/>
        <v>144.06442609680636</v>
      </c>
      <c r="G791" s="27">
        <f t="shared" si="51"/>
        <v>-1</v>
      </c>
    </row>
    <row r="792" spans="1:7" ht="15">
      <c r="A792" s="25"/>
      <c r="B792" s="18"/>
      <c r="C792" s="18">
        <f t="shared" si="48"/>
        <v>132.12152366475473</v>
      </c>
      <c r="D792" s="27">
        <f t="shared" si="49"/>
        <v>-1</v>
      </c>
      <c r="E792" s="18"/>
      <c r="F792" s="18">
        <f t="shared" si="50"/>
        <v>144.06442609680636</v>
      </c>
      <c r="G792" s="27">
        <f t="shared" si="51"/>
        <v>-1</v>
      </c>
    </row>
    <row r="793" spans="1:7" ht="15">
      <c r="A793" s="25"/>
      <c r="B793" s="18"/>
      <c r="C793" s="18">
        <f t="shared" si="48"/>
        <v>132.12152366475473</v>
      </c>
      <c r="D793" s="27">
        <f t="shared" si="49"/>
        <v>-1</v>
      </c>
      <c r="E793" s="18"/>
      <c r="F793" s="18">
        <f t="shared" si="50"/>
        <v>144.06442609680636</v>
      </c>
      <c r="G793" s="27">
        <f t="shared" si="51"/>
        <v>-1</v>
      </c>
    </row>
    <row r="794" spans="1:7" ht="15">
      <c r="A794" s="25"/>
      <c r="B794" s="18"/>
      <c r="C794" s="18">
        <f t="shared" si="48"/>
        <v>132.12152366475473</v>
      </c>
      <c r="D794" s="27">
        <f t="shared" si="49"/>
        <v>-1</v>
      </c>
      <c r="E794" s="18"/>
      <c r="F794" s="18">
        <f t="shared" si="50"/>
        <v>144.06442609680636</v>
      </c>
      <c r="G794" s="27">
        <f t="shared" si="51"/>
        <v>-1</v>
      </c>
    </row>
    <row r="795" spans="1:7" ht="15">
      <c r="A795" s="25"/>
      <c r="B795" s="18"/>
      <c r="C795" s="18">
        <f t="shared" si="48"/>
        <v>132.12152366475473</v>
      </c>
      <c r="D795" s="27">
        <f t="shared" si="49"/>
        <v>-1</v>
      </c>
      <c r="E795" s="18"/>
      <c r="F795" s="18">
        <f t="shared" si="50"/>
        <v>144.06442609680636</v>
      </c>
      <c r="G795" s="27">
        <f t="shared" si="51"/>
        <v>-1</v>
      </c>
    </row>
    <row r="796" spans="1:7" ht="15">
      <c r="A796" s="25"/>
      <c r="B796" s="18"/>
      <c r="C796" s="18">
        <f t="shared" si="48"/>
        <v>132.12152366475473</v>
      </c>
      <c r="D796" s="27">
        <f t="shared" si="49"/>
        <v>-1</v>
      </c>
      <c r="E796" s="18"/>
      <c r="F796" s="18">
        <f t="shared" si="50"/>
        <v>144.06442609680636</v>
      </c>
      <c r="G796" s="27">
        <f t="shared" si="51"/>
        <v>-1</v>
      </c>
    </row>
    <row r="797" spans="1:7" ht="15">
      <c r="A797" s="25"/>
      <c r="B797" s="18"/>
      <c r="C797" s="18">
        <f t="shared" si="48"/>
        <v>132.12152366475473</v>
      </c>
      <c r="D797" s="27">
        <f t="shared" si="49"/>
        <v>-1</v>
      </c>
      <c r="E797" s="18"/>
      <c r="F797" s="18">
        <f t="shared" si="50"/>
        <v>144.06442609680636</v>
      </c>
      <c r="G797" s="27">
        <f t="shared" si="51"/>
        <v>-1</v>
      </c>
    </row>
    <row r="798" spans="1:7" ht="15">
      <c r="A798" s="3"/>
      <c r="B798" s="3"/>
      <c r="C798" s="3"/>
      <c r="D798" s="3"/>
      <c r="E798" s="3"/>
      <c r="F798" s="3"/>
      <c r="G798" s="3"/>
    </row>
    <row r="799" spans="1:7" ht="15">
      <c r="A799" s="3"/>
      <c r="B799" s="3"/>
      <c r="C799" s="3"/>
      <c r="D799" s="3"/>
      <c r="E799" s="3"/>
      <c r="F799" s="3"/>
      <c r="G799" s="3"/>
    </row>
    <row r="800" spans="1:7" ht="15">
      <c r="A800" s="3"/>
      <c r="B800" s="3"/>
      <c r="C800" s="3"/>
      <c r="D800" s="3"/>
      <c r="E800" s="3"/>
      <c r="F800" s="3"/>
      <c r="G800" s="3"/>
    </row>
    <row r="801" spans="1:7" ht="15">
      <c r="A801" s="3"/>
      <c r="B801" s="3"/>
      <c r="C801" s="3"/>
      <c r="D801" s="3"/>
      <c r="E801" s="3"/>
      <c r="F801" s="3"/>
      <c r="G801" s="3"/>
    </row>
    <row r="802" spans="1:7" ht="15">
      <c r="A802" s="3"/>
      <c r="B802" s="3"/>
      <c r="C802" s="3"/>
      <c r="D802" s="3"/>
      <c r="E802" s="3"/>
      <c r="F802" s="3"/>
      <c r="G802" s="3"/>
    </row>
    <row r="803" spans="1:7" ht="15">
      <c r="A803" s="3"/>
      <c r="B803" s="3"/>
      <c r="C803" s="3"/>
      <c r="D803" s="3"/>
      <c r="E803" s="3"/>
      <c r="F803" s="3"/>
      <c r="G803" s="3"/>
    </row>
    <row r="804" spans="1:7" ht="15">
      <c r="A804" s="3"/>
      <c r="B804" s="3"/>
      <c r="C804" s="3"/>
      <c r="D804" s="3"/>
      <c r="E804" s="3"/>
      <c r="F804" s="3"/>
      <c r="G804" s="3"/>
    </row>
    <row r="805" spans="1:7" ht="15">
      <c r="A805" s="3"/>
      <c r="B805" s="3"/>
      <c r="C805" s="3"/>
      <c r="D805" s="3"/>
      <c r="E805" s="3"/>
      <c r="F805" s="3"/>
      <c r="G805" s="3"/>
    </row>
    <row r="806" spans="1:7" ht="15">
      <c r="A806" s="3"/>
      <c r="B806" s="3"/>
      <c r="C806" s="3"/>
      <c r="D806" s="3"/>
      <c r="E806" s="3"/>
      <c r="F806" s="3"/>
      <c r="G806" s="3"/>
    </row>
    <row r="807" spans="1:7" ht="15">
      <c r="A807" s="3"/>
      <c r="B807" s="3"/>
      <c r="C807" s="3"/>
      <c r="D807" s="3"/>
      <c r="E807" s="3"/>
      <c r="F807" s="3"/>
      <c r="G807" s="3"/>
    </row>
    <row r="808" spans="1:7" ht="15">
      <c r="A808" s="3"/>
      <c r="B808" s="3"/>
      <c r="C808" s="3"/>
      <c r="D808" s="3"/>
      <c r="E808" s="3"/>
      <c r="F808" s="3"/>
      <c r="G808" s="3"/>
    </row>
    <row r="809" spans="1:7" ht="15">
      <c r="A809" s="3"/>
      <c r="B809" s="3"/>
      <c r="C809" s="3"/>
      <c r="D809" s="3"/>
      <c r="E809" s="3"/>
      <c r="F809" s="3"/>
      <c r="G809" s="3"/>
    </row>
    <row r="810" spans="1:7" ht="15">
      <c r="A810" s="3"/>
      <c r="B810" s="3"/>
      <c r="C810" s="3"/>
      <c r="D810" s="3"/>
      <c r="E810" s="3"/>
      <c r="F810" s="3"/>
      <c r="G810" s="3"/>
    </row>
    <row r="811" spans="1:7" ht="15">
      <c r="A811" s="3"/>
      <c r="B811" s="3"/>
      <c r="C811" s="3"/>
      <c r="D811" s="3"/>
      <c r="E811" s="3"/>
      <c r="F811" s="3"/>
      <c r="G811" s="3"/>
    </row>
    <row r="812" spans="1:7" ht="15">
      <c r="A812" s="3"/>
      <c r="B812" s="3"/>
      <c r="C812" s="3"/>
      <c r="D812" s="3"/>
      <c r="E812" s="3"/>
      <c r="F812" s="3"/>
      <c r="G812" s="3"/>
    </row>
    <row r="813" spans="1:7" ht="15">
      <c r="A813" s="3"/>
      <c r="B813" s="3"/>
      <c r="C813" s="3"/>
      <c r="D813" s="3"/>
      <c r="E813" s="3"/>
      <c r="F813" s="3"/>
      <c r="G813" s="3"/>
    </row>
    <row r="814" spans="1:7" ht="15">
      <c r="A814" s="3"/>
      <c r="B814" s="3"/>
      <c r="C814" s="3"/>
      <c r="D814" s="3"/>
      <c r="E814" s="3"/>
      <c r="F814" s="3"/>
      <c r="G814" s="3"/>
    </row>
    <row r="815" spans="1:7" ht="15">
      <c r="A815" s="3"/>
      <c r="B815" s="3"/>
      <c r="C815" s="3"/>
      <c r="D815" s="3"/>
      <c r="E815" s="3"/>
      <c r="F815" s="3"/>
      <c r="G815" s="3"/>
    </row>
    <row r="816" spans="1:7" ht="15">
      <c r="A816" s="3"/>
      <c r="B816" s="3"/>
      <c r="C816" s="3"/>
      <c r="D816" s="3"/>
      <c r="E816" s="3"/>
      <c r="F816" s="3"/>
      <c r="G816" s="3"/>
    </row>
    <row r="817" spans="1:7" ht="15">
      <c r="A817" s="3"/>
      <c r="B817" s="3"/>
      <c r="C817" s="3"/>
      <c r="D817" s="3"/>
      <c r="E817" s="3"/>
      <c r="F817" s="3"/>
      <c r="G817" s="3"/>
    </row>
    <row r="818" spans="1:7" ht="15">
      <c r="A818" s="3"/>
      <c r="B818" s="3"/>
      <c r="C818" s="3"/>
      <c r="D818" s="3"/>
      <c r="E818" s="3"/>
      <c r="F818" s="3"/>
      <c r="G818" s="3"/>
    </row>
    <row r="819" spans="1:7" ht="15">
      <c r="A819" s="3"/>
      <c r="B819" s="3"/>
      <c r="C819" s="3"/>
      <c r="D819" s="3"/>
      <c r="E819" s="3"/>
      <c r="F819" s="3"/>
      <c r="G819" s="3"/>
    </row>
    <row r="820" spans="1:7" ht="15">
      <c r="A820" s="3"/>
      <c r="B820" s="3"/>
      <c r="C820" s="3"/>
      <c r="D820" s="3"/>
      <c r="E820" s="3"/>
      <c r="F820" s="3"/>
      <c r="G820" s="3"/>
    </row>
    <row r="821" spans="1:7" ht="15">
      <c r="A821" s="3"/>
      <c r="B821" s="3"/>
      <c r="C821" s="3"/>
      <c r="D821" s="3"/>
      <c r="E821" s="3"/>
      <c r="F821" s="3"/>
      <c r="G821" s="3"/>
    </row>
    <row r="822" spans="1:7" ht="15">
      <c r="A822" s="3"/>
      <c r="B822" s="3"/>
      <c r="C822" s="3"/>
      <c r="D822" s="3"/>
      <c r="E822" s="3"/>
      <c r="F822" s="3"/>
      <c r="G822" s="3"/>
    </row>
    <row r="823" spans="1:7" ht="15">
      <c r="A823" s="3"/>
      <c r="B823" s="3"/>
      <c r="C823" s="3"/>
      <c r="D823" s="3"/>
      <c r="E823" s="3"/>
      <c r="F823" s="3"/>
      <c r="G823" s="3"/>
    </row>
    <row r="824" spans="1:7" ht="15">
      <c r="A824" s="3"/>
      <c r="B824" s="3"/>
      <c r="C824" s="3"/>
      <c r="D824" s="3"/>
      <c r="E824" s="3"/>
      <c r="F824" s="3"/>
      <c r="G824" s="3"/>
    </row>
    <row r="825" spans="1:7" ht="15">
      <c r="A825" s="3"/>
      <c r="B825" s="3"/>
      <c r="C825" s="3"/>
      <c r="D825" s="3"/>
      <c r="E825" s="3"/>
      <c r="F825" s="3"/>
      <c r="G825" s="3"/>
    </row>
    <row r="826" spans="1:7" ht="15">
      <c r="A826" s="3"/>
      <c r="B826" s="3"/>
      <c r="C826" s="3"/>
      <c r="D826" s="3"/>
      <c r="E826" s="3"/>
      <c r="F826" s="3"/>
      <c r="G826" s="3"/>
    </row>
    <row r="827" spans="1:7" ht="15">
      <c r="A827" s="3"/>
      <c r="B827" s="3"/>
      <c r="C827" s="3"/>
      <c r="D827" s="3"/>
      <c r="E827" s="3"/>
      <c r="F827" s="3"/>
      <c r="G827" s="3"/>
    </row>
    <row r="828" spans="1:7" ht="15">
      <c r="A828" s="3"/>
      <c r="B828" s="3"/>
      <c r="C828" s="3"/>
      <c r="D828" s="3"/>
      <c r="E828" s="3"/>
      <c r="F828" s="3"/>
      <c r="G828" s="3"/>
    </row>
    <row r="829" spans="1:7" ht="15">
      <c r="A829" s="3"/>
      <c r="B829" s="3"/>
      <c r="C829" s="3"/>
      <c r="D829" s="3"/>
      <c r="E829" s="3"/>
      <c r="F829" s="3"/>
      <c r="G829" s="3"/>
    </row>
    <row r="830" spans="1:7" ht="15">
      <c r="A830" s="3"/>
      <c r="B830" s="3"/>
      <c r="C830" s="3"/>
      <c r="D830" s="3"/>
      <c r="E830" s="3"/>
      <c r="F830" s="3"/>
      <c r="G830" s="3"/>
    </row>
    <row r="831" spans="1:7" ht="15">
      <c r="A831" s="3"/>
      <c r="B831" s="3"/>
      <c r="C831" s="3"/>
      <c r="D831" s="3"/>
      <c r="E831" s="3"/>
      <c r="F831" s="3"/>
      <c r="G831" s="3"/>
    </row>
    <row r="832" spans="1:7" ht="15">
      <c r="A832" s="3"/>
      <c r="B832" s="3"/>
      <c r="C832" s="3"/>
      <c r="D832" s="3"/>
      <c r="E832" s="3"/>
      <c r="F832" s="3"/>
      <c r="G832" s="3"/>
    </row>
    <row r="833" spans="1:7" ht="15">
      <c r="A833" s="3"/>
      <c r="B833" s="3"/>
      <c r="C833" s="3"/>
      <c r="D833" s="3"/>
      <c r="E833" s="3"/>
      <c r="F833" s="3"/>
      <c r="G833" s="3"/>
    </row>
    <row r="834" spans="1:7" ht="15">
      <c r="A834" s="3"/>
      <c r="B834" s="3"/>
      <c r="C834" s="3"/>
      <c r="D834" s="3"/>
      <c r="E834" s="3"/>
      <c r="F834" s="3"/>
      <c r="G834" s="3"/>
    </row>
    <row r="835" spans="1:7" ht="15">
      <c r="A835" s="3"/>
      <c r="B835" s="3"/>
      <c r="C835" s="3"/>
      <c r="D835" s="3"/>
      <c r="E835" s="3"/>
      <c r="F835" s="3"/>
      <c r="G835" s="3"/>
    </row>
    <row r="836" spans="1:7" ht="15">
      <c r="A836" s="3"/>
      <c r="B836" s="3"/>
      <c r="C836" s="3"/>
      <c r="D836" s="3"/>
      <c r="E836" s="3"/>
      <c r="F836" s="3"/>
      <c r="G836" s="3"/>
    </row>
    <row r="837" spans="1:7" ht="15">
      <c r="A837" s="3"/>
      <c r="B837" s="3"/>
      <c r="C837" s="3"/>
      <c r="D837" s="3"/>
      <c r="E837" s="3"/>
      <c r="F837" s="3"/>
      <c r="G837" s="3"/>
    </row>
    <row r="838" spans="1:7" ht="15">
      <c r="A838" s="3"/>
      <c r="B838" s="3"/>
      <c r="C838" s="3"/>
      <c r="D838" s="3"/>
      <c r="E838" s="3"/>
      <c r="F838" s="3"/>
      <c r="G838" s="3"/>
    </row>
    <row r="839" spans="1:7" ht="15">
      <c r="A839" s="3"/>
      <c r="B839" s="3"/>
      <c r="C839" s="3"/>
      <c r="D839" s="3"/>
      <c r="E839" s="3"/>
      <c r="F839" s="3"/>
      <c r="G839" s="3"/>
    </row>
    <row r="840" spans="1:7" ht="15">
      <c r="A840" s="3"/>
      <c r="B840" s="3"/>
      <c r="C840" s="3"/>
      <c r="D840" s="3"/>
      <c r="E840" s="3"/>
      <c r="F840" s="3"/>
      <c r="G840" s="3"/>
    </row>
    <row r="841" spans="1:7" ht="15">
      <c r="A841" s="3"/>
      <c r="B841" s="3"/>
      <c r="C841" s="3"/>
      <c r="D841" s="3"/>
      <c r="E841" s="3"/>
      <c r="F841" s="3"/>
      <c r="G841" s="3"/>
    </row>
    <row r="842" spans="1:7" ht="15">
      <c r="A842" s="3"/>
      <c r="B842" s="3"/>
      <c r="C842" s="3"/>
      <c r="D842" s="3"/>
      <c r="E842" s="3"/>
      <c r="F842" s="3"/>
      <c r="G842" s="3"/>
    </row>
    <row r="843" spans="1:7" ht="15">
      <c r="A843" s="3"/>
      <c r="B843" s="3"/>
      <c r="C843" s="3"/>
      <c r="D843" s="3"/>
      <c r="E843" s="3"/>
      <c r="F843" s="3"/>
      <c r="G843" s="3"/>
    </row>
    <row r="844" spans="1:7" ht="15">
      <c r="A844" s="3"/>
      <c r="B844" s="3"/>
      <c r="C844" s="3"/>
      <c r="D844" s="3"/>
      <c r="E844" s="3"/>
      <c r="F844" s="3"/>
      <c r="G844" s="3"/>
    </row>
    <row r="845" spans="1:7" ht="15">
      <c r="A845" s="3"/>
      <c r="B845" s="3"/>
      <c r="C845" s="3"/>
      <c r="D845" s="3"/>
      <c r="E845" s="3"/>
      <c r="F845" s="3"/>
      <c r="G845" s="3"/>
    </row>
    <row r="846" spans="1:7" ht="15">
      <c r="A846" s="3"/>
      <c r="B846" s="3"/>
      <c r="C846" s="3"/>
      <c r="D846" s="3"/>
      <c r="E846" s="3"/>
      <c r="F846" s="3"/>
      <c r="G846" s="3"/>
    </row>
    <row r="847" spans="1:7" ht="15">
      <c r="A847" s="3"/>
      <c r="B847" s="3"/>
      <c r="C847" s="3"/>
      <c r="D847" s="3"/>
      <c r="E847" s="3"/>
      <c r="F847" s="3"/>
      <c r="G847" s="3"/>
    </row>
    <row r="848" spans="1:7" ht="15">
      <c r="A848" s="3"/>
      <c r="B848" s="3"/>
      <c r="C848" s="3"/>
      <c r="D848" s="3"/>
      <c r="E848" s="3"/>
      <c r="F848" s="3"/>
      <c r="G848" s="3"/>
    </row>
    <row r="849" spans="1:7" ht="15">
      <c r="A849" s="3"/>
      <c r="B849" s="3"/>
      <c r="C849" s="3"/>
      <c r="D849" s="3"/>
      <c r="E849" s="3"/>
      <c r="F849" s="3"/>
      <c r="G849" s="3"/>
    </row>
    <row r="850" spans="1:7" ht="15">
      <c r="A850" s="3"/>
      <c r="B850" s="3"/>
      <c r="C850" s="3"/>
      <c r="D850" s="3"/>
      <c r="E850" s="3"/>
      <c r="F850" s="3"/>
      <c r="G850" s="3"/>
    </row>
    <row r="851" spans="1:7" ht="15">
      <c r="A851" s="3"/>
      <c r="B851" s="3"/>
      <c r="C851" s="3"/>
      <c r="D851" s="3"/>
      <c r="E851" s="3"/>
      <c r="F851" s="3"/>
      <c r="G851" s="3"/>
    </row>
    <row r="852" spans="1:7" ht="15">
      <c r="A852" s="3"/>
      <c r="B852" s="3"/>
      <c r="C852" s="3"/>
      <c r="D852" s="3"/>
      <c r="E852" s="3"/>
      <c r="F852" s="3"/>
      <c r="G852" s="3"/>
    </row>
    <row r="853" spans="1:7" ht="15">
      <c r="A853" s="3"/>
      <c r="B853" s="3"/>
      <c r="C853" s="3"/>
      <c r="D853" s="3"/>
      <c r="E853" s="3"/>
      <c r="F853" s="3"/>
      <c r="G853" s="3"/>
    </row>
    <row r="854" spans="1:7" ht="15">
      <c r="A854" s="3"/>
      <c r="B854" s="3"/>
      <c r="C854" s="3"/>
      <c r="D854" s="3"/>
      <c r="E854" s="3"/>
      <c r="F854" s="3"/>
      <c r="G854" s="3"/>
    </row>
    <row r="855" spans="1:7" ht="15">
      <c r="A855" s="3"/>
      <c r="B855" s="3"/>
      <c r="C855" s="3"/>
      <c r="D855" s="3"/>
      <c r="E855" s="3"/>
      <c r="F855" s="3"/>
      <c r="G855" s="3"/>
    </row>
    <row r="856" spans="1:7" ht="15">
      <c r="A856" s="3"/>
      <c r="B856" s="3"/>
      <c r="C856" s="3"/>
      <c r="D856" s="3"/>
      <c r="E856" s="3"/>
      <c r="F856" s="3"/>
      <c r="G856" s="3"/>
    </row>
    <row r="857" spans="1:7" ht="15">
      <c r="A857" s="3"/>
      <c r="B857" s="3"/>
      <c r="C857" s="3"/>
      <c r="D857" s="3"/>
      <c r="E857" s="3"/>
      <c r="F857" s="3"/>
      <c r="G857" s="3"/>
    </row>
    <row r="858" spans="1:7" ht="15">
      <c r="A858" s="3"/>
      <c r="B858" s="3"/>
      <c r="C858" s="3"/>
      <c r="D858" s="3"/>
      <c r="E858" s="3"/>
      <c r="F858" s="3"/>
      <c r="G858" s="3"/>
    </row>
    <row r="859" spans="1:7" ht="15">
      <c r="A859" s="3"/>
      <c r="B859" s="3"/>
      <c r="C859" s="3"/>
      <c r="D859" s="3"/>
      <c r="E859" s="3"/>
      <c r="F859" s="3"/>
      <c r="G859" s="3"/>
    </row>
    <row r="860" spans="1:7" ht="15">
      <c r="A860" s="3"/>
      <c r="B860" s="3"/>
      <c r="C860" s="3"/>
      <c r="D860" s="3"/>
      <c r="E860" s="3"/>
      <c r="F860" s="3"/>
      <c r="G860" s="3"/>
    </row>
    <row r="861" spans="1:7" ht="15">
      <c r="A861" s="3"/>
      <c r="B861" s="3"/>
      <c r="C861" s="3"/>
      <c r="D861" s="3"/>
      <c r="E861" s="3"/>
      <c r="F861" s="3"/>
      <c r="G861" s="3"/>
    </row>
    <row r="862" spans="1:7" ht="15">
      <c r="A862" s="3"/>
      <c r="B862" s="3"/>
      <c r="C862" s="3"/>
      <c r="D862" s="3"/>
      <c r="E862" s="3"/>
      <c r="F862" s="3"/>
      <c r="G862" s="3"/>
    </row>
    <row r="863" spans="1:7" ht="15">
      <c r="A863" s="3"/>
      <c r="B863" s="3"/>
      <c r="C863" s="3"/>
      <c r="D863" s="3"/>
      <c r="E863" s="3"/>
      <c r="F863" s="3"/>
      <c r="G863" s="3"/>
    </row>
    <row r="864" spans="1:7" ht="15">
      <c r="A864" s="3"/>
      <c r="B864" s="3"/>
      <c r="C864" s="3"/>
      <c r="D864" s="3"/>
      <c r="E864" s="3"/>
      <c r="F864" s="3"/>
      <c r="G864" s="3"/>
    </row>
    <row r="865" spans="1:7" ht="15">
      <c r="A865" s="3"/>
      <c r="B865" s="3"/>
      <c r="C865" s="3"/>
      <c r="D865" s="3"/>
      <c r="E865" s="3"/>
      <c r="F865" s="3"/>
      <c r="G865" s="3"/>
    </row>
    <row r="866" spans="1:7" ht="15">
      <c r="A866" s="3"/>
      <c r="B866" s="3"/>
      <c r="C866" s="3"/>
      <c r="D866" s="3"/>
      <c r="E866" s="3"/>
      <c r="F866" s="3"/>
      <c r="G866" s="3"/>
    </row>
    <row r="867" spans="1:7" ht="15">
      <c r="A867" s="3"/>
      <c r="B867" s="3"/>
      <c r="C867" s="3"/>
      <c r="D867" s="3"/>
      <c r="E867" s="3"/>
      <c r="F867" s="3"/>
      <c r="G867" s="3"/>
    </row>
    <row r="868" spans="1:7" ht="15">
      <c r="A868" s="3"/>
      <c r="B868" s="3"/>
      <c r="C868" s="3"/>
      <c r="D868" s="3"/>
      <c r="E868" s="3"/>
      <c r="F868" s="3"/>
      <c r="G868" s="3"/>
    </row>
    <row r="869" spans="1:7" ht="15">
      <c r="A869" s="3"/>
      <c r="B869" s="3"/>
      <c r="C869" s="3"/>
      <c r="D869" s="3"/>
      <c r="E869" s="3"/>
      <c r="F869" s="3"/>
      <c r="G869" s="3"/>
    </row>
    <row r="870" spans="1:7" ht="15">
      <c r="A870" s="3"/>
      <c r="B870" s="3"/>
      <c r="C870" s="3"/>
      <c r="D870" s="3"/>
      <c r="E870" s="3"/>
      <c r="F870" s="3"/>
      <c r="G870" s="3"/>
    </row>
    <row r="871" spans="1:7" ht="15">
      <c r="A871" s="3"/>
      <c r="B871" s="3"/>
      <c r="C871" s="3"/>
      <c r="D871" s="3"/>
      <c r="E871" s="3"/>
      <c r="F871" s="3"/>
      <c r="G871" s="3"/>
    </row>
    <row r="872" spans="1:7" ht="15">
      <c r="A872" s="3"/>
      <c r="B872" s="3"/>
      <c r="C872" s="3"/>
      <c r="D872" s="3"/>
      <c r="E872" s="3"/>
      <c r="F872" s="3"/>
      <c r="G872" s="3"/>
    </row>
    <row r="873" spans="1:7" ht="15">
      <c r="A873" s="3"/>
      <c r="B873" s="3"/>
      <c r="C873" s="3"/>
      <c r="D873" s="3"/>
      <c r="E873" s="3"/>
      <c r="F873" s="3"/>
      <c r="G873" s="3"/>
    </row>
    <row r="874" spans="1:7" ht="15">
      <c r="A874" s="3"/>
      <c r="B874" s="3"/>
      <c r="C874" s="3"/>
      <c r="D874" s="3"/>
      <c r="E874" s="3"/>
      <c r="F874" s="3"/>
      <c r="G874" s="3"/>
    </row>
    <row r="875" spans="1:7" ht="15">
      <c r="A875" s="3"/>
      <c r="B875" s="3"/>
      <c r="C875" s="3"/>
      <c r="D875" s="3"/>
      <c r="E875" s="3"/>
      <c r="F875" s="3"/>
      <c r="G875" s="3"/>
    </row>
    <row r="876" spans="1:7" ht="15">
      <c r="A876" s="3"/>
      <c r="B876" s="3"/>
      <c r="C876" s="3"/>
      <c r="D876" s="3"/>
      <c r="E876" s="3"/>
      <c r="F876" s="3"/>
      <c r="G876" s="3"/>
    </row>
    <row r="877" spans="1:7" ht="15">
      <c r="A877" s="3"/>
      <c r="B877" s="3"/>
      <c r="C877" s="3"/>
      <c r="D877" s="3"/>
      <c r="E877" s="3"/>
      <c r="F877" s="3"/>
      <c r="G877" s="3"/>
    </row>
    <row r="878" spans="1:7" ht="15">
      <c r="A878" s="3"/>
      <c r="B878" s="3"/>
      <c r="C878" s="3"/>
      <c r="D878" s="3"/>
      <c r="E878" s="3"/>
      <c r="F878" s="3"/>
      <c r="G878" s="3"/>
    </row>
    <row r="879" spans="1:7" ht="15">
      <c r="A879" s="3"/>
      <c r="B879" s="3"/>
      <c r="C879" s="3"/>
      <c r="D879" s="3"/>
      <c r="E879" s="3"/>
      <c r="F879" s="3"/>
      <c r="G879" s="3"/>
    </row>
    <row r="880" spans="1:7" ht="15">
      <c r="A880" s="3"/>
      <c r="B880" s="3"/>
      <c r="C880" s="3"/>
      <c r="D880" s="3"/>
      <c r="E880" s="3"/>
      <c r="F880" s="3"/>
      <c r="G880" s="3"/>
    </row>
    <row r="881" spans="1:7" ht="15">
      <c r="A881" s="3"/>
      <c r="B881" s="3"/>
      <c r="C881" s="3"/>
      <c r="D881" s="3"/>
      <c r="E881" s="3"/>
      <c r="F881" s="3"/>
      <c r="G881" s="3"/>
    </row>
    <row r="882" spans="1:7" ht="15">
      <c r="A882" s="3"/>
      <c r="B882" s="3"/>
      <c r="C882" s="3"/>
      <c r="D882" s="3"/>
      <c r="E882" s="3"/>
      <c r="F882" s="3"/>
      <c r="G882" s="3"/>
    </row>
    <row r="883" spans="1:7" ht="15">
      <c r="A883" s="3"/>
      <c r="B883" s="3"/>
      <c r="C883" s="3"/>
      <c r="D883" s="3"/>
      <c r="E883" s="3"/>
      <c r="F883" s="3"/>
      <c r="G883" s="3"/>
    </row>
    <row r="884" spans="1:7" ht="15">
      <c r="A884" s="3"/>
      <c r="B884" s="3"/>
      <c r="C884" s="3"/>
      <c r="D884" s="3"/>
      <c r="E884" s="3"/>
      <c r="F884" s="3"/>
      <c r="G884" s="3"/>
    </row>
    <row r="885" spans="1:7" ht="15">
      <c r="A885" s="3"/>
      <c r="B885" s="3"/>
      <c r="C885" s="3"/>
      <c r="D885" s="3"/>
      <c r="E885" s="3"/>
      <c r="F885" s="3"/>
      <c r="G885" s="3"/>
    </row>
    <row r="886" spans="1:7" ht="15">
      <c r="A886" s="3"/>
      <c r="B886" s="3"/>
      <c r="C886" s="3"/>
      <c r="D886" s="3"/>
      <c r="E886" s="3"/>
      <c r="F886" s="3"/>
      <c r="G886" s="3"/>
    </row>
    <row r="887" spans="1:7" ht="15">
      <c r="A887" s="3"/>
      <c r="B887" s="3"/>
      <c r="C887" s="3"/>
      <c r="D887" s="3"/>
      <c r="E887" s="3"/>
      <c r="F887" s="3"/>
      <c r="G887" s="3"/>
    </row>
    <row r="888" spans="1:7" ht="15">
      <c r="A888" s="3"/>
      <c r="B888" s="3"/>
      <c r="C888" s="3"/>
      <c r="D888" s="3"/>
      <c r="E888" s="3"/>
      <c r="F888" s="3"/>
      <c r="G888" s="3"/>
    </row>
    <row r="889" spans="1:7" ht="15">
      <c r="A889" s="3"/>
      <c r="B889" s="3"/>
      <c r="C889" s="3"/>
      <c r="D889" s="3"/>
      <c r="E889" s="3"/>
      <c r="F889" s="3"/>
      <c r="G889" s="3"/>
    </row>
    <row r="890" spans="1:7" ht="15">
      <c r="A890" s="3"/>
      <c r="B890" s="3"/>
      <c r="C890" s="3"/>
      <c r="D890" s="3"/>
      <c r="E890" s="3"/>
      <c r="F890" s="3"/>
      <c r="G890" s="3"/>
    </row>
    <row r="891" spans="1:7" ht="15">
      <c r="A891" s="3"/>
      <c r="B891" s="3"/>
      <c r="C891" s="3"/>
      <c r="D891" s="3"/>
      <c r="E891" s="3"/>
      <c r="F891" s="3"/>
      <c r="G891" s="3"/>
    </row>
    <row r="892" spans="1:7" ht="15">
      <c r="A892" s="3"/>
      <c r="B892" s="3"/>
      <c r="C892" s="3"/>
      <c r="D892" s="3"/>
      <c r="E892" s="3"/>
      <c r="F892" s="3"/>
      <c r="G892" s="3"/>
    </row>
    <row r="893" spans="1:7" ht="15">
      <c r="A893" s="3"/>
      <c r="B893" s="3"/>
      <c r="C893" s="3"/>
      <c r="D893" s="3"/>
      <c r="E893" s="3"/>
      <c r="F893" s="3"/>
      <c r="G893" s="3"/>
    </row>
    <row r="894" spans="1:7" ht="15">
      <c r="A894" s="3"/>
      <c r="B894" s="3"/>
      <c r="C894" s="3"/>
      <c r="D894" s="3"/>
      <c r="E894" s="3"/>
      <c r="F894" s="3"/>
      <c r="G894" s="3"/>
    </row>
    <row r="895" spans="1:7" ht="15">
      <c r="A895" s="3"/>
      <c r="B895" s="3"/>
      <c r="C895" s="3"/>
      <c r="D895" s="3"/>
      <c r="E895" s="3"/>
      <c r="F895" s="3"/>
      <c r="G895" s="3"/>
    </row>
    <row r="896" spans="1:7" ht="15">
      <c r="A896" s="3"/>
      <c r="B896" s="3"/>
      <c r="C896" s="3"/>
      <c r="D896" s="3"/>
      <c r="E896" s="3"/>
      <c r="F896" s="3"/>
      <c r="G896" s="3"/>
    </row>
    <row r="897" spans="1:7" ht="15">
      <c r="A897" s="3"/>
      <c r="B897" s="3"/>
      <c r="C897" s="3"/>
      <c r="D897" s="3"/>
      <c r="E897" s="3"/>
      <c r="F897" s="3"/>
      <c r="G897" s="3"/>
    </row>
    <row r="898" spans="1:7" ht="15">
      <c r="A898" s="3"/>
      <c r="B898" s="3"/>
      <c r="C898" s="3"/>
      <c r="D898" s="3"/>
      <c r="E898" s="3"/>
      <c r="F898" s="3"/>
      <c r="G898" s="3"/>
    </row>
    <row r="899" spans="1:7" ht="15">
      <c r="A899" s="3"/>
      <c r="B899" s="3"/>
      <c r="C899" s="3"/>
      <c r="D899" s="3"/>
      <c r="E899" s="3"/>
      <c r="F899" s="3"/>
      <c r="G899" s="3"/>
    </row>
    <row r="900" spans="1:7" ht="15">
      <c r="A900" s="3"/>
      <c r="B900" s="3"/>
      <c r="C900" s="3"/>
      <c r="D900" s="3"/>
      <c r="E900" s="3"/>
      <c r="F900" s="3"/>
      <c r="G900" s="3"/>
    </row>
    <row r="901" spans="1:7" ht="15">
      <c r="A901" s="3"/>
      <c r="B901" s="3"/>
      <c r="C901" s="3"/>
      <c r="D901" s="3"/>
      <c r="E901" s="3"/>
      <c r="F901" s="3"/>
      <c r="G901" s="3"/>
    </row>
    <row r="902" spans="1:7" ht="15">
      <c r="A902" s="3"/>
      <c r="B902" s="3"/>
      <c r="C902" s="3"/>
      <c r="D902" s="3"/>
      <c r="E902" s="3"/>
      <c r="F902" s="3"/>
      <c r="G902" s="3"/>
    </row>
    <row r="903" spans="1:7" ht="15">
      <c r="A903" s="3"/>
      <c r="B903" s="3"/>
      <c r="C903" s="3"/>
      <c r="D903" s="3"/>
      <c r="E903" s="3"/>
      <c r="F903" s="3"/>
      <c r="G903" s="3"/>
    </row>
    <row r="904" spans="1:7" ht="15">
      <c r="A904" s="3"/>
      <c r="B904" s="3"/>
      <c r="C904" s="3"/>
      <c r="D904" s="3"/>
      <c r="E904" s="3"/>
      <c r="F904" s="3"/>
      <c r="G904" s="3"/>
    </row>
    <row r="905" spans="1:7" ht="15">
      <c r="A905" s="3"/>
      <c r="B905" s="3"/>
      <c r="C905" s="3"/>
      <c r="D905" s="3"/>
      <c r="E905" s="3"/>
      <c r="F905" s="3"/>
      <c r="G905" s="3"/>
    </row>
    <row r="906" spans="1:7" ht="15">
      <c r="A906" s="3"/>
      <c r="B906" s="3"/>
      <c r="C906" s="3"/>
      <c r="D906" s="3"/>
      <c r="E906" s="3"/>
      <c r="F906" s="3"/>
      <c r="G906" s="3"/>
    </row>
    <row r="907" spans="1:7" ht="15">
      <c r="A907" s="3"/>
      <c r="B907" s="3"/>
      <c r="C907" s="3"/>
      <c r="D907" s="3"/>
      <c r="E907" s="3"/>
      <c r="F907" s="3"/>
      <c r="G907" s="3"/>
    </row>
    <row r="908" spans="1:7" ht="15">
      <c r="A908" s="3"/>
      <c r="B908" s="3"/>
      <c r="C908" s="3"/>
      <c r="D908" s="3"/>
      <c r="E908" s="3"/>
      <c r="F908" s="3"/>
      <c r="G908" s="3"/>
    </row>
    <row r="909" spans="1:7" ht="15">
      <c r="A909" s="3"/>
      <c r="B909" s="3"/>
      <c r="C909" s="3"/>
      <c r="D909" s="3"/>
      <c r="E909" s="3"/>
      <c r="F909" s="3"/>
      <c r="G909" s="3"/>
    </row>
    <row r="910" spans="1:7" ht="15">
      <c r="A910" s="3"/>
      <c r="B910" s="3"/>
      <c r="C910" s="3"/>
      <c r="D910" s="3"/>
      <c r="E910" s="3"/>
      <c r="F910" s="3"/>
      <c r="G910" s="3"/>
    </row>
    <row r="911" spans="1:7" ht="15">
      <c r="A911" s="3"/>
      <c r="B911" s="3"/>
      <c r="C911" s="3"/>
      <c r="D911" s="3"/>
      <c r="E911" s="3"/>
      <c r="F911" s="3"/>
      <c r="G911" s="3"/>
    </row>
    <row r="912" spans="1:7" ht="15">
      <c r="A912" s="3"/>
      <c r="B912" s="3"/>
      <c r="C912" s="3"/>
      <c r="D912" s="3"/>
      <c r="E912" s="3"/>
      <c r="F912" s="3"/>
      <c r="G912" s="3"/>
    </row>
    <row r="913" spans="1:7" ht="15">
      <c r="A913" s="3"/>
      <c r="B913" s="3"/>
      <c r="C913" s="3"/>
      <c r="D913" s="3"/>
      <c r="E913" s="3"/>
      <c r="F913" s="3"/>
      <c r="G913" s="3"/>
    </row>
    <row r="914" spans="1:7" ht="15">
      <c r="A914" s="3"/>
      <c r="B914" s="3"/>
      <c r="C914" s="3"/>
      <c r="D914" s="3"/>
      <c r="E914" s="3"/>
      <c r="F914" s="3"/>
      <c r="G914" s="3"/>
    </row>
    <row r="915" spans="1:7" ht="15">
      <c r="A915" s="3"/>
      <c r="B915" s="3"/>
      <c r="C915" s="3"/>
      <c r="D915" s="3"/>
      <c r="E915" s="3"/>
      <c r="F915" s="3"/>
      <c r="G915" s="3"/>
    </row>
    <row r="916" spans="1:7" ht="15">
      <c r="A916" s="3"/>
      <c r="B916" s="3"/>
      <c r="C916" s="3"/>
      <c r="D916" s="3"/>
      <c r="E916" s="3"/>
      <c r="F916" s="3"/>
      <c r="G916" s="3"/>
    </row>
    <row r="917" spans="1:7" ht="15">
      <c r="A917" s="3"/>
      <c r="B917" s="3"/>
      <c r="C917" s="3"/>
      <c r="D917" s="3"/>
      <c r="E917" s="3"/>
      <c r="F917" s="3"/>
      <c r="G917" s="3"/>
    </row>
    <row r="918" spans="1:7" ht="15">
      <c r="A918" s="3"/>
      <c r="B918" s="3"/>
      <c r="C918" s="3"/>
      <c r="D918" s="3"/>
      <c r="E918" s="3"/>
      <c r="F918" s="3"/>
      <c r="G918" s="3"/>
    </row>
    <row r="919" spans="1:7" ht="15">
      <c r="A919" s="3"/>
      <c r="B919" s="3"/>
      <c r="C919" s="3"/>
      <c r="D919" s="3"/>
      <c r="E919" s="3"/>
      <c r="F919" s="3"/>
      <c r="G919" s="3"/>
    </row>
    <row r="920" spans="1:7" ht="15">
      <c r="A920" s="3"/>
      <c r="B920" s="3"/>
      <c r="C920" s="3"/>
      <c r="D920" s="3"/>
      <c r="E920" s="3"/>
      <c r="F920" s="3"/>
      <c r="G920" s="3"/>
    </row>
    <row r="921" spans="1:7" ht="15">
      <c r="A921" s="3"/>
      <c r="B921" s="3"/>
      <c r="C921" s="3"/>
      <c r="D921" s="3"/>
      <c r="E921" s="3"/>
      <c r="F921" s="3"/>
      <c r="G921" s="3"/>
    </row>
    <row r="922" spans="1:7" ht="15">
      <c r="A922" s="3"/>
      <c r="B922" s="3"/>
      <c r="C922" s="3"/>
      <c r="D922" s="3"/>
      <c r="E922" s="3"/>
      <c r="F922" s="3"/>
      <c r="G922" s="3"/>
    </row>
    <row r="923" spans="1:7" ht="15">
      <c r="A923" s="3"/>
      <c r="B923" s="3"/>
      <c r="C923" s="3"/>
      <c r="D923" s="3"/>
      <c r="E923" s="3"/>
      <c r="F923" s="3"/>
      <c r="G923" s="3"/>
    </row>
    <row r="924" spans="1:7" ht="15">
      <c r="A924" s="3"/>
      <c r="B924" s="3"/>
      <c r="C924" s="3"/>
      <c r="D924" s="3"/>
      <c r="E924" s="3"/>
      <c r="F924" s="3"/>
      <c r="G924" s="3"/>
    </row>
    <row r="925" spans="1:7" ht="15">
      <c r="A925" s="3"/>
      <c r="B925" s="3"/>
      <c r="C925" s="3"/>
      <c r="D925" s="3"/>
      <c r="E925" s="3"/>
      <c r="F925" s="3"/>
      <c r="G925" s="3"/>
    </row>
    <row r="926" spans="1:7" ht="15">
      <c r="A926" s="3"/>
      <c r="B926" s="3"/>
      <c r="C926" s="3"/>
      <c r="D926" s="3"/>
      <c r="E926" s="3"/>
      <c r="F926" s="3"/>
      <c r="G926" s="3"/>
    </row>
    <row r="927" spans="1:7" ht="15">
      <c r="A927" s="3"/>
      <c r="B927" s="3"/>
      <c r="C927" s="3"/>
      <c r="D927" s="3"/>
      <c r="E927" s="3"/>
      <c r="F927" s="3"/>
      <c r="G927" s="3"/>
    </row>
    <row r="928" spans="1:7" ht="15">
      <c r="A928" s="3"/>
      <c r="B928" s="3"/>
      <c r="C928" s="3"/>
      <c r="D928" s="3"/>
      <c r="E928" s="3"/>
      <c r="F928" s="3"/>
      <c r="G928" s="3"/>
    </row>
    <row r="929" spans="1:7" ht="15">
      <c r="A929" s="3"/>
      <c r="B929" s="3"/>
      <c r="C929" s="3"/>
      <c r="D929" s="3"/>
      <c r="E929" s="3"/>
      <c r="F929" s="3"/>
      <c r="G929" s="3"/>
    </row>
    <row r="930" spans="1:7" ht="15">
      <c r="A930" s="3"/>
      <c r="B930" s="3"/>
      <c r="C930" s="3"/>
      <c r="D930" s="3"/>
      <c r="E930" s="3"/>
      <c r="F930" s="3"/>
      <c r="G930" s="3"/>
    </row>
    <row r="931" spans="1:7" ht="15">
      <c r="A931" s="3"/>
      <c r="B931" s="3"/>
      <c r="C931" s="3"/>
      <c r="D931" s="3"/>
      <c r="E931" s="3"/>
      <c r="F931" s="3"/>
      <c r="G931" s="3"/>
    </row>
    <row r="932" spans="1:7" ht="15">
      <c r="A932" s="3"/>
      <c r="B932" s="3"/>
      <c r="C932" s="3"/>
      <c r="D932" s="3"/>
      <c r="E932" s="3"/>
      <c r="F932" s="3"/>
      <c r="G932" s="3"/>
    </row>
    <row r="933" spans="1:7" ht="15">
      <c r="A933" s="3"/>
      <c r="B933" s="3"/>
      <c r="C933" s="3"/>
      <c r="D933" s="3"/>
      <c r="E933" s="3"/>
      <c r="F933" s="3"/>
      <c r="G933" s="3"/>
    </row>
    <row r="934" spans="1:7" ht="15">
      <c r="A934" s="3"/>
      <c r="B934" s="3"/>
      <c r="C934" s="3"/>
      <c r="D934" s="3"/>
      <c r="E934" s="3"/>
      <c r="F934" s="3"/>
      <c r="G934" s="3"/>
    </row>
    <row r="935" spans="1:7" ht="15">
      <c r="A935" s="3"/>
      <c r="B935" s="3"/>
      <c r="C935" s="3"/>
      <c r="D935" s="3"/>
      <c r="E935" s="3"/>
      <c r="F935" s="3"/>
      <c r="G935" s="3"/>
    </row>
    <row r="936" spans="1:7" ht="15">
      <c r="A936" s="3"/>
      <c r="B936" s="3"/>
      <c r="C936" s="3"/>
      <c r="D936" s="3"/>
      <c r="E936" s="3"/>
      <c r="F936" s="3"/>
      <c r="G936" s="3"/>
    </row>
    <row r="937" spans="1:7" ht="15">
      <c r="A937" s="3"/>
      <c r="B937" s="3"/>
      <c r="C937" s="3"/>
      <c r="D937" s="3"/>
      <c r="E937" s="3"/>
      <c r="F937" s="3"/>
      <c r="G937" s="3"/>
    </row>
    <row r="938" spans="1:7" ht="15">
      <c r="A938" s="3"/>
      <c r="B938" s="3"/>
      <c r="C938" s="3"/>
      <c r="D938" s="3"/>
      <c r="E938" s="3"/>
      <c r="F938" s="3"/>
      <c r="G938" s="3"/>
    </row>
    <row r="939" spans="1:7" ht="15">
      <c r="A939" s="3"/>
      <c r="B939" s="3"/>
      <c r="C939" s="3"/>
      <c r="D939" s="3"/>
      <c r="E939" s="3"/>
      <c r="F939" s="3"/>
      <c r="G939" s="3"/>
    </row>
    <row r="940" spans="1:7" ht="15">
      <c r="A940" s="3"/>
      <c r="B940" s="3"/>
      <c r="C940" s="3"/>
      <c r="D940" s="3"/>
      <c r="E940" s="3"/>
      <c r="F940" s="3"/>
      <c r="G940" s="3"/>
    </row>
    <row r="941" spans="1:7" ht="15">
      <c r="A941" s="3"/>
      <c r="B941" s="3"/>
      <c r="C941" s="3"/>
      <c r="D941" s="3"/>
      <c r="E941" s="3"/>
      <c r="F941" s="3"/>
      <c r="G941" s="3"/>
    </row>
    <row r="942" spans="1:7" ht="15">
      <c r="A942" s="3"/>
      <c r="B942" s="3"/>
      <c r="C942" s="3"/>
      <c r="D942" s="3"/>
      <c r="E942" s="3"/>
      <c r="F942" s="3"/>
      <c r="G942" s="3"/>
    </row>
    <row r="943" spans="1:7" ht="15">
      <c r="A943" s="3"/>
      <c r="B943" s="3"/>
      <c r="C943" s="3"/>
      <c r="D943" s="3"/>
      <c r="E943" s="3"/>
      <c r="F943" s="3"/>
      <c r="G943" s="3"/>
    </row>
    <row r="944" spans="1:7" ht="15">
      <c r="A944" s="3"/>
      <c r="B944" s="3"/>
      <c r="C944" s="3"/>
      <c r="D944" s="3"/>
      <c r="E944" s="3"/>
      <c r="F944" s="3"/>
      <c r="G944" s="3"/>
    </row>
    <row r="945" spans="1:7" ht="15">
      <c r="A945" s="3"/>
      <c r="B945" s="3"/>
      <c r="C945" s="3"/>
      <c r="D945" s="3"/>
      <c r="E945" s="3"/>
      <c r="F945" s="3"/>
      <c r="G945" s="3"/>
    </row>
    <row r="946" spans="1:7" ht="15">
      <c r="A946" s="3"/>
      <c r="B946" s="3"/>
      <c r="C946" s="3"/>
      <c r="D946" s="3"/>
      <c r="E946" s="3"/>
      <c r="F946" s="3"/>
      <c r="G946" s="3"/>
    </row>
    <row r="947" spans="1:7" ht="15">
      <c r="A947" s="3"/>
      <c r="B947" s="3"/>
      <c r="C947" s="3"/>
      <c r="D947" s="3"/>
      <c r="E947" s="3"/>
      <c r="F947" s="3"/>
      <c r="G947" s="3"/>
    </row>
    <row r="948" spans="1:7" ht="15">
      <c r="A948" s="3"/>
      <c r="B948" s="3"/>
      <c r="C948" s="3"/>
      <c r="D948" s="3"/>
      <c r="E948" s="3"/>
      <c r="F948" s="3"/>
      <c r="G948" s="3"/>
    </row>
    <row r="949" spans="1:7" ht="15">
      <c r="A949" s="3"/>
      <c r="B949" s="3"/>
      <c r="C949" s="3"/>
      <c r="D949" s="3"/>
      <c r="E949" s="3"/>
      <c r="F949" s="3"/>
      <c r="G949" s="3"/>
    </row>
    <row r="950" spans="1:7" ht="15">
      <c r="A950" s="3"/>
      <c r="B950" s="3"/>
      <c r="C950" s="3"/>
      <c r="D950" s="3"/>
      <c r="E950" s="3"/>
      <c r="F950" s="3"/>
      <c r="G950" s="3"/>
    </row>
    <row r="951" spans="1:7" ht="15">
      <c r="A951" s="3"/>
      <c r="B951" s="3"/>
      <c r="C951" s="3"/>
      <c r="D951" s="3"/>
      <c r="E951" s="3"/>
      <c r="F951" s="3"/>
      <c r="G951" s="3"/>
    </row>
    <row r="952" spans="1:7" ht="15">
      <c r="A952" s="3"/>
      <c r="B952" s="3"/>
      <c r="C952" s="3"/>
      <c r="D952" s="3"/>
      <c r="E952" s="3"/>
      <c r="F952" s="3"/>
      <c r="G952" s="3"/>
    </row>
    <row r="953" spans="1:7" ht="15">
      <c r="A953" s="3"/>
      <c r="B953" s="3"/>
      <c r="C953" s="3"/>
      <c r="D953" s="3"/>
      <c r="E953" s="3"/>
      <c r="F953" s="3"/>
      <c r="G953" s="3"/>
    </row>
    <row r="954" spans="1:7" ht="15">
      <c r="A954" s="3"/>
      <c r="B954" s="3"/>
      <c r="C954" s="3"/>
      <c r="D954" s="3"/>
      <c r="E954" s="3"/>
      <c r="F954" s="3"/>
      <c r="G954" s="3"/>
    </row>
    <row r="955" spans="1:7" ht="15">
      <c r="A955" s="3"/>
      <c r="B955" s="3"/>
      <c r="C955" s="3"/>
      <c r="D955" s="3"/>
      <c r="E955" s="3"/>
      <c r="F955" s="3"/>
      <c r="G955" s="3"/>
    </row>
    <row r="956" spans="1:7" ht="15">
      <c r="A956" s="3"/>
      <c r="B956" s="3"/>
      <c r="C956" s="3"/>
      <c r="D956" s="3"/>
      <c r="E956" s="3"/>
      <c r="F956" s="3"/>
      <c r="G956" s="3"/>
    </row>
    <row r="957" spans="1:7" ht="15">
      <c r="A957" s="3"/>
      <c r="B957" s="3"/>
      <c r="C957" s="3"/>
      <c r="D957" s="3"/>
      <c r="E957" s="3"/>
      <c r="F957" s="3"/>
      <c r="G957" s="3"/>
    </row>
    <row r="958" spans="1:7" ht="15">
      <c r="A958" s="3"/>
      <c r="B958" s="3"/>
      <c r="C958" s="3"/>
      <c r="D958" s="3"/>
      <c r="E958" s="3"/>
      <c r="F958" s="3"/>
      <c r="G958" s="3"/>
    </row>
    <row r="959" spans="1:7" ht="15">
      <c r="A959" s="3"/>
      <c r="B959" s="3"/>
      <c r="C959" s="3"/>
      <c r="D959" s="3"/>
      <c r="E959" s="3"/>
      <c r="F959" s="3"/>
      <c r="G959" s="3"/>
    </row>
    <row r="960" spans="1:7" ht="15">
      <c r="A960" s="3"/>
      <c r="B960" s="3"/>
      <c r="C960" s="3"/>
      <c r="D960" s="3"/>
      <c r="E960" s="3"/>
      <c r="F960" s="3"/>
      <c r="G960" s="3"/>
    </row>
    <row r="961" spans="1:7" ht="15">
      <c r="A961" s="3"/>
      <c r="B961" s="3"/>
      <c r="C961" s="3"/>
      <c r="D961" s="3"/>
      <c r="E961" s="3"/>
      <c r="F961" s="3"/>
      <c r="G961" s="3"/>
    </row>
    <row r="962" spans="1:7" ht="15">
      <c r="A962" s="3"/>
      <c r="B962" s="3"/>
      <c r="C962" s="3"/>
      <c r="D962" s="3"/>
      <c r="E962" s="3"/>
      <c r="F962" s="3"/>
      <c r="G962" s="3"/>
    </row>
    <row r="963" spans="1:7" ht="15">
      <c r="A963" s="3"/>
      <c r="B963" s="3"/>
      <c r="C963" s="3"/>
      <c r="D963" s="3"/>
      <c r="E963" s="3"/>
      <c r="F963" s="3"/>
      <c r="G963" s="3"/>
    </row>
    <row r="964" spans="1:7" ht="15">
      <c r="A964" s="3"/>
      <c r="B964" s="3"/>
      <c r="C964" s="3"/>
      <c r="D964" s="3"/>
      <c r="E964" s="3"/>
      <c r="F964" s="3"/>
      <c r="G964" s="3"/>
    </row>
    <row r="965" spans="1:7" ht="15">
      <c r="A965" s="3"/>
      <c r="B965" s="3"/>
      <c r="C965" s="3"/>
      <c r="D965" s="3"/>
      <c r="E965" s="3"/>
      <c r="F965" s="3"/>
      <c r="G965" s="3"/>
    </row>
    <row r="966" spans="1:7" ht="15">
      <c r="A966" s="3"/>
      <c r="B966" s="3"/>
      <c r="C966" s="3"/>
      <c r="D966" s="3"/>
      <c r="E966" s="3"/>
      <c r="F966" s="3"/>
      <c r="G966" s="3"/>
    </row>
    <row r="967" spans="1:7" ht="15">
      <c r="A967" s="3"/>
      <c r="B967" s="3"/>
      <c r="C967" s="3"/>
      <c r="D967" s="3"/>
      <c r="E967" s="3"/>
      <c r="F967" s="3"/>
      <c r="G967" s="3"/>
    </row>
    <row r="968" spans="1:7" ht="15">
      <c r="A968" s="3"/>
      <c r="B968" s="3"/>
      <c r="C968" s="3"/>
      <c r="D968" s="3"/>
      <c r="E968" s="3"/>
      <c r="F968" s="3"/>
      <c r="G968" s="3"/>
    </row>
    <row r="969" spans="1:7" ht="15">
      <c r="A969" s="3"/>
      <c r="B969" s="3"/>
      <c r="C969" s="3"/>
      <c r="D969" s="3"/>
      <c r="E969" s="3"/>
      <c r="F969" s="3"/>
      <c r="G969" s="3"/>
    </row>
    <row r="970" spans="1:7" ht="15">
      <c r="A970" s="3"/>
      <c r="B970" s="3"/>
      <c r="C970" s="3"/>
      <c r="D970" s="3"/>
      <c r="E970" s="3"/>
      <c r="F970" s="3"/>
      <c r="G970" s="3"/>
    </row>
    <row r="971" spans="1:7" ht="15">
      <c r="A971" s="3"/>
      <c r="B971" s="3"/>
      <c r="C971" s="3"/>
      <c r="D971" s="3"/>
      <c r="E971" s="3"/>
      <c r="F971" s="3"/>
      <c r="G971" s="3"/>
    </row>
    <row r="972" spans="1:7" ht="15">
      <c r="A972" s="3"/>
      <c r="B972" s="3"/>
      <c r="C972" s="3"/>
      <c r="D972" s="3"/>
      <c r="E972" s="3"/>
      <c r="F972" s="3"/>
      <c r="G972" s="3"/>
    </row>
    <row r="973" spans="1:7" ht="15">
      <c r="A973" s="3"/>
      <c r="B973" s="3"/>
      <c r="C973" s="3"/>
      <c r="D973" s="3"/>
      <c r="E973" s="3"/>
      <c r="F973" s="3"/>
      <c r="G973" s="3"/>
    </row>
    <row r="974" spans="1:7" ht="15">
      <c r="A974" s="3"/>
      <c r="B974" s="3"/>
      <c r="C974" s="3"/>
      <c r="D974" s="3"/>
      <c r="E974" s="3"/>
      <c r="F974" s="3"/>
      <c r="G974" s="3"/>
    </row>
    <row r="975" spans="1:7" ht="15">
      <c r="A975" s="3"/>
      <c r="B975" s="3"/>
      <c r="C975" s="3"/>
      <c r="D975" s="3"/>
      <c r="E975" s="3"/>
      <c r="F975" s="3"/>
      <c r="G975" s="3"/>
    </row>
    <row r="976" spans="1:7" ht="15">
      <c r="A976" s="3"/>
      <c r="B976" s="3"/>
      <c r="C976" s="3"/>
      <c r="D976" s="3"/>
      <c r="E976" s="3"/>
      <c r="F976" s="3"/>
      <c r="G976" s="3"/>
    </row>
    <row r="977" spans="1:7" ht="15">
      <c r="A977" s="3"/>
      <c r="B977" s="3"/>
      <c r="C977" s="3"/>
      <c r="D977" s="3"/>
      <c r="E977" s="3"/>
      <c r="F977" s="3"/>
      <c r="G977" s="3"/>
    </row>
    <row r="978" spans="1:7" ht="15">
      <c r="A978" s="3"/>
      <c r="B978" s="3"/>
      <c r="C978" s="3"/>
      <c r="D978" s="3"/>
      <c r="E978" s="3"/>
      <c r="F978" s="3"/>
      <c r="G978" s="3"/>
    </row>
    <row r="979" spans="1:7" ht="15">
      <c r="A979" s="3"/>
      <c r="B979" s="3"/>
      <c r="C979" s="3"/>
      <c r="D979" s="3"/>
      <c r="E979" s="3"/>
      <c r="F979" s="3"/>
      <c r="G979" s="3"/>
    </row>
    <row r="980" spans="1:7" ht="15">
      <c r="A980" s="3"/>
      <c r="B980" s="3"/>
      <c r="C980" s="3"/>
      <c r="D980" s="3"/>
      <c r="E980" s="3"/>
      <c r="F980" s="3"/>
      <c r="G980" s="3"/>
    </row>
    <row r="981" spans="1:7" ht="15">
      <c r="A981" s="3"/>
      <c r="B981" s="3"/>
      <c r="C981" s="3"/>
      <c r="D981" s="3"/>
      <c r="E981" s="3"/>
      <c r="F981" s="3"/>
      <c r="G981" s="3"/>
    </row>
    <row r="982" spans="1:7" ht="15">
      <c r="A982" s="3"/>
      <c r="B982" s="3"/>
      <c r="C982" s="3"/>
      <c r="D982" s="3"/>
      <c r="E982" s="3"/>
      <c r="F982" s="3"/>
      <c r="G982" s="3"/>
    </row>
    <row r="983" spans="1:7" ht="15">
      <c r="A983" s="3"/>
      <c r="B983" s="3"/>
      <c r="C983" s="3"/>
      <c r="D983" s="3"/>
      <c r="E983" s="3"/>
      <c r="F983" s="3"/>
      <c r="G983" s="3"/>
    </row>
    <row r="984" spans="1:7" ht="15">
      <c r="A984" s="3"/>
      <c r="B984" s="3"/>
      <c r="C984" s="3"/>
      <c r="D984" s="3"/>
      <c r="E984" s="3"/>
      <c r="F984" s="3"/>
      <c r="G984" s="3"/>
    </row>
    <row r="985" spans="1:7" ht="15">
      <c r="A985" s="3"/>
      <c r="B985" s="3"/>
      <c r="C985" s="3"/>
      <c r="D985" s="3"/>
      <c r="E985" s="3"/>
      <c r="F985" s="3"/>
      <c r="G985" s="3"/>
    </row>
    <row r="986" spans="1:7" ht="15">
      <c r="A986" s="3"/>
      <c r="B986" s="3"/>
      <c r="C986" s="3"/>
      <c r="D986" s="3"/>
      <c r="E986" s="3"/>
      <c r="F986" s="3"/>
      <c r="G986" s="3"/>
    </row>
    <row r="987" spans="1:7" ht="15">
      <c r="A987" s="3"/>
      <c r="B987" s="3"/>
      <c r="C987" s="3"/>
      <c r="D987" s="3"/>
      <c r="E987" s="3"/>
      <c r="F987" s="3"/>
      <c r="G987" s="3"/>
    </row>
    <row r="988" spans="1:7" ht="15">
      <c r="A988" s="3"/>
      <c r="B988" s="3"/>
      <c r="C988" s="3"/>
      <c r="D988" s="3"/>
      <c r="E988" s="3"/>
      <c r="F988" s="3"/>
      <c r="G988" s="3"/>
    </row>
    <row r="989" spans="1:7" ht="15">
      <c r="A989" s="3"/>
      <c r="B989" s="3"/>
      <c r="C989" s="3"/>
      <c r="D989" s="3"/>
      <c r="E989" s="3"/>
      <c r="F989" s="3"/>
      <c r="G989" s="3"/>
    </row>
    <row r="990" spans="1:7" ht="15">
      <c r="A990" s="3"/>
      <c r="B990" s="3"/>
      <c r="C990" s="3"/>
      <c r="D990" s="3"/>
      <c r="E990" s="3"/>
      <c r="F990" s="3"/>
      <c r="G990" s="3"/>
    </row>
    <row r="991" spans="1:7" ht="15">
      <c r="A991" s="3"/>
      <c r="B991" s="3"/>
      <c r="C991" s="3"/>
      <c r="D991" s="3"/>
      <c r="E991" s="3"/>
      <c r="F991" s="3"/>
      <c r="G991" s="3"/>
    </row>
    <row r="992" spans="1:7" ht="15">
      <c r="A992" s="3"/>
      <c r="B992" s="3"/>
      <c r="C992" s="3"/>
      <c r="D992" s="3"/>
      <c r="E992" s="3"/>
      <c r="F992" s="3"/>
      <c r="G992" s="3"/>
    </row>
    <row r="993" spans="1:7" ht="15">
      <c r="A993" s="3"/>
      <c r="B993" s="3"/>
      <c r="C993" s="3"/>
      <c r="D993" s="3"/>
      <c r="E993" s="3"/>
      <c r="F993" s="3"/>
      <c r="G993" s="3"/>
    </row>
    <row r="994" spans="1:7" ht="15">
      <c r="A994" s="3"/>
      <c r="B994" s="3"/>
      <c r="C994" s="3"/>
      <c r="D994" s="3"/>
      <c r="E994" s="3"/>
      <c r="F994" s="3"/>
      <c r="G994" s="3"/>
    </row>
    <row r="995" spans="1:7" ht="15">
      <c r="A995" s="3"/>
      <c r="B995" s="3"/>
      <c r="C995" s="3"/>
      <c r="D995" s="3"/>
      <c r="E995" s="3"/>
      <c r="F995" s="3"/>
      <c r="G995" s="3"/>
    </row>
    <row r="996" spans="1:7" ht="15">
      <c r="A996" s="3"/>
      <c r="B996" s="3"/>
      <c r="C996" s="3"/>
      <c r="D996" s="3"/>
      <c r="E996" s="3"/>
      <c r="F996" s="3"/>
      <c r="G996" s="3"/>
    </row>
    <row r="997" spans="1:7" ht="15">
      <c r="A997" s="3"/>
      <c r="B997" s="3"/>
      <c r="C997" s="3"/>
      <c r="D997" s="3"/>
      <c r="E997" s="3"/>
      <c r="F997" s="3"/>
      <c r="G997" s="3"/>
    </row>
    <row r="998" spans="1:7" ht="15">
      <c r="A998" s="3"/>
      <c r="B998" s="3"/>
      <c r="C998" s="3"/>
      <c r="D998" s="3"/>
      <c r="E998" s="3"/>
      <c r="F998" s="3"/>
      <c r="G998" s="3"/>
    </row>
    <row r="999" spans="1:7" ht="15">
      <c r="A999" s="3"/>
      <c r="B999" s="3"/>
      <c r="C999" s="3"/>
      <c r="D999" s="3"/>
      <c r="E999" s="3"/>
      <c r="F999" s="3"/>
      <c r="G999" s="3"/>
    </row>
    <row r="1000" spans="1:7" ht="15">
      <c r="A1000" s="3"/>
      <c r="B1000" s="3"/>
      <c r="C1000" s="3"/>
      <c r="D1000" s="3"/>
      <c r="E1000" s="3"/>
      <c r="F1000" s="3"/>
      <c r="G1000" s="3"/>
    </row>
  </sheetData>
  <mergeCells count="3">
    <mergeCell ref="A1:G1"/>
    <mergeCell ref="A3:E3"/>
    <mergeCell ref="A13:G13"/>
  </mergeCells>
  <conditionalFormatting sqref="D15:D797">
    <cfRule type="expression" dxfId="1" priority="1">
      <formula>D15&lt;0</formula>
    </cfRule>
  </conditionalFormatting>
  <conditionalFormatting sqref="G15:G797">
    <cfRule type="expression" dxfId="0" priority="2">
      <formula>G15&lt;0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zoomScaleSheetLayoutView="100" workbookViewId="0"/>
  </sheetViews>
  <sheetFormatPr defaultRowHeight="14.25"/>
  <cols>
    <col min="1" max="1" width="14" customWidth="1"/>
    <col min="2" max="2" width="12" customWidth="1"/>
    <col min="3" max="3" width="3" customWidth="1"/>
    <col min="4" max="5" width="12" customWidth="1"/>
    <col min="6" max="6" width="3" customWidth="1"/>
    <col min="7" max="8" width="12" customWidth="1"/>
    <col min="9" max="9" width="3" customWidth="1"/>
    <col min="10" max="11" width="12" customWidth="1"/>
    <col min="12" max="12" width="9" style="1"/>
    <col min="13" max="18" width="18" style="1" customWidth="1"/>
    <col min="19" max="19" width="9" style="1"/>
    <col min="20" max="24" width="18" style="1" customWidth="1"/>
    <col min="25" max="26" width="9" style="1"/>
  </cols>
  <sheetData>
    <row r="1" spans="1:24" ht="32.1" customHeight="1">
      <c r="A1" s="28" t="s">
        <v>89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">
      <c r="A2" s="39" t="s">
        <v>90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"/>
      <c r="M2" s="20" t="s">
        <v>32</v>
      </c>
      <c r="N2" s="20" t="s">
        <v>35</v>
      </c>
      <c r="O2" s="3"/>
      <c r="P2" s="20" t="s">
        <v>32</v>
      </c>
      <c r="Q2" s="20" t="s">
        <v>91</v>
      </c>
      <c r="R2" s="20" t="s">
        <v>92</v>
      </c>
      <c r="S2" s="3"/>
      <c r="T2" s="20" t="s">
        <v>93</v>
      </c>
      <c r="U2" s="20" t="s">
        <v>83</v>
      </c>
      <c r="V2" s="20" t="s">
        <v>86</v>
      </c>
      <c r="W2" s="20" t="s">
        <v>85</v>
      </c>
      <c r="X2" s="20" t="s">
        <v>88</v>
      </c>
    </row>
    <row r="3" spans="1:24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 t="s">
        <v>38</v>
      </c>
      <c r="N3" s="17">
        <v>0.25</v>
      </c>
      <c r="O3" s="3"/>
      <c r="P3" s="3" t="s">
        <v>38</v>
      </c>
      <c r="Q3" s="13">
        <f>'Risk Analysis'!B5</f>
        <v>0.10133520326186818</v>
      </c>
      <c r="R3" s="13">
        <f>'Risk Analysis'!C5</f>
        <v>0.20065113814876417</v>
      </c>
      <c r="S3" s="3"/>
      <c r="T3" s="3" t="s">
        <v>94</v>
      </c>
      <c r="U3" s="18">
        <f>'Risk Analysis'!B15</f>
        <v>100</v>
      </c>
      <c r="V3" s="18">
        <f>'Risk Analysis'!E15</f>
        <v>100</v>
      </c>
      <c r="W3" s="13">
        <f>'Risk Analysis'!D15</f>
        <v>0</v>
      </c>
      <c r="X3" s="13">
        <f>'Risk Analysis'!G15</f>
        <v>0</v>
      </c>
    </row>
    <row r="4" spans="1:24" ht="15">
      <c r="A4" s="40" t="s">
        <v>79</v>
      </c>
      <c r="B4" s="40"/>
      <c r="C4" s="3"/>
      <c r="D4" s="40" t="s">
        <v>20</v>
      </c>
      <c r="E4" s="40"/>
      <c r="F4" s="3"/>
      <c r="G4" s="40" t="s">
        <v>24</v>
      </c>
      <c r="H4" s="40"/>
      <c r="I4" s="3"/>
      <c r="J4" s="40" t="s">
        <v>80</v>
      </c>
      <c r="K4" s="40"/>
      <c r="L4" s="3"/>
      <c r="M4" s="3" t="s">
        <v>42</v>
      </c>
      <c r="N4" s="17">
        <v>0.25</v>
      </c>
      <c r="O4" s="3"/>
      <c r="P4" s="3" t="s">
        <v>42</v>
      </c>
      <c r="Q4" s="13">
        <f>'Risk Analysis'!B6</f>
        <v>8.1531018143771394E-2</v>
      </c>
      <c r="R4" s="13">
        <f>'Risk Analysis'!C6</f>
        <v>0.18471887122188355</v>
      </c>
      <c r="S4" s="3"/>
      <c r="T4" s="3" t="s">
        <v>94</v>
      </c>
      <c r="U4" s="18">
        <f>'Risk Analysis'!B34</f>
        <v>97.930368131812614</v>
      </c>
      <c r="V4" s="18">
        <f>'Risk Analysis'!E34</f>
        <v>96.985841293433353</v>
      </c>
      <c r="W4" s="13">
        <f>'Risk Analysis'!D34</f>
        <v>-2.7459023383390568E-2</v>
      </c>
      <c r="X4" s="13">
        <f>'Risk Analysis'!G34</f>
        <v>-3.2008772085810655E-2</v>
      </c>
    </row>
    <row r="5" spans="1:24" ht="15">
      <c r="A5" s="41">
        <f>'Risk Analysis'!B10</f>
        <v>9.1319430355413012E-2</v>
      </c>
      <c r="B5" s="41"/>
      <c r="C5" s="3"/>
      <c r="D5" s="41">
        <f>'Risk Analysis'!C10</f>
        <v>0.13396617913255154</v>
      </c>
      <c r="E5" s="41"/>
      <c r="F5" s="3"/>
      <c r="G5" s="42">
        <f>'Risk Analysis'!D10</f>
        <v>0.196463245617922</v>
      </c>
      <c r="H5" s="42"/>
      <c r="I5" s="3"/>
      <c r="J5" s="41">
        <f>'Risk Analysis'!E10</f>
        <v>-0.14675100100799643</v>
      </c>
      <c r="K5" s="41"/>
      <c r="L5" s="3"/>
      <c r="M5" s="3" t="s">
        <v>45</v>
      </c>
      <c r="N5" s="17">
        <v>0.2</v>
      </c>
      <c r="O5" s="3"/>
      <c r="P5" s="3" t="s">
        <v>45</v>
      </c>
      <c r="Q5" s="13">
        <f>'Risk Analysis'!B7</f>
        <v>2.4010476554920723E-2</v>
      </c>
      <c r="R5" s="13">
        <f>'Risk Analysis'!C7</f>
        <v>0.19763317381305773</v>
      </c>
      <c r="S5" s="3"/>
      <c r="T5" s="3" t="s">
        <v>95</v>
      </c>
      <c r="U5" s="18">
        <f>'Risk Analysis'!B54</f>
        <v>97.458675770695493</v>
      </c>
      <c r="V5" s="18">
        <f>'Risk Analysis'!E54</f>
        <v>95.577676902261587</v>
      </c>
      <c r="W5" s="13">
        <f>'Risk Analysis'!D54</f>
        <v>-4.069830990867096E-2</v>
      </c>
      <c r="X5" s="13">
        <f>'Risk Analysis'!G54</f>
        <v>-4.606330581915552E-2</v>
      </c>
    </row>
    <row r="6" spans="1:24" ht="15">
      <c r="A6" s="41"/>
      <c r="B6" s="41"/>
      <c r="C6" s="3"/>
      <c r="D6" s="41"/>
      <c r="E6" s="41"/>
      <c r="F6" s="3"/>
      <c r="G6" s="42"/>
      <c r="H6" s="42"/>
      <c r="I6" s="3"/>
      <c r="J6" s="41"/>
      <c r="K6" s="41"/>
      <c r="L6" s="3"/>
      <c r="M6" s="3" t="s">
        <v>48</v>
      </c>
      <c r="N6" s="17">
        <v>0.15</v>
      </c>
      <c r="O6" s="3"/>
      <c r="P6" s="3" t="s">
        <v>48</v>
      </c>
      <c r="Q6" s="13">
        <f>'Risk Analysis'!B8</f>
        <v>0.15116181118298289</v>
      </c>
      <c r="R6" s="13">
        <f>'Risk Analysis'!C8</f>
        <v>0.17645904510022667</v>
      </c>
      <c r="S6" s="3"/>
      <c r="T6" s="3" t="s">
        <v>96</v>
      </c>
      <c r="U6" s="18">
        <f>'Risk Analysis'!B73</f>
        <v>93.222732522502426</v>
      </c>
      <c r="V6" s="18">
        <f>'Risk Analysis'!E73</f>
        <v>93.341099703405405</v>
      </c>
      <c r="W6" s="13">
        <f>'Risk Analysis'!D73</f>
        <v>-8.2393392311426283E-2</v>
      </c>
      <c r="X6" s="13">
        <f>'Risk Analysis'!G73</f>
        <v>-6.8386018909775026E-2</v>
      </c>
    </row>
    <row r="7" spans="1:24" ht="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 t="s">
        <v>50</v>
      </c>
      <c r="N7" s="17">
        <v>0.15</v>
      </c>
      <c r="O7" s="3"/>
      <c r="P7" s="3" t="s">
        <v>50</v>
      </c>
      <c r="Q7" s="13">
        <f>'Risk Analysis'!B9</f>
        <v>4.9480330029199493E-2</v>
      </c>
      <c r="R7" s="13">
        <f>'Risk Analysis'!C9</f>
        <v>0.23749017729009098</v>
      </c>
      <c r="S7" s="3"/>
      <c r="T7" s="3" t="s">
        <v>97</v>
      </c>
      <c r="U7" s="18">
        <f>'Risk Analysis'!B93</f>
        <v>97.185651087682899</v>
      </c>
      <c r="V7" s="18">
        <f>'Risk Analysis'!E93</f>
        <v>99.272155030313115</v>
      </c>
      <c r="W7" s="13">
        <f>'Risk Analysis'!D93</f>
        <v>-4.3385736531077246E-2</v>
      </c>
      <c r="X7" s="13">
        <f>'Risk Analysis'!G93</f>
        <v>-9.1896511497615574E-3</v>
      </c>
    </row>
    <row r="8" spans="1:24" ht="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10</v>
      </c>
      <c r="Q8" s="13">
        <f>'Risk Analysis'!B10</f>
        <v>9.1319430355413012E-2</v>
      </c>
      <c r="R8" s="13">
        <f>'Risk Analysis'!C10</f>
        <v>0.13396617913255154</v>
      </c>
      <c r="S8" s="3"/>
      <c r="T8" s="3" t="s">
        <v>98</v>
      </c>
      <c r="U8" s="18">
        <f>'Risk Analysis'!B112</f>
        <v>99.240014712307428</v>
      </c>
      <c r="V8" s="18">
        <f>'Risk Analysis'!E112</f>
        <v>101.65902587223012</v>
      </c>
      <c r="W8" s="13">
        <f>'Risk Analysis'!D112</f>
        <v>-2.3164299274928579E-2</v>
      </c>
      <c r="X8" s="13">
        <f>'Risk Analysis'!G112</f>
        <v>0</v>
      </c>
    </row>
    <row r="9" spans="1:24" ht="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99</v>
      </c>
      <c r="U9" s="18">
        <f>'Risk Analysis'!B132</f>
        <v>98.413020134480405</v>
      </c>
      <c r="V9" s="18">
        <f>'Risk Analysis'!E132</f>
        <v>102.57206807186877</v>
      </c>
      <c r="W9" s="13">
        <f>'Risk Analysis'!D132</f>
        <v>-3.130454220283807E-2</v>
      </c>
      <c r="X9" s="13">
        <f>'Risk Analysis'!G132</f>
        <v>-1.014748557361711E-2</v>
      </c>
    </row>
    <row r="10" spans="1:24" ht="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 t="s">
        <v>100</v>
      </c>
      <c r="U10" s="18">
        <f>'Risk Analysis'!B151</f>
        <v>104.26170117133802</v>
      </c>
      <c r="V10" s="18">
        <f>'Risk Analysis'!E151</f>
        <v>108.50421816072688</v>
      </c>
      <c r="W10" s="13">
        <f>'Risk Analysis'!D151</f>
        <v>-2.713945109031235E-2</v>
      </c>
      <c r="X10" s="13">
        <f>'Risk Analysis'!G151</f>
        <v>-1.1719737128305097E-2</v>
      </c>
    </row>
    <row r="11" spans="1:24" ht="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101</v>
      </c>
      <c r="U11" s="18">
        <f>'Risk Analysis'!B171</f>
        <v>103.34654857215546</v>
      </c>
      <c r="V11" s="18">
        <f>'Risk Analysis'!E171</f>
        <v>106.57317614268996</v>
      </c>
      <c r="W11" s="13">
        <f>'Risk Analysis'!D171</f>
        <v>-3.5678692729136041E-2</v>
      </c>
      <c r="X11" s="13">
        <f>'Risk Analysis'!G171</f>
        <v>-2.9308092176169587E-2</v>
      </c>
    </row>
    <row r="12" spans="1:24" ht="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102</v>
      </c>
      <c r="U12" s="18">
        <f>'Risk Analysis'!B190</f>
        <v>106.82967458396804</v>
      </c>
      <c r="V12" s="18">
        <f>'Risk Analysis'!E190</f>
        <v>110.96252758639113</v>
      </c>
      <c r="W12" s="13">
        <f>'Risk Analysis'!D190</f>
        <v>-3.177823803115265E-3</v>
      </c>
      <c r="X12" s="13">
        <f>'Risk Analysis'!G190</f>
        <v>0</v>
      </c>
    </row>
    <row r="13" spans="1:24" ht="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103</v>
      </c>
      <c r="U13" s="18">
        <f>'Risk Analysis'!B209</f>
        <v>101.58232916108123</v>
      </c>
      <c r="V13" s="18">
        <f>'Risk Analysis'!E209</f>
        <v>108.43140575806142</v>
      </c>
      <c r="W13" s="13">
        <f>'Risk Analysis'!D209</f>
        <v>-5.2140532938651285E-2</v>
      </c>
      <c r="X13" s="13">
        <f>'Risk Analysis'!G209</f>
        <v>-2.2810599969066869E-2</v>
      </c>
    </row>
    <row r="14" spans="1:24" ht="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 t="s">
        <v>104</v>
      </c>
      <c r="U14" s="18">
        <f>'Risk Analysis'!B229</f>
        <v>100.45382572517737</v>
      </c>
      <c r="V14" s="18">
        <f>'Risk Analysis'!E229</f>
        <v>108.122017444495</v>
      </c>
      <c r="W14" s="13">
        <f>'Risk Analysis'!D229</f>
        <v>-6.2670540216162585E-2</v>
      </c>
      <c r="X14" s="13">
        <f>'Risk Analysis'!G229</f>
        <v>-2.5598823347680377E-2</v>
      </c>
    </row>
    <row r="15" spans="1:24" ht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 t="s">
        <v>105</v>
      </c>
      <c r="U15" s="18">
        <f>'Risk Analysis'!B248</f>
        <v>106.11857671348163</v>
      </c>
      <c r="V15" s="18">
        <f>'Risk Analysis'!E248</f>
        <v>114.99605993027441</v>
      </c>
      <c r="W15" s="13">
        <f>'Risk Analysis'!D248</f>
        <v>-1.2726921014840298E-2</v>
      </c>
      <c r="X15" s="13">
        <f>'Risk Analysis'!G248</f>
        <v>-3.3695129954238734E-3</v>
      </c>
    </row>
    <row r="16" spans="1:24" ht="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 t="s">
        <v>106</v>
      </c>
      <c r="U16" s="18">
        <f>'Risk Analysis'!B268</f>
        <v>110.48397723677944</v>
      </c>
      <c r="V16" s="18">
        <f>'Risk Analysis'!E268</f>
        <v>118.95732725246732</v>
      </c>
      <c r="W16" s="13">
        <f>'Risk Analysis'!D268</f>
        <v>-9.603973379732289E-3</v>
      </c>
      <c r="X16" s="13">
        <f>'Risk Analysis'!G268</f>
        <v>-6.0380098314960495E-3</v>
      </c>
    </row>
    <row r="17" spans="1:24" ht="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 t="s">
        <v>107</v>
      </c>
      <c r="U17" s="18">
        <f>'Risk Analysis'!B287</f>
        <v>112.89098231974528</v>
      </c>
      <c r="V17" s="18">
        <f>'Risk Analysis'!E287</f>
        <v>119.70084234419012</v>
      </c>
      <c r="W17" s="13">
        <f>'Risk Analysis'!D287</f>
        <v>-1.5207843256568987E-2</v>
      </c>
      <c r="X17" s="13">
        <f>'Risk Analysis'!G287</f>
        <v>-1.425274092191442E-2</v>
      </c>
    </row>
    <row r="18" spans="1:24" ht="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 t="s">
        <v>108</v>
      </c>
      <c r="U18" s="18">
        <f>'Risk Analysis'!B307</f>
        <v>113.91216110233913</v>
      </c>
      <c r="V18" s="18">
        <f>'Risk Analysis'!E307</f>
        <v>122.72407040220902</v>
      </c>
      <c r="W18" s="13">
        <f>'Risk Analysis'!D307</f>
        <v>-1.0789500374803418E-2</v>
      </c>
      <c r="X18" s="13">
        <f>'Risk Analysis'!G307</f>
        <v>-7.1531788017711317E-3</v>
      </c>
    </row>
    <row r="19" spans="1:24" ht="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 t="s">
        <v>109</v>
      </c>
      <c r="U19" s="18">
        <f>'Risk Analysis'!B326</f>
        <v>114.56887383292803</v>
      </c>
      <c r="V19" s="18">
        <f>'Risk Analysis'!E326</f>
        <v>124.42815324177252</v>
      </c>
      <c r="W19" s="13">
        <f>'Risk Analysis'!D326</f>
        <v>-5.5271569471636584E-3</v>
      </c>
      <c r="X19" s="13">
        <f>'Risk Analysis'!G326</f>
        <v>-1.0390218270411866E-3</v>
      </c>
    </row>
    <row r="20" spans="1:24" ht="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 t="s">
        <v>110</v>
      </c>
      <c r="U20" s="18">
        <f>'Risk Analysis'!B346</f>
        <v>110.89563378736946</v>
      </c>
      <c r="V20" s="18">
        <f>'Risk Analysis'!E346</f>
        <v>121.19939972699633</v>
      </c>
      <c r="W20" s="13">
        <f>'Risk Analysis'!D346</f>
        <v>-3.7411362046788965E-2</v>
      </c>
      <c r="X20" s="13">
        <f>'Risk Analysis'!G346</f>
        <v>-3.0702631583013451E-2</v>
      </c>
    </row>
    <row r="21" spans="1:24" ht="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 t="s">
        <v>111</v>
      </c>
      <c r="U21" s="18">
        <f>'Risk Analysis'!B365</f>
        <v>116.67504518629184</v>
      </c>
      <c r="V21" s="18">
        <f>'Risk Analysis'!E365</f>
        <v>127.98579685897761</v>
      </c>
      <c r="W21" s="13">
        <f>'Risk Analysis'!D365</f>
        <v>0</v>
      </c>
      <c r="X21" s="13">
        <f>'Risk Analysis'!G365</f>
        <v>0</v>
      </c>
    </row>
    <row r="22" spans="1:24" ht="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112</v>
      </c>
      <c r="U22" s="18">
        <f>'Risk Analysis'!B385</f>
        <v>124.36907370583047</v>
      </c>
      <c r="V22" s="18">
        <f>'Risk Analysis'!E385</f>
        <v>133.6481310588901</v>
      </c>
      <c r="W22" s="13">
        <f>'Risk Analysis'!D385</f>
        <v>-6.0130543180029195E-3</v>
      </c>
      <c r="X22" s="13">
        <f>'Risk Analysis'!G385</f>
        <v>-1.3562113637355377E-4</v>
      </c>
    </row>
    <row r="23" spans="1:24" ht="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113</v>
      </c>
      <c r="U23" s="18">
        <f>'Risk Analysis'!B404</f>
        <v>122.08054768035637</v>
      </c>
      <c r="V23" s="18">
        <f>'Risk Analysis'!E404</f>
        <v>132.19215132958823</v>
      </c>
      <c r="W23" s="13">
        <f>'Risk Analysis'!D404</f>
        <v>-3.8707611795337105E-2</v>
      </c>
      <c r="X23" s="13">
        <f>'Risk Analysis'!G404</f>
        <v>-3.8195377468620784E-2</v>
      </c>
    </row>
    <row r="24" spans="1:24" ht="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 t="s">
        <v>114</v>
      </c>
      <c r="U24" s="18">
        <f>'Risk Analysis'!B423</f>
        <v>129.27943781824641</v>
      </c>
      <c r="V24" s="18">
        <f>'Risk Analysis'!E423</f>
        <v>138.91342085847774</v>
      </c>
      <c r="W24" s="13">
        <f>'Risk Analysis'!D423</f>
        <v>-1.6205391057955154E-4</v>
      </c>
      <c r="X24" s="13">
        <f>'Risk Analysis'!G423</f>
        <v>0</v>
      </c>
    </row>
    <row r="25" spans="1:24" ht="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 t="s">
        <v>114</v>
      </c>
      <c r="U25" s="18">
        <f>'Risk Analysis'!B443</f>
        <v>128.81905452866457</v>
      </c>
      <c r="V25" s="18">
        <f>'Risk Analysis'!E443</f>
        <v>141.83773395438513</v>
      </c>
      <c r="W25" s="13">
        <f>'Risk Analysis'!D443</f>
        <v>-2.0093072300811921E-2</v>
      </c>
      <c r="X25" s="13">
        <f>'Risk Analysis'!G443</f>
        <v>-1.5456224709665456E-2</v>
      </c>
    </row>
    <row r="26" spans="1:24" ht="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 t="s">
        <v>115</v>
      </c>
      <c r="U26" s="18">
        <f>'Risk Analysis'!B462</f>
        <v>124.97281697456998</v>
      </c>
      <c r="V26" s="18">
        <f>'Risk Analysis'!E462</f>
        <v>133.75034103981329</v>
      </c>
      <c r="W26" s="13">
        <f>'Risk Analysis'!D462</f>
        <v>-4.9350815564215611E-2</v>
      </c>
      <c r="X26" s="13">
        <f>'Risk Analysis'!G462</f>
        <v>-7.1593559468056012E-2</v>
      </c>
    </row>
    <row r="27" spans="1:24" ht="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 t="s">
        <v>116</v>
      </c>
      <c r="U27" s="18">
        <f>'Risk Analysis'!B482</f>
        <v>127.88927239396767</v>
      </c>
      <c r="V27" s="18">
        <f>'Risk Analysis'!E482</f>
        <v>133.39726957783165</v>
      </c>
      <c r="W27" s="13">
        <f>'Risk Analysis'!D482</f>
        <v>-2.7165783386714937E-2</v>
      </c>
      <c r="X27" s="13">
        <f>'Risk Analysis'!G482</f>
        <v>-7.4044348129403859E-2</v>
      </c>
    </row>
    <row r="28" spans="1:24" ht="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 t="s">
        <v>117</v>
      </c>
      <c r="U28" s="18">
        <f>'Risk Analysis'!B501</f>
        <v>124.81215759468087</v>
      </c>
      <c r="V28" s="18">
        <f>'Risk Analysis'!E501</f>
        <v>130.38997996585607</v>
      </c>
      <c r="W28" s="13">
        <f>'Risk Analysis'!D501</f>
        <v>-5.0572926997413337E-2</v>
      </c>
      <c r="X28" s="13">
        <f>'Risk Analysis'!G501</f>
        <v>-9.4918964392788574E-2</v>
      </c>
    </row>
    <row r="29" spans="1:24" ht="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 t="s">
        <v>118</v>
      </c>
      <c r="U29" s="18">
        <f>'Risk Analysis'!B521</f>
        <v>122.33726887878478</v>
      </c>
      <c r="V29" s="18">
        <f>'Risk Analysis'!E521</f>
        <v>127.24502940509109</v>
      </c>
      <c r="W29" s="13">
        <f>'Risk Analysis'!D521</f>
        <v>-6.9399028515271244E-2</v>
      </c>
      <c r="X29" s="13">
        <f>'Risk Analysis'!G521</f>
        <v>-0.11674913195026515</v>
      </c>
    </row>
    <row r="30" spans="1:24" ht="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 t="s">
        <v>119</v>
      </c>
      <c r="U30" s="18">
        <f>'Risk Analysis'!B540</f>
        <v>121.14331544447553</v>
      </c>
      <c r="V30" s="18">
        <f>'Risk Analysis'!E540</f>
        <v>126.16878181115248</v>
      </c>
      <c r="W30" s="13">
        <f>'Risk Analysis'!D540</f>
        <v>-7.8481250442071215E-2</v>
      </c>
      <c r="X30" s="13">
        <f>'Risk Analysis'!G540</f>
        <v>-0.12421973120295926</v>
      </c>
    </row>
    <row r="31" spans="1:24" ht="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">
        <v>120</v>
      </c>
      <c r="U31" s="18">
        <f>'Risk Analysis'!B560</f>
        <v>117.85849215193394</v>
      </c>
      <c r="V31" s="18">
        <f>'Risk Analysis'!E560</f>
        <v>125.8835748571387</v>
      </c>
      <c r="W31" s="13">
        <f>'Risk Analysis'!D560</f>
        <v>-0.10346840092540999</v>
      </c>
      <c r="X31" s="13">
        <f>'Risk Analysis'!G560</f>
        <v>-0.12619944931756266</v>
      </c>
    </row>
    <row r="32" spans="1:24" ht="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">
        <v>121</v>
      </c>
      <c r="U32" s="18">
        <f>'Risk Analysis'!B579</f>
        <v>120.52815155005054</v>
      </c>
      <c r="V32" s="18">
        <f>'Risk Analysis'!E579</f>
        <v>132.57655230268125</v>
      </c>
      <c r="W32" s="13">
        <f>'Risk Analysis'!D579</f>
        <v>-8.3160708492924451E-2</v>
      </c>
      <c r="X32" s="13">
        <f>'Risk Analysis'!G579</f>
        <v>-7.9741224848982828E-2</v>
      </c>
    </row>
    <row r="33" spans="1:24" ht="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 t="s">
        <v>122</v>
      </c>
      <c r="U33" s="18">
        <f>'Risk Analysis'!B598</f>
        <v>127.4047088687513</v>
      </c>
      <c r="V33" s="18">
        <f>'Risk Analysis'!E598</f>
        <v>137.08212024049533</v>
      </c>
      <c r="W33" s="13">
        <f>'Risk Analysis'!D598</f>
        <v>-3.0851784320406028E-2</v>
      </c>
      <c r="X33" s="13">
        <f>'Risk Analysis'!G598</f>
        <v>-4.8466551011136949E-2</v>
      </c>
    </row>
    <row r="34" spans="1:24" ht="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 t="s">
        <v>123</v>
      </c>
      <c r="U34" s="18">
        <f>'Risk Analysis'!B618</f>
        <v>128.12681442423602</v>
      </c>
      <c r="V34" s="18">
        <f>'Risk Analysis'!E618</f>
        <v>137.08789457313605</v>
      </c>
      <c r="W34" s="13">
        <f>'Risk Analysis'!D618</f>
        <v>-2.5358837341882046E-2</v>
      </c>
      <c r="X34" s="13">
        <f>'Risk Analysis'!G618</f>
        <v>-4.8426469411555595E-2</v>
      </c>
    </row>
    <row r="35" spans="1:24" ht="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124</v>
      </c>
      <c r="U35" s="18">
        <f>'Risk Analysis'!B637</f>
        <v>128.41461318788382</v>
      </c>
      <c r="V35" s="18">
        <f>'Risk Analysis'!E637</f>
        <v>138.20535673462118</v>
      </c>
      <c r="W35" s="13">
        <f>'Risk Analysis'!D637</f>
        <v>-2.3427819727465327E-2</v>
      </c>
      <c r="X35" s="13">
        <f>'Risk Analysis'!G637</f>
        <v>-4.066978587932657E-2</v>
      </c>
    </row>
    <row r="36" spans="1:24" ht="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125</v>
      </c>
      <c r="U36" s="18">
        <f>'Risk Analysis'!B657</f>
        <v>121.94003913640542</v>
      </c>
      <c r="V36" s="18">
        <f>'Risk Analysis'!E657</f>
        <v>133.88305409390512</v>
      </c>
      <c r="W36" s="13">
        <f>'Risk Analysis'!D657</f>
        <v>-7.2665898952430141E-2</v>
      </c>
      <c r="X36" s="13">
        <f>'Risk Analysis'!G657</f>
        <v>-7.0672353187730796E-2</v>
      </c>
    </row>
    <row r="37" spans="1:24" ht="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s">
        <v>126</v>
      </c>
      <c r="U37" s="18">
        <f>'Risk Analysis'!B676</f>
        <v>121.42828619608342</v>
      </c>
      <c r="V37" s="18">
        <f>'Risk Analysis'!E676</f>
        <v>136.13529068183695</v>
      </c>
      <c r="W37" s="13">
        <f>'Risk Analysis'!D676</f>
        <v>-7.6557696562410404E-2</v>
      </c>
      <c r="X37" s="13">
        <f>'Risk Analysis'!G676</f>
        <v>-5.5038815825645293E-2</v>
      </c>
    </row>
    <row r="38" spans="1:24" ht="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 t="s">
        <v>127</v>
      </c>
      <c r="U38" s="18">
        <f>'Risk Analysis'!B696</f>
        <v>121.75323965538227</v>
      </c>
      <c r="V38" s="18">
        <f>'Risk Analysis'!E696</f>
        <v>137.97703447018981</v>
      </c>
      <c r="W38" s="13">
        <f>'Risk Analysis'!D696</f>
        <v>-7.4086478526108834E-2</v>
      </c>
      <c r="X38" s="13">
        <f>'Risk Analysis'!G696</f>
        <v>-4.22546480872803E-2</v>
      </c>
    </row>
    <row r="39" spans="1:24" ht="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 t="s">
        <v>128</v>
      </c>
      <c r="U39" s="18">
        <f>'Risk Analysis'!B715</f>
        <v>123.93461753720428</v>
      </c>
      <c r="V39" s="18">
        <f>'Risk Analysis'!E715</f>
        <v>140.66614547411439</v>
      </c>
      <c r="W39" s="13">
        <f>'Risk Analysis'!D715</f>
        <v>-5.749745566363762E-2</v>
      </c>
      <c r="X39" s="13">
        <f>'Risk Analysis'!G715</f>
        <v>-2.3588617362126918E-2</v>
      </c>
    </row>
    <row r="40" spans="1:24" ht="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 t="s">
        <v>129</v>
      </c>
      <c r="U40" s="18">
        <f>'Risk Analysis'!B735</f>
        <v>129.57532752090441</v>
      </c>
      <c r="V40" s="18">
        <f>'Risk Analysis'!E735</f>
        <v>142.80023363507962</v>
      </c>
      <c r="W40" s="13">
        <f>'Risk Analysis'!D735</f>
        <v>-1.4600776615066313E-2</v>
      </c>
      <c r="X40" s="13">
        <f>'Risk Analysis'!G735</f>
        <v>-8.7751882680409121E-3</v>
      </c>
    </row>
    <row r="41" spans="1:24" ht="1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3"/>
      <c r="M41" s="3"/>
      <c r="N41" s="3"/>
      <c r="O41" s="3"/>
      <c r="P41" s="3"/>
      <c r="Q41" s="3"/>
      <c r="R41" s="3"/>
      <c r="S41" s="3"/>
      <c r="T41" s="3" t="s">
        <v>129</v>
      </c>
      <c r="U41" s="18">
        <f>'Risk Analysis'!B754</f>
        <v>129.94263977543704</v>
      </c>
      <c r="V41" s="18">
        <f>'Risk Analysis'!E754</f>
        <v>143.58935307511103</v>
      </c>
      <c r="W41" s="13">
        <f>'Risk Analysis'!D754</f>
        <v>-1.6491513486072029E-2</v>
      </c>
      <c r="X41" s="13">
        <f>'Risk Analysis'!G754</f>
        <v>-3.2976428294385629E-3</v>
      </c>
    </row>
    <row r="42" spans="1:24" ht="1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11" ht="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1:11" ht="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1:11" ht="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pans="1:11" ht="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11">
    <mergeCell ref="A41:K43"/>
    <mergeCell ref="A1:K1"/>
    <mergeCell ref="A2:K2"/>
    <mergeCell ref="A4:B4"/>
    <mergeCell ref="A5:B6"/>
    <mergeCell ref="D4:E4"/>
    <mergeCell ref="D5:E6"/>
    <mergeCell ref="G4:H4"/>
    <mergeCell ref="G5:H6"/>
    <mergeCell ref="J4:K4"/>
    <mergeCell ref="J5:K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2026-08-25T20:56:56Z</dcterms:created>
  <dcterms:modified xsi:type="dcterms:W3CDTF">2026-08-25T20:56:56Z</dcterms:modified>
  <cp:category/>
  <cp:contentStatus/>
</cp:coreProperties>
</file>